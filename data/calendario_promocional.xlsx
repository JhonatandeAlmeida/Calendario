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165" documentId="11_F25DC773A252ABDACC1048AAA9DA54025ADE5901" xr6:coauthVersionLast="47" xr6:coauthVersionMax="47" xr10:uidLastSave="{69E8D608-60B6-451C-B05A-810AF85AF3BE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3" hidden="1">PRODUTOS!$A$1:$H$75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C13" i="5"/>
  <c r="C12" i="5"/>
  <c r="C11" i="5"/>
  <c r="C10" i="5"/>
  <c r="C9" i="5"/>
  <c r="C8" i="5"/>
  <c r="C7" i="5"/>
  <c r="C6" i="5"/>
  <c r="C5" i="5"/>
  <c r="C4" i="5"/>
  <c r="C3" i="5"/>
  <c r="C2" i="5"/>
  <c r="H57" i="3" l="1"/>
  <c r="H2" i="3"/>
  <c r="H61" i="3"/>
  <c r="H60" i="3"/>
  <c r="H59" i="3"/>
  <c r="H58" i="3"/>
  <c r="H6" i="3"/>
  <c r="H5" i="3"/>
  <c r="H4" i="3"/>
  <c r="H3" i="3"/>
  <c r="H66" i="3"/>
  <c r="H65" i="3"/>
  <c r="H64" i="3"/>
  <c r="H63" i="3"/>
  <c r="H62" i="3"/>
  <c r="H11" i="3"/>
  <c r="H10" i="3"/>
  <c r="H9" i="3"/>
  <c r="H8" i="3"/>
  <c r="H7" i="3"/>
  <c r="H32" i="3"/>
  <c r="H12" i="3"/>
  <c r="H36" i="3"/>
  <c r="H35" i="3"/>
  <c r="H34" i="3"/>
  <c r="H33" i="3"/>
  <c r="H16" i="3"/>
  <c r="H15" i="3"/>
  <c r="H14" i="3"/>
  <c r="H13" i="3"/>
  <c r="H75" i="3"/>
  <c r="H74" i="3"/>
  <c r="H73" i="3"/>
  <c r="H72" i="3"/>
  <c r="H71" i="3"/>
  <c r="H21" i="3"/>
  <c r="H20" i="3"/>
  <c r="H19" i="3"/>
  <c r="H18" i="3"/>
  <c r="H17" i="3"/>
  <c r="H46" i="3"/>
  <c r="H45" i="3"/>
  <c r="H44" i="3"/>
  <c r="H43" i="3"/>
  <c r="H42" i="3"/>
  <c r="H26" i="3"/>
  <c r="H25" i="3"/>
  <c r="H24" i="3"/>
  <c r="H23" i="3"/>
  <c r="H22" i="3"/>
  <c r="H31" i="3"/>
  <c r="H30" i="3"/>
  <c r="H29" i="3"/>
  <c r="H28" i="3"/>
  <c r="H27" i="3"/>
  <c r="H41" i="3"/>
  <c r="H40" i="3"/>
  <c r="H39" i="3"/>
  <c r="H38" i="3"/>
  <c r="H37" i="3"/>
  <c r="H51" i="3"/>
  <c r="H50" i="3"/>
  <c r="H49" i="3"/>
  <c r="H48" i="3"/>
  <c r="H47" i="3"/>
  <c r="H56" i="3"/>
  <c r="H55" i="3"/>
  <c r="H54" i="3"/>
  <c r="H53" i="3"/>
  <c r="H52" i="3"/>
  <c r="H70" i="3"/>
  <c r="H69" i="3"/>
  <c r="H68" i="3"/>
  <c r="H67" i="3"/>
</calcChain>
</file>

<file path=xl/sharedStrings.xml><?xml version="1.0" encoding="utf-8"?>
<sst xmlns="http://schemas.openxmlformats.org/spreadsheetml/2006/main" count="402" uniqueCount="63">
  <si>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</si>
  <si>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</si>
  <si>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</si>
  <si>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</si>
  <si>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</si>
  <si>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</si>
  <si>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</si>
  <si>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</si>
  <si>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</si>
  <si>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</si>
  <si>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Imagem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</si>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</sst>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C13"/>
  <sheetViews>
    <sheetView workbookViewId="0">
      <selection activeCell="B1" sqref="B1"/>
    </sheetView>
  </sheetViews>
  <sheetFormatPr defaultRowHeight="15" x14ac:dyDescent="0.25"/>
  <cols>
    <col min="1" max="1" width="11.28515625" bestFit="1" customWidth="1"/>
    <col min="2" max="2" width="10.42578125" bestFit="1" customWidth="1"/>
    <col min="3" max="3" width="10.7109375" bestFit="1" customWidth="1"/>
  </cols>
  <sheetData>
    <row r="1" spans="1:3" x14ac:dyDescent="0.25">
      <c r="A1" t="s">
        <v>7</v>
      </c>
      <c r="B1" t="s">
        <v>56</v>
      </c>
      <c r="C1" t="s">
        <v>57</v>
      </c>
    </row>
    <row r="2" spans="1:3" x14ac:dyDescent="0.25">
      <c r="A2" t="s">
        <v>32</v>
      </c>
      <c r="B2" t="s">
        <v>44</v>
      </c>
      <c r="C2" t="str">
        <f>B2&amp;".png"</f>
        <v>GCAP1.png</v>
      </c>
    </row>
    <row r="3" spans="1:3" x14ac:dyDescent="0.25">
      <c r="A3" t="s">
        <v>33</v>
      </c>
      <c r="B3" t="s">
        <v>49</v>
      </c>
      <c r="C3" t="str">
        <f t="shared" ref="C3:C13" si="0">B3&amp;".png"</f>
        <v>GCAP1,5.png</v>
      </c>
    </row>
    <row r="4" spans="1:3" x14ac:dyDescent="0.25">
      <c r="A4" t="s">
        <v>34</v>
      </c>
      <c r="B4" t="s">
        <v>45</v>
      </c>
      <c r="C4" t="str">
        <f t="shared" si="0"/>
        <v>PCP2.png</v>
      </c>
    </row>
    <row r="5" spans="1:3" x14ac:dyDescent="0.25">
      <c r="A5" t="s">
        <v>35</v>
      </c>
      <c r="B5" t="s">
        <v>46</v>
      </c>
      <c r="C5" t="str">
        <f t="shared" si="0"/>
        <v>BAREP2.png</v>
      </c>
    </row>
    <row r="6" spans="1:3" x14ac:dyDescent="0.25">
      <c r="A6" t="s">
        <v>36</v>
      </c>
      <c r="B6" t="s">
        <v>50</v>
      </c>
      <c r="C6" t="str">
        <f t="shared" si="0"/>
        <v>H2OHP500.png</v>
      </c>
    </row>
    <row r="7" spans="1:3" x14ac:dyDescent="0.25">
      <c r="A7" t="s">
        <v>37</v>
      </c>
      <c r="B7" t="s">
        <v>47</v>
      </c>
      <c r="C7" t="str">
        <f t="shared" si="0"/>
        <v>SUKP2.png</v>
      </c>
    </row>
    <row r="8" spans="1:3" x14ac:dyDescent="0.25">
      <c r="A8" t="s">
        <v>38</v>
      </c>
      <c r="B8" t="s">
        <v>48</v>
      </c>
      <c r="C8" t="str">
        <f t="shared" si="0"/>
        <v>GCAP2.png</v>
      </c>
    </row>
    <row r="9" spans="1:3" x14ac:dyDescent="0.25">
      <c r="A9" t="s">
        <v>39</v>
      </c>
      <c r="B9" t="s">
        <v>51</v>
      </c>
      <c r="C9" t="str">
        <f t="shared" si="0"/>
        <v>GCA350.png</v>
      </c>
    </row>
    <row r="10" spans="1:3" x14ac:dyDescent="0.25">
      <c r="A10" t="s">
        <v>40</v>
      </c>
      <c r="B10" t="s">
        <v>54</v>
      </c>
      <c r="C10" t="str">
        <f t="shared" si="0"/>
        <v>PCB350.png</v>
      </c>
    </row>
    <row r="11" spans="1:3" x14ac:dyDescent="0.25">
      <c r="A11" t="s">
        <v>41</v>
      </c>
      <c r="B11" t="s">
        <v>52</v>
      </c>
      <c r="C11" t="str">
        <f t="shared" si="0"/>
        <v>GCA269.png</v>
      </c>
    </row>
    <row r="12" spans="1:3" x14ac:dyDescent="0.25">
      <c r="A12" t="s">
        <v>42</v>
      </c>
      <c r="B12" t="s">
        <v>53</v>
      </c>
      <c r="C12" t="str">
        <f t="shared" si="0"/>
        <v>PC269.png</v>
      </c>
    </row>
    <row r="13" spans="1:3" x14ac:dyDescent="0.25">
      <c r="A13" t="s">
        <v>43</v>
      </c>
      <c r="B13" t="s">
        <v>55</v>
      </c>
      <c r="C13" t="str">
        <f t="shared" si="0"/>
        <v>H2OHP1,5.png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5"/>
  <sheetViews>
    <sheetView workbookViewId="0">
      <selection activeCell="B2" sqref="B2:B14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21</v>
      </c>
    </row>
    <row r="3" spans="1:2" x14ac:dyDescent="0.25">
      <c r="A3" s="3">
        <f>A2+1</f>
        <v>46267</v>
      </c>
      <c r="B3" s="2" t="s">
        <v>21</v>
      </c>
    </row>
    <row r="4" spans="1:2" x14ac:dyDescent="0.25">
      <c r="A4" s="3">
        <f t="shared" ref="A4:A35" si="0">A3+1</f>
        <v>46268</v>
      </c>
      <c r="B4" s="2" t="s">
        <v>21</v>
      </c>
    </row>
    <row r="5" spans="1:2" x14ac:dyDescent="0.25">
      <c r="A5" s="3">
        <f t="shared" si="0"/>
        <v>46269</v>
      </c>
      <c r="B5" s="2" t="s">
        <v>21</v>
      </c>
    </row>
    <row r="6" spans="1:2" x14ac:dyDescent="0.25">
      <c r="A6" s="3">
        <f t="shared" si="0"/>
        <v>46270</v>
      </c>
      <c r="B6" s="2" t="s">
        <v>21</v>
      </c>
    </row>
    <row r="7" spans="1:2" x14ac:dyDescent="0.25">
      <c r="A7" s="3">
        <f t="shared" si="0"/>
        <v>46271</v>
      </c>
      <c r="B7" s="2" t="s">
        <v>21</v>
      </c>
    </row>
    <row r="8" spans="1:2" x14ac:dyDescent="0.25">
      <c r="A8" s="3">
        <f t="shared" si="0"/>
        <v>46272</v>
      </c>
      <c r="B8" s="2" t="s">
        <v>21</v>
      </c>
    </row>
    <row r="9" spans="1:2" x14ac:dyDescent="0.25">
      <c r="A9" s="3">
        <f t="shared" si="0"/>
        <v>46273</v>
      </c>
      <c r="B9" s="2" t="s">
        <v>21</v>
      </c>
    </row>
    <row r="10" spans="1:2" x14ac:dyDescent="0.25">
      <c r="A10" s="3">
        <f t="shared" si="0"/>
        <v>46274</v>
      </c>
      <c r="B10" s="2" t="s">
        <v>21</v>
      </c>
    </row>
    <row r="11" spans="1:2" x14ac:dyDescent="0.25">
      <c r="A11" s="3">
        <f t="shared" si="0"/>
        <v>46275</v>
      </c>
      <c r="B11" s="2" t="s">
        <v>21</v>
      </c>
    </row>
    <row r="12" spans="1:2" x14ac:dyDescent="0.25">
      <c r="A12" s="3">
        <f t="shared" si="0"/>
        <v>46276</v>
      </c>
      <c r="B12" s="2" t="s">
        <v>21</v>
      </c>
    </row>
    <row r="13" spans="1:2" x14ac:dyDescent="0.25">
      <c r="A13" s="3">
        <f t="shared" si="0"/>
        <v>46277</v>
      </c>
      <c r="B13" s="2" t="s">
        <v>21</v>
      </c>
    </row>
    <row r="14" spans="1:2" x14ac:dyDescent="0.25">
      <c r="A14" s="3">
        <f t="shared" si="0"/>
        <v>46278</v>
      </c>
      <c r="B14" s="2" t="s">
        <v>21</v>
      </c>
    </row>
    <row r="15" spans="1:2" x14ac:dyDescent="0.25">
      <c r="A15" s="3">
        <f t="shared" si="0"/>
        <v>46279</v>
      </c>
      <c r="B15" s="2" t="s">
        <v>22</v>
      </c>
    </row>
    <row r="16" spans="1:2" x14ac:dyDescent="0.25">
      <c r="A16" s="3">
        <f t="shared" si="0"/>
        <v>46280</v>
      </c>
      <c r="B16" s="2" t="s">
        <v>22</v>
      </c>
    </row>
    <row r="17" spans="1:2" x14ac:dyDescent="0.25">
      <c r="A17" s="3">
        <f t="shared" si="0"/>
        <v>46281</v>
      </c>
      <c r="B17" s="2" t="s">
        <v>22</v>
      </c>
    </row>
    <row r="18" spans="1:2" x14ac:dyDescent="0.25">
      <c r="A18" s="3">
        <f t="shared" si="0"/>
        <v>46282</v>
      </c>
      <c r="B18" s="2" t="s">
        <v>22</v>
      </c>
    </row>
    <row r="19" spans="1:2" x14ac:dyDescent="0.25">
      <c r="A19" s="3">
        <f t="shared" si="0"/>
        <v>46283</v>
      </c>
      <c r="B19" s="2" t="s">
        <v>22</v>
      </c>
    </row>
    <row r="20" spans="1:2" x14ac:dyDescent="0.25">
      <c r="A20" s="3">
        <f t="shared" si="0"/>
        <v>46284</v>
      </c>
      <c r="B20" s="2" t="s">
        <v>22</v>
      </c>
    </row>
    <row r="21" spans="1:2" x14ac:dyDescent="0.25">
      <c r="A21" s="3">
        <f t="shared" si="0"/>
        <v>46285</v>
      </c>
      <c r="B21" s="2" t="s">
        <v>22</v>
      </c>
    </row>
    <row r="22" spans="1:2" x14ac:dyDescent="0.25">
      <c r="A22" s="3">
        <f t="shared" si="0"/>
        <v>46286</v>
      </c>
      <c r="B22" s="2" t="s">
        <v>22</v>
      </c>
    </row>
    <row r="23" spans="1:2" x14ac:dyDescent="0.25">
      <c r="A23" s="3">
        <f t="shared" si="0"/>
        <v>46287</v>
      </c>
      <c r="B23" s="2" t="s">
        <v>22</v>
      </c>
    </row>
    <row r="24" spans="1:2" x14ac:dyDescent="0.25">
      <c r="A24" s="3">
        <f t="shared" si="0"/>
        <v>46288</v>
      </c>
      <c r="B24" s="2" t="s">
        <v>22</v>
      </c>
    </row>
    <row r="25" spans="1:2" x14ac:dyDescent="0.25">
      <c r="A25" s="3">
        <f t="shared" si="0"/>
        <v>46289</v>
      </c>
      <c r="B25" s="2" t="s">
        <v>22</v>
      </c>
    </row>
    <row r="26" spans="1:2" x14ac:dyDescent="0.25">
      <c r="A26" s="3">
        <f t="shared" si="0"/>
        <v>46290</v>
      </c>
      <c r="B26" s="2" t="s">
        <v>22</v>
      </c>
    </row>
    <row r="27" spans="1:2" x14ac:dyDescent="0.25">
      <c r="A27" s="3">
        <f t="shared" si="0"/>
        <v>46291</v>
      </c>
      <c r="B27" s="2" t="s">
        <v>22</v>
      </c>
    </row>
    <row r="28" spans="1:2" x14ac:dyDescent="0.25">
      <c r="A28" s="3">
        <f t="shared" si="0"/>
        <v>46292</v>
      </c>
      <c r="B28" s="2" t="s">
        <v>22</v>
      </c>
    </row>
    <row r="29" spans="1:2" x14ac:dyDescent="0.25">
      <c r="A29" s="3">
        <f t="shared" si="0"/>
        <v>46293</v>
      </c>
      <c r="B29" s="2" t="s">
        <v>22</v>
      </c>
    </row>
    <row r="30" spans="1:2" x14ac:dyDescent="0.25">
      <c r="A30" s="3">
        <f t="shared" si="0"/>
        <v>46294</v>
      </c>
      <c r="B30" s="2" t="s">
        <v>22</v>
      </c>
    </row>
    <row r="31" spans="1:2" x14ac:dyDescent="0.25">
      <c r="A31" s="3">
        <f t="shared" si="0"/>
        <v>46295</v>
      </c>
      <c r="B31" s="2" t="s">
        <v>22</v>
      </c>
    </row>
    <row r="32" spans="1:2" x14ac:dyDescent="0.25">
      <c r="A32" s="3">
        <f t="shared" si="0"/>
        <v>46296</v>
      </c>
      <c r="B32" s="2" t="s">
        <v>22</v>
      </c>
    </row>
    <row r="33" spans="1:2" x14ac:dyDescent="0.25">
      <c r="A33" s="3">
        <f t="shared" si="0"/>
        <v>46297</v>
      </c>
      <c r="B33" s="2" t="s">
        <v>22</v>
      </c>
    </row>
    <row r="34" spans="1:2" x14ac:dyDescent="0.25">
      <c r="A34" s="3">
        <f t="shared" si="0"/>
        <v>46298</v>
      </c>
      <c r="B34" s="2" t="s">
        <v>22</v>
      </c>
    </row>
    <row r="35" spans="1:2" x14ac:dyDescent="0.25">
      <c r="A35" s="3">
        <f t="shared" si="0"/>
        <v>46299</v>
      </c>
      <c r="B35" s="2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C8"/>
  <sheetViews>
    <sheetView workbookViewId="0">
      <selection activeCell="H14" sqref="H14"/>
    </sheetView>
  </sheetViews>
  <sheetFormatPr defaultRowHeight="15" x14ac:dyDescent="0.25"/>
  <cols>
    <col min="3" max="3" width="47.5703125" bestFit="1" customWidth="1"/>
  </cols>
  <sheetData>
    <row r="1" spans="1:3" x14ac:dyDescent="0.25">
      <c r="A1" s="1" t="s">
        <v>5</v>
      </c>
      <c r="B1" s="1" t="s">
        <v>1</v>
      </c>
      <c r="C1" s="1" t="s">
        <v>3</v>
      </c>
    </row>
    <row r="2" spans="1:3" x14ac:dyDescent="0.25">
      <c r="A2" s="2" t="s">
        <v>11</v>
      </c>
      <c r="B2" s="2" t="s">
        <v>24</v>
      </c>
      <c r="C2" s="2" t="s">
        <v>58</v>
      </c>
    </row>
    <row r="3" spans="1:3" x14ac:dyDescent="0.25">
      <c r="A3" s="2" t="s">
        <v>11</v>
      </c>
      <c r="B3" s="2" t="s">
        <v>24</v>
      </c>
      <c r="C3" s="2" t="s">
        <v>60</v>
      </c>
    </row>
    <row r="4" spans="1:3" x14ac:dyDescent="0.25">
      <c r="A4" s="2" t="s">
        <v>11</v>
      </c>
      <c r="B4" s="2" t="s">
        <v>24</v>
      </c>
      <c r="C4" s="2" t="s">
        <v>59</v>
      </c>
    </row>
    <row r="5" spans="1:3" x14ac:dyDescent="0.25">
      <c r="A5" s="2" t="s">
        <v>11</v>
      </c>
      <c r="B5" s="2" t="s">
        <v>24</v>
      </c>
      <c r="C5" s="2" t="s">
        <v>61</v>
      </c>
    </row>
    <row r="6" spans="1:3" x14ac:dyDescent="0.25">
      <c r="A6" s="2" t="s">
        <v>11</v>
      </c>
      <c r="B6" s="2" t="s">
        <v>25</v>
      </c>
      <c r="C6" s="2" t="s">
        <v>58</v>
      </c>
    </row>
    <row r="7" spans="1:3" x14ac:dyDescent="0.25">
      <c r="A7" s="2" t="s">
        <v>11</v>
      </c>
      <c r="B7" s="2" t="s">
        <v>25</v>
      </c>
      <c r="C7" s="2" t="s">
        <v>60</v>
      </c>
    </row>
    <row r="8" spans="1:3" x14ac:dyDescent="0.25">
      <c r="A8" s="2" t="s">
        <v>11</v>
      </c>
      <c r="B8" s="2" t="s">
        <v>25</v>
      </c>
      <c r="C8" s="2" t="s">
        <v>62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H76"/>
  <sheetViews>
    <sheetView tabSelected="1" workbookViewId="0">
      <selection activeCell="D43" sqref="D43:D75"/>
    </sheetView>
  </sheetViews>
  <sheetFormatPr defaultRowHeight="15" x14ac:dyDescent="0.25"/>
  <cols>
    <col min="8" max="8" width="14.140625" bestFit="1" customWidth="1"/>
  </cols>
  <sheetData>
    <row r="1" spans="1:8" x14ac:dyDescent="0.25">
      <c r="A1" s="1" t="s">
        <v>5</v>
      </c>
      <c r="B1" s="1" t="s">
        <v>2</v>
      </c>
      <c r="C1" s="1" t="s">
        <v>6</v>
      </c>
      <c r="D1" s="1" t="s">
        <v>23</v>
      </c>
      <c r="E1" s="1" t="s">
        <v>7</v>
      </c>
      <c r="F1" s="1" t="s">
        <v>8</v>
      </c>
      <c r="G1" s="1" t="s">
        <v>9</v>
      </c>
      <c r="H1" s="1" t="s">
        <v>10</v>
      </c>
    </row>
    <row r="2" spans="1:8" x14ac:dyDescent="0.25">
      <c r="A2" s="2" t="s">
        <v>11</v>
      </c>
      <c r="B2" s="2" t="s">
        <v>4</v>
      </c>
      <c r="C2" s="2" t="s">
        <v>26</v>
      </c>
      <c r="D2" s="2">
        <v>1</v>
      </c>
      <c r="E2" s="2" t="s">
        <v>32</v>
      </c>
      <c r="F2" s="2">
        <v>4.99</v>
      </c>
      <c r="G2" s="2">
        <v>4.6900000000000004</v>
      </c>
      <c r="H2" s="2" t="str">
        <f>_xlfn.XLOOKUP(E2,DeparaIMG!A:A,DeparaIMG!C:C,,0)</f>
        <v>GCAP1.png</v>
      </c>
    </row>
    <row r="3" spans="1:8" x14ac:dyDescent="0.25">
      <c r="A3" s="2" t="s">
        <v>11</v>
      </c>
      <c r="B3" s="2" t="s">
        <v>28</v>
      </c>
      <c r="C3" s="2" t="s">
        <v>26</v>
      </c>
      <c r="D3" s="2">
        <v>1</v>
      </c>
      <c r="E3" s="2" t="s">
        <v>33</v>
      </c>
      <c r="F3" s="2">
        <v>6.49</v>
      </c>
      <c r="G3" s="2">
        <v>6.19</v>
      </c>
      <c r="H3" s="2" t="str">
        <f>_xlfn.XLOOKUP(E3,DeparaIMG!A:A,DeparaIMG!C:C,,0)</f>
        <v>GCAP1,5.png</v>
      </c>
    </row>
    <row r="4" spans="1:8" x14ac:dyDescent="0.25">
      <c r="A4" s="2" t="s">
        <v>11</v>
      </c>
      <c r="B4" s="2" t="s">
        <v>29</v>
      </c>
      <c r="C4" s="2" t="s">
        <v>26</v>
      </c>
      <c r="D4" s="2">
        <v>1</v>
      </c>
      <c r="E4" s="2" t="s">
        <v>33</v>
      </c>
      <c r="F4" s="2">
        <v>6.49</v>
      </c>
      <c r="G4" s="2">
        <v>6.19</v>
      </c>
      <c r="H4" s="2" t="str">
        <f>_xlfn.XLOOKUP(E4,DeparaIMG!A:A,DeparaIMG!C:C,,0)</f>
        <v>GCAP1,5.png</v>
      </c>
    </row>
    <row r="5" spans="1:8" x14ac:dyDescent="0.25">
      <c r="A5" s="2" t="s">
        <v>11</v>
      </c>
      <c r="B5" s="2" t="s">
        <v>30</v>
      </c>
      <c r="C5" s="2" t="s">
        <v>26</v>
      </c>
      <c r="D5" s="2">
        <v>1</v>
      </c>
      <c r="E5" s="2" t="s">
        <v>33</v>
      </c>
      <c r="F5" s="2">
        <v>6.49</v>
      </c>
      <c r="G5" s="2">
        <v>6.19</v>
      </c>
      <c r="H5" s="2" t="str">
        <f>_xlfn.XLOOKUP(E5,DeparaIMG!A:A,DeparaIMG!C:C,,0)</f>
        <v>GCAP1,5.png</v>
      </c>
    </row>
    <row r="6" spans="1:8" x14ac:dyDescent="0.25">
      <c r="A6" s="2" t="s">
        <v>11</v>
      </c>
      <c r="B6" s="2" t="s">
        <v>31</v>
      </c>
      <c r="C6" s="2" t="s">
        <v>26</v>
      </c>
      <c r="D6" s="2">
        <v>1</v>
      </c>
      <c r="E6" s="2" t="s">
        <v>33</v>
      </c>
      <c r="F6" s="2">
        <v>6.49</v>
      </c>
      <c r="G6" s="2">
        <v>6.19</v>
      </c>
      <c r="H6" s="2" t="str">
        <f>_xlfn.XLOOKUP(E6,DeparaIMG!A:A,DeparaIMG!C:C,,0)</f>
        <v>GCAP1,5.png</v>
      </c>
    </row>
    <row r="7" spans="1:8" x14ac:dyDescent="0.25">
      <c r="A7" s="2" t="s">
        <v>11</v>
      </c>
      <c r="B7" t="s">
        <v>4</v>
      </c>
      <c r="C7" t="s">
        <v>26</v>
      </c>
      <c r="D7" s="2">
        <v>1</v>
      </c>
      <c r="E7" t="s">
        <v>34</v>
      </c>
      <c r="F7">
        <v>7.79</v>
      </c>
      <c r="G7">
        <v>7.29</v>
      </c>
      <c r="H7" s="2" t="str">
        <f>_xlfn.XLOOKUP(E7,DeparaIMG!A:A,DeparaIMG!C:C,,0)</f>
        <v>PCP2.png</v>
      </c>
    </row>
    <row r="8" spans="1:8" x14ac:dyDescent="0.25">
      <c r="A8" s="2" t="s">
        <v>11</v>
      </c>
      <c r="B8" t="s">
        <v>28</v>
      </c>
      <c r="C8" t="s">
        <v>26</v>
      </c>
      <c r="D8" s="2">
        <v>1</v>
      </c>
      <c r="E8" t="s">
        <v>34</v>
      </c>
      <c r="F8">
        <v>8.49</v>
      </c>
      <c r="G8">
        <v>7.99</v>
      </c>
      <c r="H8" s="2" t="str">
        <f>_xlfn.XLOOKUP(E8,DeparaIMG!A:A,DeparaIMG!C:C,,0)</f>
        <v>PCP2.png</v>
      </c>
    </row>
    <row r="9" spans="1:8" x14ac:dyDescent="0.25">
      <c r="A9" s="2" t="s">
        <v>11</v>
      </c>
      <c r="B9" t="s">
        <v>29</v>
      </c>
      <c r="C9" t="s">
        <v>26</v>
      </c>
      <c r="D9" s="2">
        <v>1</v>
      </c>
      <c r="E9" t="s">
        <v>34</v>
      </c>
      <c r="F9">
        <v>7.49</v>
      </c>
      <c r="G9">
        <v>6.99</v>
      </c>
      <c r="H9" s="2" t="str">
        <f>_xlfn.XLOOKUP(E9,DeparaIMG!A:A,DeparaIMG!C:C,,0)</f>
        <v>PCP2.png</v>
      </c>
    </row>
    <row r="10" spans="1:8" x14ac:dyDescent="0.25">
      <c r="A10" s="2" t="s">
        <v>11</v>
      </c>
      <c r="B10" t="s">
        <v>30</v>
      </c>
      <c r="C10" t="s">
        <v>26</v>
      </c>
      <c r="D10" s="2">
        <v>1</v>
      </c>
      <c r="E10" t="s">
        <v>34</v>
      </c>
      <c r="F10">
        <v>7.49</v>
      </c>
      <c r="G10">
        <v>6.99</v>
      </c>
      <c r="H10" s="2" t="str">
        <f>_xlfn.XLOOKUP(E10,DeparaIMG!A:A,DeparaIMG!C:C,,0)</f>
        <v>PCP2.png</v>
      </c>
    </row>
    <row r="11" spans="1:8" x14ac:dyDescent="0.25">
      <c r="A11" s="2" t="s">
        <v>11</v>
      </c>
      <c r="B11" t="s">
        <v>31</v>
      </c>
      <c r="C11" t="s">
        <v>26</v>
      </c>
      <c r="D11" s="2">
        <v>1</v>
      </c>
      <c r="E11" t="s">
        <v>34</v>
      </c>
      <c r="F11">
        <v>8.49</v>
      </c>
      <c r="G11">
        <v>7.99</v>
      </c>
      <c r="H11" s="2" t="str">
        <f>_xlfn.XLOOKUP(E11,DeparaIMG!A:A,DeparaIMG!C:C,,0)</f>
        <v>PCP2.png</v>
      </c>
    </row>
    <row r="12" spans="1:8" x14ac:dyDescent="0.25">
      <c r="A12" s="2" t="s">
        <v>11</v>
      </c>
      <c r="B12" t="s">
        <v>4</v>
      </c>
      <c r="C12" t="s">
        <v>26</v>
      </c>
      <c r="D12" s="2">
        <v>1</v>
      </c>
      <c r="E12" t="s">
        <v>35</v>
      </c>
      <c r="F12">
        <v>5.49</v>
      </c>
      <c r="G12">
        <v>5.19</v>
      </c>
      <c r="H12" s="2" t="str">
        <f>_xlfn.XLOOKUP(E12,DeparaIMG!A:A,DeparaIMG!C:C,,0)</f>
        <v>BAREP2.png</v>
      </c>
    </row>
    <row r="13" spans="1:8" x14ac:dyDescent="0.25">
      <c r="A13" s="2" t="s">
        <v>11</v>
      </c>
      <c r="B13" t="s">
        <v>28</v>
      </c>
      <c r="C13" t="s">
        <v>26</v>
      </c>
      <c r="D13" s="2">
        <v>1</v>
      </c>
      <c r="E13" t="s">
        <v>36</v>
      </c>
      <c r="F13">
        <v>5.29</v>
      </c>
      <c r="G13">
        <v>4.99</v>
      </c>
      <c r="H13" s="2" t="str">
        <f>_xlfn.XLOOKUP(E13,DeparaIMG!A:A,DeparaIMG!C:C,,0)</f>
        <v>H2OHP500.png</v>
      </c>
    </row>
    <row r="14" spans="1:8" x14ac:dyDescent="0.25">
      <c r="A14" s="2" t="s">
        <v>11</v>
      </c>
      <c r="B14" t="s">
        <v>29</v>
      </c>
      <c r="C14" t="s">
        <v>26</v>
      </c>
      <c r="D14" s="2">
        <v>1</v>
      </c>
      <c r="E14" t="s">
        <v>36</v>
      </c>
      <c r="F14">
        <v>5.29</v>
      </c>
      <c r="G14">
        <v>4.99</v>
      </c>
      <c r="H14" s="2" t="str">
        <f>_xlfn.XLOOKUP(E14,DeparaIMG!A:A,DeparaIMG!C:C,,0)</f>
        <v>H2OHP500.png</v>
      </c>
    </row>
    <row r="15" spans="1:8" x14ac:dyDescent="0.25">
      <c r="A15" s="2" t="s">
        <v>11</v>
      </c>
      <c r="B15" t="s">
        <v>30</v>
      </c>
      <c r="C15" t="s">
        <v>26</v>
      </c>
      <c r="D15" s="2">
        <v>1</v>
      </c>
      <c r="E15" t="s">
        <v>36</v>
      </c>
      <c r="F15">
        <v>5.29</v>
      </c>
      <c r="G15">
        <v>4.99</v>
      </c>
      <c r="H15" s="2" t="str">
        <f>_xlfn.XLOOKUP(E15,DeparaIMG!A:A,DeparaIMG!C:C,,0)</f>
        <v>H2OHP500.png</v>
      </c>
    </row>
    <row r="16" spans="1:8" x14ac:dyDescent="0.25">
      <c r="A16" s="2" t="s">
        <v>11</v>
      </c>
      <c r="B16" t="s">
        <v>31</v>
      </c>
      <c r="C16" t="s">
        <v>26</v>
      </c>
      <c r="D16" s="2">
        <v>1</v>
      </c>
      <c r="E16" t="s">
        <v>36</v>
      </c>
      <c r="F16">
        <v>5.29</v>
      </c>
      <c r="G16">
        <v>4.99</v>
      </c>
      <c r="H16" s="2" t="str">
        <f>_xlfn.XLOOKUP(E16,DeparaIMG!A:A,DeparaIMG!C:C,,0)</f>
        <v>H2OHP500.png</v>
      </c>
    </row>
    <row r="17" spans="1:8" x14ac:dyDescent="0.25">
      <c r="A17" s="2" t="s">
        <v>11</v>
      </c>
      <c r="B17" t="s">
        <v>4</v>
      </c>
      <c r="C17" t="s">
        <v>26</v>
      </c>
      <c r="D17" s="2">
        <v>1</v>
      </c>
      <c r="E17" t="s">
        <v>37</v>
      </c>
      <c r="F17">
        <v>6.79</v>
      </c>
      <c r="G17">
        <v>6.29</v>
      </c>
      <c r="H17" s="2" t="str">
        <f>_xlfn.XLOOKUP(E17,DeparaIMG!A:A,DeparaIMG!C:C,,0)</f>
        <v>SUKP2.png</v>
      </c>
    </row>
    <row r="18" spans="1:8" x14ac:dyDescent="0.25">
      <c r="A18" s="2" t="s">
        <v>11</v>
      </c>
      <c r="B18" t="s">
        <v>28</v>
      </c>
      <c r="C18" t="s">
        <v>26</v>
      </c>
      <c r="D18" s="2">
        <v>1</v>
      </c>
      <c r="E18" t="s">
        <v>37</v>
      </c>
      <c r="F18">
        <v>6.79</v>
      </c>
      <c r="G18">
        <v>6.29</v>
      </c>
      <c r="H18" s="2" t="str">
        <f>_xlfn.XLOOKUP(E18,DeparaIMG!A:A,DeparaIMG!C:C,,0)</f>
        <v>SUKP2.png</v>
      </c>
    </row>
    <row r="19" spans="1:8" x14ac:dyDescent="0.25">
      <c r="A19" s="2" t="s">
        <v>11</v>
      </c>
      <c r="B19" t="s">
        <v>29</v>
      </c>
      <c r="C19" t="s">
        <v>26</v>
      </c>
      <c r="D19" s="2">
        <v>1</v>
      </c>
      <c r="E19" t="s">
        <v>37</v>
      </c>
      <c r="F19">
        <v>6.79</v>
      </c>
      <c r="G19">
        <v>6.29</v>
      </c>
      <c r="H19" s="2" t="str">
        <f>_xlfn.XLOOKUP(E19,DeparaIMG!A:A,DeparaIMG!C:C,,0)</f>
        <v>SUKP2.png</v>
      </c>
    </row>
    <row r="20" spans="1:8" x14ac:dyDescent="0.25">
      <c r="A20" s="2" t="s">
        <v>11</v>
      </c>
      <c r="B20" t="s">
        <v>30</v>
      </c>
      <c r="C20" t="s">
        <v>26</v>
      </c>
      <c r="D20" s="2">
        <v>1</v>
      </c>
      <c r="E20" t="s">
        <v>37</v>
      </c>
      <c r="F20">
        <v>6.79</v>
      </c>
      <c r="G20">
        <v>6.29</v>
      </c>
      <c r="H20" s="2" t="str">
        <f>_xlfn.XLOOKUP(E20,DeparaIMG!A:A,DeparaIMG!C:C,,0)</f>
        <v>SUKP2.png</v>
      </c>
    </row>
    <row r="21" spans="1:8" x14ac:dyDescent="0.25">
      <c r="A21" s="2" t="s">
        <v>11</v>
      </c>
      <c r="B21" t="s">
        <v>31</v>
      </c>
      <c r="C21" t="s">
        <v>26</v>
      </c>
      <c r="D21" s="2">
        <v>1</v>
      </c>
      <c r="E21" t="s">
        <v>37</v>
      </c>
      <c r="F21">
        <v>7.29</v>
      </c>
      <c r="G21">
        <v>6.79</v>
      </c>
      <c r="H21" s="2" t="str">
        <f>_xlfn.XLOOKUP(E21,DeparaIMG!A:A,DeparaIMG!C:C,,0)</f>
        <v>SUKP2.png</v>
      </c>
    </row>
    <row r="22" spans="1:8" x14ac:dyDescent="0.25">
      <c r="A22" s="2" t="s">
        <v>11</v>
      </c>
      <c r="B22" t="s">
        <v>4</v>
      </c>
      <c r="C22" t="s">
        <v>27</v>
      </c>
      <c r="D22" s="2">
        <v>1</v>
      </c>
      <c r="E22" t="s">
        <v>38</v>
      </c>
      <c r="F22">
        <v>8.99</v>
      </c>
      <c r="G22">
        <v>8.49</v>
      </c>
      <c r="H22" s="2" t="str">
        <f>_xlfn.XLOOKUP(E22,DeparaIMG!A:A,DeparaIMG!C:C,,0)</f>
        <v>GCAP2.png</v>
      </c>
    </row>
    <row r="23" spans="1:8" x14ac:dyDescent="0.25">
      <c r="A23" s="2" t="s">
        <v>11</v>
      </c>
      <c r="B23" t="s">
        <v>28</v>
      </c>
      <c r="C23" t="s">
        <v>27</v>
      </c>
      <c r="D23" s="2">
        <v>1</v>
      </c>
      <c r="E23" t="s">
        <v>38</v>
      </c>
      <c r="F23">
        <v>8.99</v>
      </c>
      <c r="G23">
        <v>8.49</v>
      </c>
      <c r="H23" s="2" t="str">
        <f>_xlfn.XLOOKUP(E23,DeparaIMG!A:A,DeparaIMG!C:C,,0)</f>
        <v>GCAP2.png</v>
      </c>
    </row>
    <row r="24" spans="1:8" x14ac:dyDescent="0.25">
      <c r="A24" s="2" t="s">
        <v>11</v>
      </c>
      <c r="B24" t="s">
        <v>29</v>
      </c>
      <c r="C24" t="s">
        <v>27</v>
      </c>
      <c r="D24" s="2">
        <v>1</v>
      </c>
      <c r="E24" t="s">
        <v>38</v>
      </c>
      <c r="F24">
        <v>8.2899999999999991</v>
      </c>
      <c r="G24">
        <v>7.7899999999999991</v>
      </c>
      <c r="H24" s="2" t="str">
        <f>_xlfn.XLOOKUP(E24,DeparaIMG!A:A,DeparaIMG!C:C,,0)</f>
        <v>GCAP2.png</v>
      </c>
    </row>
    <row r="25" spans="1:8" x14ac:dyDescent="0.25">
      <c r="A25" s="2" t="s">
        <v>11</v>
      </c>
      <c r="B25" t="s">
        <v>30</v>
      </c>
      <c r="C25" t="s">
        <v>27</v>
      </c>
      <c r="D25" s="2">
        <v>1</v>
      </c>
      <c r="E25" t="s">
        <v>38</v>
      </c>
      <c r="F25">
        <v>8.2899999999999991</v>
      </c>
      <c r="G25">
        <v>7.7899999999999991</v>
      </c>
      <c r="H25" s="2" t="str">
        <f>_xlfn.XLOOKUP(E25,DeparaIMG!A:A,DeparaIMG!C:C,,0)</f>
        <v>GCAP2.png</v>
      </c>
    </row>
    <row r="26" spans="1:8" x14ac:dyDescent="0.25">
      <c r="A26" s="2" t="s">
        <v>11</v>
      </c>
      <c r="B26" t="s">
        <v>31</v>
      </c>
      <c r="C26" t="s">
        <v>27</v>
      </c>
      <c r="D26" s="2">
        <v>1</v>
      </c>
      <c r="E26" t="s">
        <v>38</v>
      </c>
      <c r="F26">
        <v>9.49</v>
      </c>
      <c r="G26">
        <v>8.99</v>
      </c>
      <c r="H26" s="2" t="str">
        <f>_xlfn.XLOOKUP(E26,DeparaIMG!A:A,DeparaIMG!C:C,,0)</f>
        <v>GCAP2.png</v>
      </c>
    </row>
    <row r="27" spans="1:8" x14ac:dyDescent="0.25">
      <c r="A27" s="2" t="s">
        <v>11</v>
      </c>
      <c r="B27" t="s">
        <v>4</v>
      </c>
      <c r="C27" t="s">
        <v>27</v>
      </c>
      <c r="D27" s="2">
        <v>1</v>
      </c>
      <c r="E27" t="s">
        <v>39</v>
      </c>
      <c r="F27">
        <v>3.49</v>
      </c>
      <c r="G27">
        <v>3.1900000000000004</v>
      </c>
      <c r="H27" s="2" t="str">
        <f>_xlfn.XLOOKUP(E27,DeparaIMG!A:A,DeparaIMG!C:C,,0)</f>
        <v>GCA350.png</v>
      </c>
    </row>
    <row r="28" spans="1:8" x14ac:dyDescent="0.25">
      <c r="A28" s="2" t="s">
        <v>11</v>
      </c>
      <c r="B28" t="s">
        <v>28</v>
      </c>
      <c r="C28" t="s">
        <v>27</v>
      </c>
      <c r="D28" s="2">
        <v>1</v>
      </c>
      <c r="E28" t="s">
        <v>39</v>
      </c>
      <c r="F28">
        <v>3.49</v>
      </c>
      <c r="G28">
        <v>3.1900000000000004</v>
      </c>
      <c r="H28" s="2" t="str">
        <f>_xlfn.XLOOKUP(E28,DeparaIMG!A:A,DeparaIMG!C:C,,0)</f>
        <v>GCA350.png</v>
      </c>
    </row>
    <row r="29" spans="1:8" x14ac:dyDescent="0.25">
      <c r="A29" s="2" t="s">
        <v>11</v>
      </c>
      <c r="B29" t="s">
        <v>29</v>
      </c>
      <c r="C29" t="s">
        <v>27</v>
      </c>
      <c r="D29" s="2">
        <v>1</v>
      </c>
      <c r="E29" t="s">
        <v>39</v>
      </c>
      <c r="F29">
        <v>3.49</v>
      </c>
      <c r="G29">
        <v>3.1900000000000004</v>
      </c>
      <c r="H29" s="2" t="str">
        <f>_xlfn.XLOOKUP(E29,DeparaIMG!A:A,DeparaIMG!C:C,,0)</f>
        <v>GCA350.png</v>
      </c>
    </row>
    <row r="30" spans="1:8" x14ac:dyDescent="0.25">
      <c r="A30" s="2" t="s">
        <v>11</v>
      </c>
      <c r="B30" t="s">
        <v>30</v>
      </c>
      <c r="C30" t="s">
        <v>27</v>
      </c>
      <c r="D30" s="2">
        <v>1</v>
      </c>
      <c r="E30" t="s">
        <v>39</v>
      </c>
      <c r="F30">
        <v>3.49</v>
      </c>
      <c r="G30">
        <v>3.1900000000000004</v>
      </c>
      <c r="H30" s="2" t="str">
        <f>_xlfn.XLOOKUP(E30,DeparaIMG!A:A,DeparaIMG!C:C,,0)</f>
        <v>GCA350.png</v>
      </c>
    </row>
    <row r="31" spans="1:8" x14ac:dyDescent="0.25">
      <c r="A31" s="2" t="s">
        <v>11</v>
      </c>
      <c r="B31" t="s">
        <v>31</v>
      </c>
      <c r="C31" t="s">
        <v>27</v>
      </c>
      <c r="D31" s="2">
        <v>1</v>
      </c>
      <c r="E31" t="s">
        <v>39</v>
      </c>
      <c r="F31">
        <v>3.49</v>
      </c>
      <c r="G31">
        <v>3.1900000000000004</v>
      </c>
      <c r="H31" s="2" t="str">
        <f>_xlfn.XLOOKUP(E31,DeparaIMG!A:A,DeparaIMG!C:C,,0)</f>
        <v>GCA350.png</v>
      </c>
    </row>
    <row r="32" spans="1:8" x14ac:dyDescent="0.25">
      <c r="A32" s="2" t="s">
        <v>11</v>
      </c>
      <c r="B32" t="s">
        <v>4</v>
      </c>
      <c r="C32" t="s">
        <v>27</v>
      </c>
      <c r="D32" s="2">
        <v>1</v>
      </c>
      <c r="E32" t="s">
        <v>35</v>
      </c>
      <c r="F32">
        <v>5.69</v>
      </c>
      <c r="G32">
        <v>5.19</v>
      </c>
      <c r="H32" s="2" t="str">
        <f>_xlfn.XLOOKUP(E32,DeparaIMG!A:A,DeparaIMG!C:C,,0)</f>
        <v>BAREP2.png</v>
      </c>
    </row>
    <row r="33" spans="1:8" x14ac:dyDescent="0.25">
      <c r="A33" s="2" t="s">
        <v>11</v>
      </c>
      <c r="B33" t="s">
        <v>28</v>
      </c>
      <c r="C33" t="s">
        <v>27</v>
      </c>
      <c r="D33" s="2">
        <v>1</v>
      </c>
      <c r="E33" t="s">
        <v>36</v>
      </c>
      <c r="F33">
        <v>5.49</v>
      </c>
      <c r="G33">
        <v>5.19</v>
      </c>
      <c r="H33" s="2" t="str">
        <f>_xlfn.XLOOKUP(E33,DeparaIMG!A:A,DeparaIMG!C:C,,0)</f>
        <v>H2OHP500.png</v>
      </c>
    </row>
    <row r="34" spans="1:8" x14ac:dyDescent="0.25">
      <c r="A34" s="2" t="s">
        <v>11</v>
      </c>
      <c r="B34" t="s">
        <v>29</v>
      </c>
      <c r="C34" t="s">
        <v>27</v>
      </c>
      <c r="D34" s="2">
        <v>1</v>
      </c>
      <c r="E34" t="s">
        <v>36</v>
      </c>
      <c r="F34">
        <v>5.49</v>
      </c>
      <c r="G34">
        <v>5.19</v>
      </c>
      <c r="H34" s="2" t="str">
        <f>_xlfn.XLOOKUP(E34,DeparaIMG!A:A,DeparaIMG!C:C,,0)</f>
        <v>H2OHP500.png</v>
      </c>
    </row>
    <row r="35" spans="1:8" x14ac:dyDescent="0.25">
      <c r="A35" s="2" t="s">
        <v>11</v>
      </c>
      <c r="B35" t="s">
        <v>30</v>
      </c>
      <c r="C35" t="s">
        <v>27</v>
      </c>
      <c r="D35" s="2">
        <v>1</v>
      </c>
      <c r="E35" t="s">
        <v>36</v>
      </c>
      <c r="F35">
        <v>5.49</v>
      </c>
      <c r="G35">
        <v>5.19</v>
      </c>
      <c r="H35" s="2" t="str">
        <f>_xlfn.XLOOKUP(E35,DeparaIMG!A:A,DeparaIMG!C:C,,0)</f>
        <v>H2OHP500.png</v>
      </c>
    </row>
    <row r="36" spans="1:8" x14ac:dyDescent="0.25">
      <c r="A36" s="2" t="s">
        <v>11</v>
      </c>
      <c r="B36" t="s">
        <v>31</v>
      </c>
      <c r="C36" t="s">
        <v>27</v>
      </c>
      <c r="D36" s="2">
        <v>1</v>
      </c>
      <c r="E36" t="s">
        <v>36</v>
      </c>
      <c r="F36">
        <v>5.49</v>
      </c>
      <c r="G36">
        <v>5.19</v>
      </c>
      <c r="H36" s="2" t="str">
        <f>_xlfn.XLOOKUP(E36,DeparaIMG!A:A,DeparaIMG!C:C,,0)</f>
        <v>H2OHP500.png</v>
      </c>
    </row>
    <row r="37" spans="1:8" x14ac:dyDescent="0.25">
      <c r="A37" s="2" t="s">
        <v>11</v>
      </c>
      <c r="B37" t="s">
        <v>4</v>
      </c>
      <c r="C37" t="s">
        <v>27</v>
      </c>
      <c r="D37" s="2">
        <v>1</v>
      </c>
      <c r="E37" t="s">
        <v>40</v>
      </c>
      <c r="F37">
        <v>3.39</v>
      </c>
      <c r="G37">
        <v>2.99</v>
      </c>
      <c r="H37" s="2" t="str">
        <f>_xlfn.XLOOKUP(E37,DeparaIMG!A:A,DeparaIMG!C:C,,0)</f>
        <v>PCB350.png</v>
      </c>
    </row>
    <row r="38" spans="1:8" x14ac:dyDescent="0.25">
      <c r="A38" s="2" t="s">
        <v>11</v>
      </c>
      <c r="B38" t="s">
        <v>28</v>
      </c>
      <c r="C38" t="s">
        <v>27</v>
      </c>
      <c r="D38" s="2">
        <v>1</v>
      </c>
      <c r="E38" t="s">
        <v>40</v>
      </c>
      <c r="F38">
        <v>3.39</v>
      </c>
      <c r="G38">
        <v>2.99</v>
      </c>
      <c r="H38" s="2" t="str">
        <f>_xlfn.XLOOKUP(E38,DeparaIMG!A:A,DeparaIMG!C:C,,0)</f>
        <v>PCB350.png</v>
      </c>
    </row>
    <row r="39" spans="1:8" x14ac:dyDescent="0.25">
      <c r="A39" s="2" t="s">
        <v>11</v>
      </c>
      <c r="B39" t="s">
        <v>29</v>
      </c>
      <c r="C39" t="s">
        <v>27</v>
      </c>
      <c r="D39" s="2">
        <v>1</v>
      </c>
      <c r="E39" t="s">
        <v>40</v>
      </c>
      <c r="F39">
        <v>3.39</v>
      </c>
      <c r="G39">
        <v>2.99</v>
      </c>
      <c r="H39" s="2" t="str">
        <f>_xlfn.XLOOKUP(E39,DeparaIMG!A:A,DeparaIMG!C:C,,0)</f>
        <v>PCB350.png</v>
      </c>
    </row>
    <row r="40" spans="1:8" x14ac:dyDescent="0.25">
      <c r="A40" s="2" t="s">
        <v>11</v>
      </c>
      <c r="B40" t="s">
        <v>30</v>
      </c>
      <c r="C40" t="s">
        <v>27</v>
      </c>
      <c r="D40" s="2">
        <v>1</v>
      </c>
      <c r="E40" t="s">
        <v>40</v>
      </c>
      <c r="F40">
        <v>3.39</v>
      </c>
      <c r="G40">
        <v>2.99</v>
      </c>
      <c r="H40" s="2" t="str">
        <f>_xlfn.XLOOKUP(E40,DeparaIMG!A:A,DeparaIMG!C:C,,0)</f>
        <v>PCB350.png</v>
      </c>
    </row>
    <row r="41" spans="1:8" x14ac:dyDescent="0.25">
      <c r="A41" s="2" t="s">
        <v>11</v>
      </c>
      <c r="B41" t="s">
        <v>31</v>
      </c>
      <c r="C41" t="s">
        <v>27</v>
      </c>
      <c r="D41" s="2">
        <v>1</v>
      </c>
      <c r="E41" t="s">
        <v>40</v>
      </c>
      <c r="F41">
        <v>3.39</v>
      </c>
      <c r="G41">
        <v>2.99</v>
      </c>
      <c r="H41" s="2" t="str">
        <f>_xlfn.XLOOKUP(E41,DeparaIMG!A:A,DeparaIMG!C:C,,0)</f>
        <v>PCB350.png</v>
      </c>
    </row>
    <row r="42" spans="1:8" x14ac:dyDescent="0.25">
      <c r="A42" s="2" t="s">
        <v>11</v>
      </c>
      <c r="B42" t="s">
        <v>4</v>
      </c>
      <c r="C42" t="s">
        <v>26</v>
      </c>
      <c r="D42" s="2">
        <v>2</v>
      </c>
      <c r="E42" t="s">
        <v>38</v>
      </c>
      <c r="F42">
        <v>8.7899999999999991</v>
      </c>
      <c r="G42">
        <v>8.2899999999999991</v>
      </c>
      <c r="H42" s="2" t="str">
        <f>_xlfn.XLOOKUP(E42,DeparaIMG!A:A,DeparaIMG!C:C,,0)</f>
        <v>GCAP2.png</v>
      </c>
    </row>
    <row r="43" spans="1:8" x14ac:dyDescent="0.25">
      <c r="A43" s="2" t="s">
        <v>11</v>
      </c>
      <c r="B43" t="s">
        <v>28</v>
      </c>
      <c r="C43" t="s">
        <v>26</v>
      </c>
      <c r="D43" s="2">
        <v>2</v>
      </c>
      <c r="E43" t="s">
        <v>38</v>
      </c>
      <c r="F43">
        <v>8.7899999999999991</v>
      </c>
      <c r="G43">
        <v>8.2899999999999991</v>
      </c>
      <c r="H43" s="2" t="str">
        <f>_xlfn.XLOOKUP(E43,DeparaIMG!A:A,DeparaIMG!C:C,,0)</f>
        <v>GCAP2.png</v>
      </c>
    </row>
    <row r="44" spans="1:8" x14ac:dyDescent="0.25">
      <c r="A44" s="2" t="s">
        <v>11</v>
      </c>
      <c r="B44" t="s">
        <v>29</v>
      </c>
      <c r="C44" t="s">
        <v>26</v>
      </c>
      <c r="D44" s="2">
        <v>2</v>
      </c>
      <c r="E44" t="s">
        <v>38</v>
      </c>
      <c r="F44">
        <v>7.99</v>
      </c>
      <c r="G44">
        <v>7.49</v>
      </c>
      <c r="H44" s="2" t="str">
        <f>_xlfn.XLOOKUP(E44,DeparaIMG!A:A,DeparaIMG!C:C,,0)</f>
        <v>GCAP2.png</v>
      </c>
    </row>
    <row r="45" spans="1:8" x14ac:dyDescent="0.25">
      <c r="A45" s="2" t="s">
        <v>11</v>
      </c>
      <c r="B45" t="s">
        <v>30</v>
      </c>
      <c r="C45" t="s">
        <v>26</v>
      </c>
      <c r="D45" s="2">
        <v>2</v>
      </c>
      <c r="E45" t="s">
        <v>38</v>
      </c>
      <c r="F45">
        <v>7.99</v>
      </c>
      <c r="G45">
        <v>7.49</v>
      </c>
      <c r="H45" s="2" t="str">
        <f>_xlfn.XLOOKUP(E45,DeparaIMG!A:A,DeparaIMG!C:C,,0)</f>
        <v>GCAP2.png</v>
      </c>
    </row>
    <row r="46" spans="1:8" x14ac:dyDescent="0.25">
      <c r="A46" s="2" t="s">
        <v>11</v>
      </c>
      <c r="B46" t="s">
        <v>31</v>
      </c>
      <c r="C46" t="s">
        <v>26</v>
      </c>
      <c r="D46" s="2">
        <v>2</v>
      </c>
      <c r="E46" t="s">
        <v>38</v>
      </c>
      <c r="F46">
        <v>9.2899999999999991</v>
      </c>
      <c r="G46">
        <v>8.7899999999999991</v>
      </c>
      <c r="H46" s="2" t="str">
        <f>_xlfn.XLOOKUP(E46,DeparaIMG!A:A,DeparaIMG!C:C,,0)</f>
        <v>GCAP2.png</v>
      </c>
    </row>
    <row r="47" spans="1:8" x14ac:dyDescent="0.25">
      <c r="A47" s="2" t="s">
        <v>11</v>
      </c>
      <c r="B47" t="s">
        <v>4</v>
      </c>
      <c r="C47" t="s">
        <v>26</v>
      </c>
      <c r="D47" s="2">
        <v>2</v>
      </c>
      <c r="E47" t="s">
        <v>41</v>
      </c>
      <c r="F47">
        <v>2.39</v>
      </c>
      <c r="G47">
        <v>2.19</v>
      </c>
      <c r="H47" s="2" t="str">
        <f>_xlfn.XLOOKUP(E47,DeparaIMG!A:A,DeparaIMG!C:C,,0)</f>
        <v>GCA269.png</v>
      </c>
    </row>
    <row r="48" spans="1:8" x14ac:dyDescent="0.25">
      <c r="A48" s="2" t="s">
        <v>11</v>
      </c>
      <c r="B48" t="s">
        <v>28</v>
      </c>
      <c r="C48" t="s">
        <v>26</v>
      </c>
      <c r="D48" s="2">
        <v>2</v>
      </c>
      <c r="E48" t="s">
        <v>41</v>
      </c>
      <c r="F48">
        <v>2.39</v>
      </c>
      <c r="G48">
        <v>2.19</v>
      </c>
      <c r="H48" s="2" t="str">
        <f>_xlfn.XLOOKUP(E48,DeparaIMG!A:A,DeparaIMG!C:C,,0)</f>
        <v>GCA269.png</v>
      </c>
    </row>
    <row r="49" spans="1:8" x14ac:dyDescent="0.25">
      <c r="A49" s="2" t="s">
        <v>11</v>
      </c>
      <c r="B49" t="s">
        <v>29</v>
      </c>
      <c r="C49" t="s">
        <v>26</v>
      </c>
      <c r="D49" s="2">
        <v>2</v>
      </c>
      <c r="E49" t="s">
        <v>41</v>
      </c>
      <c r="F49">
        <v>2.39</v>
      </c>
      <c r="G49">
        <v>2.19</v>
      </c>
      <c r="H49" s="2" t="str">
        <f>_xlfn.XLOOKUP(E49,DeparaIMG!A:A,DeparaIMG!C:C,,0)</f>
        <v>GCA269.png</v>
      </c>
    </row>
    <row r="50" spans="1:8" x14ac:dyDescent="0.25">
      <c r="A50" s="2" t="s">
        <v>11</v>
      </c>
      <c r="B50" t="s">
        <v>30</v>
      </c>
      <c r="C50" t="s">
        <v>26</v>
      </c>
      <c r="D50" s="2">
        <v>2</v>
      </c>
      <c r="E50" t="s">
        <v>41</v>
      </c>
      <c r="F50">
        <v>2.39</v>
      </c>
      <c r="G50">
        <v>2.19</v>
      </c>
      <c r="H50" s="2" t="str">
        <f>_xlfn.XLOOKUP(E50,DeparaIMG!A:A,DeparaIMG!C:C,,0)</f>
        <v>GCA269.png</v>
      </c>
    </row>
    <row r="51" spans="1:8" x14ac:dyDescent="0.25">
      <c r="A51" s="2" t="s">
        <v>11</v>
      </c>
      <c r="B51" t="s">
        <v>31</v>
      </c>
      <c r="C51" t="s">
        <v>26</v>
      </c>
      <c r="D51" s="2">
        <v>2</v>
      </c>
      <c r="E51" t="s">
        <v>41</v>
      </c>
      <c r="F51">
        <v>2.39</v>
      </c>
      <c r="G51">
        <v>2.19</v>
      </c>
      <c r="H51" s="2" t="str">
        <f>_xlfn.XLOOKUP(E51,DeparaIMG!A:A,DeparaIMG!C:C,,0)</f>
        <v>GCA269.png</v>
      </c>
    </row>
    <row r="52" spans="1:8" x14ac:dyDescent="0.25">
      <c r="A52" s="2" t="s">
        <v>11</v>
      </c>
      <c r="B52" t="s">
        <v>4</v>
      </c>
      <c r="C52" t="s">
        <v>26</v>
      </c>
      <c r="D52" s="2">
        <v>2</v>
      </c>
      <c r="E52" t="s">
        <v>42</v>
      </c>
      <c r="F52">
        <v>2.29</v>
      </c>
      <c r="G52">
        <v>2.09</v>
      </c>
      <c r="H52" s="2" t="str">
        <f>_xlfn.XLOOKUP(E52,DeparaIMG!A:A,DeparaIMG!C:C,,0)</f>
        <v>PC269.png</v>
      </c>
    </row>
    <row r="53" spans="1:8" x14ac:dyDescent="0.25">
      <c r="A53" s="2" t="s">
        <v>11</v>
      </c>
      <c r="B53" t="s">
        <v>28</v>
      </c>
      <c r="C53" t="s">
        <v>26</v>
      </c>
      <c r="D53" s="2">
        <v>2</v>
      </c>
      <c r="E53" t="s">
        <v>42</v>
      </c>
      <c r="F53">
        <v>2.29</v>
      </c>
      <c r="G53">
        <v>2.09</v>
      </c>
      <c r="H53" s="2" t="str">
        <f>_xlfn.XLOOKUP(E53,DeparaIMG!A:A,DeparaIMG!C:C,,0)</f>
        <v>PC269.png</v>
      </c>
    </row>
    <row r="54" spans="1:8" x14ac:dyDescent="0.25">
      <c r="A54" s="2" t="s">
        <v>11</v>
      </c>
      <c r="B54" t="s">
        <v>29</v>
      </c>
      <c r="C54" t="s">
        <v>26</v>
      </c>
      <c r="D54" s="2">
        <v>2</v>
      </c>
      <c r="E54" t="s">
        <v>42</v>
      </c>
      <c r="F54">
        <v>2.29</v>
      </c>
      <c r="G54">
        <v>2.09</v>
      </c>
      <c r="H54" s="2" t="str">
        <f>_xlfn.XLOOKUP(E54,DeparaIMG!A:A,DeparaIMG!C:C,,0)</f>
        <v>PC269.png</v>
      </c>
    </row>
    <row r="55" spans="1:8" x14ac:dyDescent="0.25">
      <c r="A55" s="2" t="s">
        <v>11</v>
      </c>
      <c r="B55" t="s">
        <v>30</v>
      </c>
      <c r="C55" t="s">
        <v>26</v>
      </c>
      <c r="D55" s="2">
        <v>2</v>
      </c>
      <c r="E55" t="s">
        <v>42</v>
      </c>
      <c r="F55">
        <v>2.29</v>
      </c>
      <c r="G55">
        <v>2.09</v>
      </c>
      <c r="H55" s="2" t="str">
        <f>_xlfn.XLOOKUP(E55,DeparaIMG!A:A,DeparaIMG!C:C,,0)</f>
        <v>PC269.png</v>
      </c>
    </row>
    <row r="56" spans="1:8" x14ac:dyDescent="0.25">
      <c r="A56" s="2" t="s">
        <v>11</v>
      </c>
      <c r="B56" t="s">
        <v>31</v>
      </c>
      <c r="C56" t="s">
        <v>26</v>
      </c>
      <c r="D56" s="2">
        <v>2</v>
      </c>
      <c r="E56" t="s">
        <v>42</v>
      </c>
      <c r="F56">
        <v>2.29</v>
      </c>
      <c r="G56">
        <v>2.09</v>
      </c>
      <c r="H56" s="2" t="str">
        <f>_xlfn.XLOOKUP(E56,DeparaIMG!A:A,DeparaIMG!C:C,,0)</f>
        <v>PC269.png</v>
      </c>
    </row>
    <row r="57" spans="1:8" x14ac:dyDescent="0.25">
      <c r="A57" s="2" t="s">
        <v>11</v>
      </c>
      <c r="B57" t="s">
        <v>4</v>
      </c>
      <c r="C57" t="s">
        <v>27</v>
      </c>
      <c r="D57" s="2">
        <v>2</v>
      </c>
      <c r="E57" t="s">
        <v>32</v>
      </c>
      <c r="F57">
        <v>5.29</v>
      </c>
      <c r="G57">
        <v>4.99</v>
      </c>
      <c r="H57" s="2" t="str">
        <f>_xlfn.XLOOKUP(E57,DeparaIMG!A:A,DeparaIMG!C:C,,0)</f>
        <v>GCAP1.png</v>
      </c>
    </row>
    <row r="58" spans="1:8" x14ac:dyDescent="0.25">
      <c r="A58" s="2" t="s">
        <v>11</v>
      </c>
      <c r="B58" t="s">
        <v>28</v>
      </c>
      <c r="C58" t="s">
        <v>27</v>
      </c>
      <c r="D58" s="2">
        <v>2</v>
      </c>
      <c r="E58" t="s">
        <v>33</v>
      </c>
      <c r="F58">
        <v>6.99</v>
      </c>
      <c r="G58">
        <v>6.69</v>
      </c>
      <c r="H58" s="2" t="str">
        <f>_xlfn.XLOOKUP(E58,DeparaIMG!A:A,DeparaIMG!C:C,,0)</f>
        <v>GCAP1,5.png</v>
      </c>
    </row>
    <row r="59" spans="1:8" x14ac:dyDescent="0.25">
      <c r="A59" s="2" t="s">
        <v>11</v>
      </c>
      <c r="B59" t="s">
        <v>29</v>
      </c>
      <c r="C59" t="s">
        <v>27</v>
      </c>
      <c r="D59" s="2">
        <v>2</v>
      </c>
      <c r="E59" t="s">
        <v>33</v>
      </c>
      <c r="F59">
        <v>6.99</v>
      </c>
      <c r="G59">
        <v>6.69</v>
      </c>
      <c r="H59" s="2" t="str">
        <f>_xlfn.XLOOKUP(E59,DeparaIMG!A:A,DeparaIMG!C:C,,0)</f>
        <v>GCAP1,5.png</v>
      </c>
    </row>
    <row r="60" spans="1:8" x14ac:dyDescent="0.25">
      <c r="A60" s="2" t="s">
        <v>11</v>
      </c>
      <c r="B60" t="s">
        <v>30</v>
      </c>
      <c r="C60" t="s">
        <v>27</v>
      </c>
      <c r="D60" s="2">
        <v>2</v>
      </c>
      <c r="E60" t="s">
        <v>33</v>
      </c>
      <c r="F60">
        <v>6.99</v>
      </c>
      <c r="G60">
        <v>6.69</v>
      </c>
      <c r="H60" s="2" t="str">
        <f>_xlfn.XLOOKUP(E60,DeparaIMG!A:A,DeparaIMG!C:C,,0)</f>
        <v>GCAP1,5.png</v>
      </c>
    </row>
    <row r="61" spans="1:8" x14ac:dyDescent="0.25">
      <c r="A61" s="2" t="s">
        <v>11</v>
      </c>
      <c r="B61" t="s">
        <v>31</v>
      </c>
      <c r="C61" t="s">
        <v>27</v>
      </c>
      <c r="D61" s="2">
        <v>2</v>
      </c>
      <c r="E61" t="s">
        <v>33</v>
      </c>
      <c r="F61">
        <v>6.99</v>
      </c>
      <c r="G61">
        <v>6.69</v>
      </c>
      <c r="H61" s="2" t="str">
        <f>_xlfn.XLOOKUP(E61,DeparaIMG!A:A,DeparaIMG!C:C,,0)</f>
        <v>GCAP1,5.png</v>
      </c>
    </row>
    <row r="62" spans="1:8" x14ac:dyDescent="0.25">
      <c r="A62" s="2" t="s">
        <v>11</v>
      </c>
      <c r="B62" t="s">
        <v>4</v>
      </c>
      <c r="C62" t="s">
        <v>27</v>
      </c>
      <c r="D62" s="2">
        <v>2</v>
      </c>
      <c r="E62" t="s">
        <v>34</v>
      </c>
      <c r="F62">
        <v>7.99</v>
      </c>
      <c r="G62">
        <v>7.49</v>
      </c>
      <c r="H62" s="2" t="str">
        <f>_xlfn.XLOOKUP(E62,DeparaIMG!A:A,DeparaIMG!C:C,,0)</f>
        <v>PCP2.png</v>
      </c>
    </row>
    <row r="63" spans="1:8" x14ac:dyDescent="0.25">
      <c r="A63" s="2" t="s">
        <v>11</v>
      </c>
      <c r="B63" t="s">
        <v>28</v>
      </c>
      <c r="C63" t="s">
        <v>27</v>
      </c>
      <c r="D63" s="2">
        <v>2</v>
      </c>
      <c r="E63" t="s">
        <v>34</v>
      </c>
      <c r="F63">
        <v>8.49</v>
      </c>
      <c r="G63">
        <v>7.99</v>
      </c>
      <c r="H63" s="2" t="str">
        <f>_xlfn.XLOOKUP(E63,DeparaIMG!A:A,DeparaIMG!C:C,,0)</f>
        <v>PCP2.png</v>
      </c>
    </row>
    <row r="64" spans="1:8" x14ac:dyDescent="0.25">
      <c r="A64" s="2" t="s">
        <v>11</v>
      </c>
      <c r="B64" t="s">
        <v>29</v>
      </c>
      <c r="C64" t="s">
        <v>27</v>
      </c>
      <c r="D64" s="2">
        <v>2</v>
      </c>
      <c r="E64" t="s">
        <v>34</v>
      </c>
      <c r="F64">
        <v>7.69</v>
      </c>
      <c r="G64">
        <v>7.19</v>
      </c>
      <c r="H64" s="2" t="str">
        <f>_xlfn.XLOOKUP(E64,DeparaIMG!A:A,DeparaIMG!C:C,,0)</f>
        <v>PCP2.png</v>
      </c>
    </row>
    <row r="65" spans="1:8" x14ac:dyDescent="0.25">
      <c r="A65" s="2" t="s">
        <v>11</v>
      </c>
      <c r="B65" t="s">
        <v>30</v>
      </c>
      <c r="C65" t="s">
        <v>27</v>
      </c>
      <c r="D65" s="2">
        <v>2</v>
      </c>
      <c r="E65" t="s">
        <v>34</v>
      </c>
      <c r="F65">
        <v>7.69</v>
      </c>
      <c r="G65">
        <v>7.19</v>
      </c>
      <c r="H65" s="2" t="str">
        <f>_xlfn.XLOOKUP(E65,DeparaIMG!A:A,DeparaIMG!C:C,,0)</f>
        <v>PCP2.png</v>
      </c>
    </row>
    <row r="66" spans="1:8" x14ac:dyDescent="0.25">
      <c r="A66" s="2" t="s">
        <v>11</v>
      </c>
      <c r="B66" t="s">
        <v>31</v>
      </c>
      <c r="C66" t="s">
        <v>27</v>
      </c>
      <c r="D66" s="2">
        <v>2</v>
      </c>
      <c r="E66" t="s">
        <v>34</v>
      </c>
      <c r="F66">
        <v>8.49</v>
      </c>
      <c r="G66">
        <v>7.99</v>
      </c>
      <c r="H66" s="2" t="str">
        <f>_xlfn.XLOOKUP(E66,DeparaIMG!A:A,DeparaIMG!C:C,,0)</f>
        <v>PCP2.png</v>
      </c>
    </row>
    <row r="67" spans="1:8" x14ac:dyDescent="0.25">
      <c r="A67" s="2" t="s">
        <v>11</v>
      </c>
      <c r="B67" t="s">
        <v>28</v>
      </c>
      <c r="C67" t="s">
        <v>27</v>
      </c>
      <c r="D67" s="2">
        <v>2</v>
      </c>
      <c r="E67" t="s">
        <v>43</v>
      </c>
      <c r="F67">
        <v>8.49</v>
      </c>
      <c r="G67">
        <v>7.99</v>
      </c>
      <c r="H67" s="2" t="str">
        <f>_xlfn.XLOOKUP(E67,DeparaIMG!A:A,DeparaIMG!C:C,,0)</f>
        <v>H2OHP1,5.png</v>
      </c>
    </row>
    <row r="68" spans="1:8" x14ac:dyDescent="0.25">
      <c r="A68" s="2" t="s">
        <v>11</v>
      </c>
      <c r="B68" t="s">
        <v>29</v>
      </c>
      <c r="C68" t="s">
        <v>27</v>
      </c>
      <c r="D68" s="2">
        <v>2</v>
      </c>
      <c r="E68" t="s">
        <v>43</v>
      </c>
      <c r="F68">
        <v>7.99</v>
      </c>
      <c r="G68">
        <v>7.49</v>
      </c>
      <c r="H68" s="2" t="str">
        <f>_xlfn.XLOOKUP(E68,DeparaIMG!A:A,DeparaIMG!C:C,,0)</f>
        <v>H2OHP1,5.png</v>
      </c>
    </row>
    <row r="69" spans="1:8" x14ac:dyDescent="0.25">
      <c r="A69" s="2" t="s">
        <v>11</v>
      </c>
      <c r="B69" t="s">
        <v>30</v>
      </c>
      <c r="C69" t="s">
        <v>27</v>
      </c>
      <c r="D69" s="2">
        <v>2</v>
      </c>
      <c r="E69" t="s">
        <v>43</v>
      </c>
      <c r="F69">
        <v>7.99</v>
      </c>
      <c r="G69">
        <v>7.49</v>
      </c>
      <c r="H69" s="2" t="str">
        <f>_xlfn.XLOOKUP(E69,DeparaIMG!A:A,DeparaIMG!C:C,,0)</f>
        <v>H2OHP1,5.png</v>
      </c>
    </row>
    <row r="70" spans="1:8" x14ac:dyDescent="0.25">
      <c r="A70" s="2" t="s">
        <v>11</v>
      </c>
      <c r="B70" t="s">
        <v>31</v>
      </c>
      <c r="C70" t="s">
        <v>27</v>
      </c>
      <c r="D70" s="2">
        <v>2</v>
      </c>
      <c r="E70" t="s">
        <v>43</v>
      </c>
      <c r="F70">
        <v>8.49</v>
      </c>
      <c r="G70">
        <v>7.99</v>
      </c>
      <c r="H70" s="2" t="str">
        <f>_xlfn.XLOOKUP(E70,DeparaIMG!A:A,DeparaIMG!C:C,,0)</f>
        <v>H2OHP1,5.png</v>
      </c>
    </row>
    <row r="71" spans="1:8" x14ac:dyDescent="0.25">
      <c r="A71" s="2" t="s">
        <v>11</v>
      </c>
      <c r="B71" t="s">
        <v>4</v>
      </c>
      <c r="C71" t="s">
        <v>27</v>
      </c>
      <c r="D71" s="2">
        <v>2</v>
      </c>
      <c r="E71" t="s">
        <v>37</v>
      </c>
      <c r="F71">
        <v>6.99</v>
      </c>
      <c r="G71">
        <v>6.49</v>
      </c>
      <c r="H71" s="2" t="str">
        <f>_xlfn.XLOOKUP(E71,DeparaIMG!A:A,DeparaIMG!C:C,,0)</f>
        <v>SUKP2.png</v>
      </c>
    </row>
    <row r="72" spans="1:8" x14ac:dyDescent="0.25">
      <c r="A72" s="2" t="s">
        <v>11</v>
      </c>
      <c r="B72" t="s">
        <v>28</v>
      </c>
      <c r="C72" t="s">
        <v>27</v>
      </c>
      <c r="D72" s="2">
        <v>2</v>
      </c>
      <c r="E72" t="s">
        <v>37</v>
      </c>
      <c r="F72">
        <v>6.99</v>
      </c>
      <c r="G72">
        <v>6.49</v>
      </c>
      <c r="H72" s="2" t="str">
        <f>_xlfn.XLOOKUP(E72,DeparaIMG!A:A,DeparaIMG!C:C,,0)</f>
        <v>SUKP2.png</v>
      </c>
    </row>
    <row r="73" spans="1:8" x14ac:dyDescent="0.25">
      <c r="A73" s="2" t="s">
        <v>11</v>
      </c>
      <c r="B73" t="s">
        <v>29</v>
      </c>
      <c r="C73" t="s">
        <v>27</v>
      </c>
      <c r="D73" s="2">
        <v>2</v>
      </c>
      <c r="E73" t="s">
        <v>37</v>
      </c>
      <c r="F73">
        <v>6.99</v>
      </c>
      <c r="G73">
        <v>6.49</v>
      </c>
      <c r="H73" s="2" t="str">
        <f>_xlfn.XLOOKUP(E73,DeparaIMG!A:A,DeparaIMG!C:C,,0)</f>
        <v>SUKP2.png</v>
      </c>
    </row>
    <row r="74" spans="1:8" x14ac:dyDescent="0.25">
      <c r="A74" s="2" t="s">
        <v>11</v>
      </c>
      <c r="B74" t="s">
        <v>30</v>
      </c>
      <c r="C74" t="s">
        <v>27</v>
      </c>
      <c r="D74" s="2">
        <v>2</v>
      </c>
      <c r="E74" t="s">
        <v>37</v>
      </c>
      <c r="F74">
        <v>6.99</v>
      </c>
      <c r="G74">
        <v>6.49</v>
      </c>
      <c r="H74" s="2" t="str">
        <f>_xlfn.XLOOKUP(E74,DeparaIMG!A:A,DeparaIMG!C:C,,0)</f>
        <v>SUKP2.png</v>
      </c>
    </row>
    <row r="75" spans="1:8" x14ac:dyDescent="0.25">
      <c r="A75" s="2" t="s">
        <v>11</v>
      </c>
      <c r="B75" t="s">
        <v>31</v>
      </c>
      <c r="C75" t="s">
        <v>27</v>
      </c>
      <c r="D75" s="2">
        <v>2</v>
      </c>
      <c r="E75" t="s">
        <v>37</v>
      </c>
      <c r="F75">
        <v>7.49</v>
      </c>
      <c r="G75">
        <v>6.99</v>
      </c>
      <c r="H75" s="2" t="str">
        <f>_xlfn.XLOOKUP(E75,DeparaIMG!A:A,DeparaIMG!C:C,,0)</f>
        <v>SUKP2.png</v>
      </c>
    </row>
    <row r="76" spans="1:8" x14ac:dyDescent="0.25">
      <c r="D76" s="2"/>
    </row>
  </sheetData>
  <autoFilter ref="A1:H75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I4" sqref="I4"/>
    </sheetView>
  </sheetViews>
  <sheetFormatPr defaultRowHeight="15" x14ac:dyDescent="0.25"/>
  <sheetData>
    <row r="1" spans="1:2" x14ac:dyDescent="0.25">
      <c r="A1" s="1" t="s">
        <v>12</v>
      </c>
      <c r="B1" s="1" t="s">
        <v>13</v>
      </c>
    </row>
    <row r="2" spans="1:2" x14ac:dyDescent="0.25">
      <c r="A2" s="2" t="s">
        <v>14</v>
      </c>
      <c r="B2" s="2" t="s">
        <v>11</v>
      </c>
    </row>
    <row r="3" spans="1:2" x14ac:dyDescent="0.25">
      <c r="A3" s="2" t="s">
        <v>15</v>
      </c>
      <c r="B3" s="2">
        <v>2026</v>
      </c>
    </row>
    <row r="4" spans="1:2" x14ac:dyDescent="0.25">
      <c r="A4" s="2" t="s">
        <v>16</v>
      </c>
      <c r="B4" s="2" t="s">
        <v>4</v>
      </c>
    </row>
    <row r="5" spans="1:2" x14ac:dyDescent="0.25">
      <c r="A5" s="2" t="s">
        <v>17</v>
      </c>
      <c r="B5" s="2" t="s">
        <v>18</v>
      </c>
    </row>
    <row r="6" spans="1:2" x14ac:dyDescent="0.25">
      <c r="A6" s="2" t="s">
        <v>19</v>
      </c>
      <c r="B6" s="2" t="s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2026-09-09T14:26:10Z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