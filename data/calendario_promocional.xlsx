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9852106\Downloads\"/>
    </mc:Choice>
  </mc:AlternateContent>
  <xr:revisionPtr revIDLastSave="0" documentId="13_ncr:1_{EF197261-2CDC-40A6-9F4B-19CA0B2FF223}" xr6:coauthVersionLast="47" xr6:coauthVersionMax="47" xr10:uidLastSave="{00000000-0000-0000-0000-000000000000}"/>
  <bookViews>
    <workbookView xWindow="3510" yWindow="3510" windowWidth="21600" windowHeight="11295" activeTab="3" xr2:uid="{00000000-000D-0000-FFFF-FFFF00000000}"/>
  </bookViews>
  <sheets>
    <sheet name="DeparaIMG" sheetId="5" r:id="rId1"/>
    <sheet name="CALENDARIO" sheetId="1" r:id="rId2"/>
    <sheet name="MECANICA" sheetId="2" r:id="rId3"/>
    <sheet name="PRODUTOS" sheetId="3" r:id="rId4"/>
    <sheet name="CONFIG" sheetId="4" r:id="rId5"/>
  </sheets>
  <definedNames>
    <definedName name="_xlnm._FilterDatabase" localSheetId="1" hidden="1">CALENDARIO!$A$1:$C$578</definedName>
    <definedName name="_xlnm._FilterDatabase" localSheetId="0" hidden="1">DeparaIMG!$A$1:$F$64</definedName>
    <definedName name="_xlnm._FilterDatabase" localSheetId="2" hidden="1">MECANICA!$A$1:$D$52</definedName>
    <definedName name="_xlnm._FilterDatabase" localSheetId="3" hidden="1">PRODUTOS!$A$1:$J$2026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26" i="3" l="1"/>
  <c r="I2025" i="3"/>
  <c r="I2024" i="3"/>
  <c r="I2023" i="3"/>
  <c r="I2022" i="3" l="1"/>
  <c r="I2021" i="3"/>
  <c r="I2020" i="3"/>
  <c r="I2019" i="3"/>
  <c r="I2018" i="3"/>
  <c r="I2017" i="3"/>
  <c r="I2016" i="3"/>
  <c r="I2015" i="3"/>
  <c r="I2014" i="3"/>
  <c r="I2013" i="3"/>
  <c r="I1958" i="3"/>
  <c r="I1957" i="3"/>
  <c r="I1956" i="3"/>
  <c r="I1955" i="3"/>
  <c r="I1954" i="3"/>
  <c r="I1948" i="3"/>
  <c r="I1947" i="3"/>
  <c r="I1946" i="3"/>
  <c r="I1945" i="3"/>
  <c r="I1944" i="3"/>
  <c r="I1917" i="3"/>
  <c r="I1916" i="3"/>
  <c r="I1915" i="3"/>
  <c r="I1914" i="3"/>
  <c r="I1913" i="3"/>
  <c r="E64" i="5"/>
  <c r="E63" i="5"/>
  <c r="E62" i="5"/>
  <c r="E61" i="5"/>
  <c r="F61" i="5" s="1"/>
  <c r="E60" i="5"/>
  <c r="F60" i="5" s="1"/>
  <c r="E59" i="5"/>
  <c r="F59" i="5" s="1"/>
  <c r="E58" i="5"/>
  <c r="F58" i="5" s="1"/>
  <c r="B528" i="1"/>
  <c r="B529" i="1" s="1"/>
  <c r="B530" i="1" s="1"/>
  <c r="B531" i="1" s="1"/>
  <c r="B532" i="1" s="1"/>
  <c r="B533" i="1" s="1"/>
  <c r="B534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499" i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F57" i="5"/>
  <c r="E56" i="5"/>
  <c r="F55" i="5"/>
  <c r="E54" i="5"/>
  <c r="F54" i="5"/>
  <c r="E53" i="5"/>
  <c r="E52" i="5"/>
  <c r="F50" i="5"/>
  <c r="F51" i="5"/>
  <c r="I1934" i="3" l="1"/>
  <c r="I1938" i="3"/>
  <c r="I2007" i="3"/>
  <c r="I2005" i="3"/>
  <c r="I1937" i="3"/>
  <c r="I1936" i="3"/>
  <c r="I1904" i="3"/>
  <c r="I1905" i="3"/>
  <c r="I1994" i="3"/>
  <c r="I1906" i="3"/>
  <c r="I1990" i="3"/>
  <c r="I1935" i="3"/>
  <c r="I1903" i="3"/>
  <c r="I1907" i="3"/>
  <c r="I2011" i="3"/>
  <c r="I1886" i="3"/>
  <c r="I2002" i="3"/>
  <c r="I1885" i="3"/>
  <c r="I1884" i="3"/>
  <c r="I1883" i="3"/>
  <c r="I1986" i="3"/>
  <c r="I1978" i="3"/>
  <c r="I1977" i="3"/>
  <c r="I1976" i="3"/>
  <c r="I1975" i="3"/>
  <c r="I1974" i="3"/>
  <c r="I1998" i="3"/>
  <c r="I1887" i="3"/>
  <c r="I2009" i="3"/>
  <c r="I2000" i="3"/>
  <c r="I1966" i="3"/>
  <c r="I1965" i="3"/>
  <c r="I1967" i="3"/>
  <c r="I1968" i="3"/>
  <c r="I1877" i="3"/>
  <c r="I1876" i="3"/>
  <c r="I1875" i="3"/>
  <c r="I1874" i="3"/>
  <c r="I1996" i="3"/>
  <c r="I1984" i="3"/>
  <c r="I1964" i="3"/>
  <c r="I1873" i="3"/>
  <c r="I1992" i="3"/>
  <c r="I1928" i="3"/>
  <c r="I1867" i="3"/>
  <c r="I1866" i="3"/>
  <c r="I1865" i="3"/>
  <c r="I1864" i="3"/>
  <c r="I1863" i="3"/>
  <c r="I1862" i="3"/>
  <c r="I1861" i="3"/>
  <c r="I1860" i="3"/>
  <c r="I1837" i="3"/>
  <c r="I1831" i="3"/>
  <c r="I1825" i="3"/>
  <c r="I1819" i="3"/>
  <c r="I1735" i="3"/>
  <c r="I1734" i="3"/>
  <c r="I1728" i="3"/>
  <c r="I1727" i="3"/>
  <c r="I1736" i="3"/>
  <c r="I1733" i="3"/>
  <c r="I1732" i="3"/>
  <c r="I1731" i="3"/>
  <c r="I1730" i="3"/>
  <c r="I1729" i="3"/>
  <c r="I1726" i="3"/>
  <c r="I1725" i="3"/>
  <c r="I1724" i="3"/>
  <c r="I1723" i="3"/>
  <c r="I1337" i="3"/>
  <c r="I1336" i="3"/>
  <c r="I1335" i="3"/>
  <c r="I1334" i="3"/>
  <c r="I1329" i="3"/>
  <c r="I1328" i="3"/>
  <c r="I1327" i="3"/>
  <c r="I1326" i="3"/>
  <c r="I1325" i="3"/>
  <c r="I1324" i="3"/>
  <c r="I1323" i="3"/>
  <c r="I1322" i="3"/>
  <c r="I1311" i="3"/>
  <c r="I1305" i="3"/>
  <c r="I1299" i="3"/>
  <c r="I1293" i="3"/>
  <c r="I1287" i="3"/>
  <c r="I1281" i="3"/>
  <c r="F56" i="5"/>
  <c r="F53" i="5"/>
  <c r="F52" i="5"/>
  <c r="E32" i="5"/>
  <c r="E8" i="5"/>
  <c r="E36" i="5"/>
  <c r="E13" i="5"/>
  <c r="E41" i="5"/>
  <c r="E3" i="5"/>
  <c r="I1835" i="3" l="1"/>
  <c r="I1829" i="3"/>
  <c r="I1823" i="3"/>
  <c r="I1817" i="3"/>
  <c r="I1780" i="3"/>
  <c r="I1781" i="3"/>
  <c r="I1782" i="3"/>
  <c r="I1783" i="3"/>
  <c r="I1516" i="3"/>
  <c r="I1508" i="3"/>
  <c r="I1500" i="3"/>
  <c r="I1490" i="3"/>
  <c r="I1482" i="3"/>
  <c r="I1475" i="3"/>
  <c r="I1467" i="3"/>
  <c r="I1444" i="3"/>
  <c r="I1436" i="3"/>
  <c r="I1428" i="3"/>
  <c r="I1418" i="3"/>
  <c r="I1410" i="3"/>
  <c r="I1403" i="3"/>
  <c r="I1395" i="3"/>
  <c r="I1521" i="3"/>
  <c r="I1513" i="3"/>
  <c r="I1505" i="3"/>
  <c r="I1497" i="3"/>
  <c r="I1488" i="3"/>
  <c r="I1480" i="3"/>
  <c r="I1472" i="3"/>
  <c r="I1449" i="3"/>
  <c r="I1441" i="3"/>
  <c r="I1433" i="3"/>
  <c r="I1425" i="3"/>
  <c r="I1416" i="3"/>
  <c r="I1408" i="3"/>
  <c r="I1400" i="3"/>
  <c r="I1388" i="3"/>
  <c r="I1380" i="3"/>
  <c r="I1372" i="3"/>
  <c r="I1362" i="3"/>
  <c r="I1354" i="3"/>
  <c r="I1347" i="3"/>
  <c r="I1339" i="3"/>
  <c r="I1309" i="3"/>
  <c r="I1303" i="3"/>
  <c r="I1297" i="3"/>
  <c r="I1291" i="3"/>
  <c r="I1285" i="3"/>
  <c r="I1279" i="3"/>
  <c r="I1393" i="3"/>
  <c r="I1385" i="3"/>
  <c r="I1377" i="3"/>
  <c r="I1369" i="3"/>
  <c r="I1360" i="3"/>
  <c r="I1352" i="3"/>
  <c r="I1344" i="3"/>
  <c r="I1257" i="3"/>
  <c r="I1256" i="3"/>
  <c r="I1255" i="3"/>
  <c r="I1254" i="3"/>
  <c r="F32" i="5"/>
  <c r="F8" i="5"/>
  <c r="F36" i="5"/>
  <c r="F13" i="5"/>
  <c r="F41" i="5"/>
  <c r="F3" i="5"/>
  <c r="E24" i="5"/>
  <c r="E23" i="5"/>
  <c r="E10" i="5"/>
  <c r="E11" i="5"/>
  <c r="E44" i="5"/>
  <c r="E45" i="5"/>
  <c r="F44" i="5"/>
  <c r="F45" i="5"/>
  <c r="I1795" i="3" l="1"/>
  <c r="I1794" i="3"/>
  <c r="I1793" i="3"/>
  <c r="I1792" i="3"/>
  <c r="I1737" i="3"/>
  <c r="I1527" i="3"/>
  <c r="I1771" i="3"/>
  <c r="I1574" i="3"/>
  <c r="I1738" i="3"/>
  <c r="I1542" i="3"/>
  <c r="I1788" i="3"/>
  <c r="I1789" i="3"/>
  <c r="I1790" i="3"/>
  <c r="I1791" i="3"/>
  <c r="I1770" i="3"/>
  <c r="I1524" i="3"/>
  <c r="I1517" i="3"/>
  <c r="I1509" i="3"/>
  <c r="I1501" i="3"/>
  <c r="I1491" i="3"/>
  <c r="I1483" i="3"/>
  <c r="I1476" i="3"/>
  <c r="I1468" i="3"/>
  <c r="I1445" i="3"/>
  <c r="I1437" i="3"/>
  <c r="I1429" i="3"/>
  <c r="I1419" i="3"/>
  <c r="I1411" i="3"/>
  <c r="I1404" i="3"/>
  <c r="I1396" i="3"/>
  <c r="I1495" i="3"/>
  <c r="I1423" i="3"/>
  <c r="I1117" i="3"/>
  <c r="I1116" i="3"/>
  <c r="I1217" i="3"/>
  <c r="I1204" i="3"/>
  <c r="I1207" i="3"/>
  <c r="I1220" i="3"/>
  <c r="I1218" i="3"/>
  <c r="I1206" i="3"/>
  <c r="I1205" i="3"/>
  <c r="I1219" i="3"/>
  <c r="I1389" i="3"/>
  <c r="I1381" i="3"/>
  <c r="I1373" i="3"/>
  <c r="I381" i="3"/>
  <c r="I1363" i="3"/>
  <c r="I1355" i="3"/>
  <c r="I1348" i="3"/>
  <c r="I1340" i="3"/>
  <c r="I855" i="3"/>
  <c r="I854" i="3"/>
  <c r="I796" i="3"/>
  <c r="I773" i="3"/>
  <c r="I612" i="3"/>
  <c r="I611" i="3"/>
  <c r="I610" i="3"/>
  <c r="I609" i="3"/>
  <c r="I398" i="3"/>
  <c r="I397" i="3"/>
  <c r="I396" i="3"/>
  <c r="I1367" i="3"/>
  <c r="I725" i="3"/>
  <c r="I619" i="3"/>
  <c r="I421" i="3"/>
  <c r="I420" i="3"/>
  <c r="I618" i="3"/>
  <c r="I617" i="3"/>
  <c r="I821" i="3"/>
  <c r="I749" i="3"/>
  <c r="F24" i="5"/>
  <c r="F23" i="5"/>
  <c r="F10" i="5"/>
  <c r="F11" i="5"/>
  <c r="E22" i="5"/>
  <c r="E48" i="5"/>
  <c r="E34" i="5"/>
  <c r="E15" i="5"/>
  <c r="E19" i="5"/>
  <c r="E33" i="5"/>
  <c r="E47" i="5"/>
  <c r="E18" i="5"/>
  <c r="E14" i="5"/>
  <c r="E46" i="5"/>
  <c r="E4" i="5"/>
  <c r="E35" i="5"/>
  <c r="E43" i="5"/>
  <c r="E9" i="5"/>
  <c r="E6" i="5"/>
  <c r="E12" i="5"/>
  <c r="E7" i="5"/>
  <c r="E2" i="5"/>
  <c r="E42" i="5"/>
  <c r="E40" i="5"/>
  <c r="F21" i="5"/>
  <c r="F22" i="5"/>
  <c r="F48" i="5"/>
  <c r="F34" i="5"/>
  <c r="F15" i="5"/>
  <c r="F17" i="5"/>
  <c r="F20" i="5"/>
  <c r="F19" i="5"/>
  <c r="F33" i="5"/>
  <c r="F47" i="5"/>
  <c r="F18" i="5"/>
  <c r="F14" i="5"/>
  <c r="F46" i="5"/>
  <c r="F16" i="5"/>
  <c r="F4" i="5"/>
  <c r="F35" i="5"/>
  <c r="F43" i="5"/>
  <c r="F9" i="5"/>
  <c r="F6" i="5"/>
  <c r="F12" i="5"/>
  <c r="F7" i="5"/>
  <c r="F2" i="5"/>
  <c r="I1799" i="3" s="1"/>
  <c r="F42" i="5"/>
  <c r="F40" i="5"/>
  <c r="F30" i="5"/>
  <c r="F37" i="5"/>
  <c r="F25" i="5"/>
  <c r="F38" i="5"/>
  <c r="F26" i="5"/>
  <c r="F29" i="5"/>
  <c r="F49" i="5"/>
  <c r="F31" i="5"/>
  <c r="F5" i="5"/>
  <c r="F39" i="5"/>
  <c r="F27" i="5"/>
  <c r="F28" i="5"/>
  <c r="I2012" i="3" l="1"/>
  <c r="I1897" i="3"/>
  <c r="I1896" i="3"/>
  <c r="I2003" i="3"/>
  <c r="I1895" i="3"/>
  <c r="I1894" i="3"/>
  <c r="I1893" i="3"/>
  <c r="I1988" i="3"/>
  <c r="I1982" i="3"/>
  <c r="I1981" i="3"/>
  <c r="I1980" i="3"/>
  <c r="I1979" i="3"/>
  <c r="I1950" i="3"/>
  <c r="I1949" i="3"/>
  <c r="I1953" i="3"/>
  <c r="I1952" i="3"/>
  <c r="I1951" i="3"/>
  <c r="I1941" i="3"/>
  <c r="I1940" i="3"/>
  <c r="I1939" i="3"/>
  <c r="I1943" i="3"/>
  <c r="I1942" i="3"/>
  <c r="I1927" i="3"/>
  <c r="I1925" i="3"/>
  <c r="I1924" i="3"/>
  <c r="I1923" i="3"/>
  <c r="I1926" i="3"/>
  <c r="I1912" i="3"/>
  <c r="I1911" i="3"/>
  <c r="I1910" i="3"/>
  <c r="I1909" i="3"/>
  <c r="I1908" i="3"/>
  <c r="I2006" i="3"/>
  <c r="I2004" i="3"/>
  <c r="I1993" i="3"/>
  <c r="I1989" i="3"/>
  <c r="I1932" i="3"/>
  <c r="I1933" i="3"/>
  <c r="I1931" i="3"/>
  <c r="I1930" i="3"/>
  <c r="I1929" i="3"/>
  <c r="I1902" i="3"/>
  <c r="I1901" i="3"/>
  <c r="I1900" i="3"/>
  <c r="I1899" i="3"/>
  <c r="I1898" i="3"/>
  <c r="I1890" i="3"/>
  <c r="I1891" i="3"/>
  <c r="I1892" i="3"/>
  <c r="I1920" i="3"/>
  <c r="I1922" i="3"/>
  <c r="I1919" i="3"/>
  <c r="I1921" i="3"/>
  <c r="I1889" i="3"/>
  <c r="I1888" i="3"/>
  <c r="I1918" i="3"/>
  <c r="I1991" i="3"/>
  <c r="I1987" i="3"/>
  <c r="I2010" i="3"/>
  <c r="I2001" i="3"/>
  <c r="I1997" i="3"/>
  <c r="I1985" i="3"/>
  <c r="I1969" i="3"/>
  <c r="I1970" i="3"/>
  <c r="I1971" i="3"/>
  <c r="I1878" i="3"/>
  <c r="I1972" i="3"/>
  <c r="I1880" i="3"/>
  <c r="I1879" i="3"/>
  <c r="I1973" i="3"/>
  <c r="I1882" i="3"/>
  <c r="I1881" i="3"/>
  <c r="I2008" i="3"/>
  <c r="I1999" i="3"/>
  <c r="I1870" i="3"/>
  <c r="I1871" i="3"/>
  <c r="I1872" i="3"/>
  <c r="I1960" i="3"/>
  <c r="I1962" i="3"/>
  <c r="I1963" i="3"/>
  <c r="I1961" i="3"/>
  <c r="I1869" i="3"/>
  <c r="I1995" i="3"/>
  <c r="I1868" i="3"/>
  <c r="I1959" i="3"/>
  <c r="I1983" i="3"/>
  <c r="I1852" i="3"/>
  <c r="I1853" i="3"/>
  <c r="I1854" i="3"/>
  <c r="I1855" i="3"/>
  <c r="I1856" i="3"/>
  <c r="I1857" i="3"/>
  <c r="I1858" i="3"/>
  <c r="I1859" i="3"/>
  <c r="I1847" i="3"/>
  <c r="I1846" i="3"/>
  <c r="I1845" i="3"/>
  <c r="I1844" i="3"/>
  <c r="I1851" i="3"/>
  <c r="I1850" i="3"/>
  <c r="I1849" i="3"/>
  <c r="I1848" i="3"/>
  <c r="I1843" i="3"/>
  <c r="I1842" i="3"/>
  <c r="I1841" i="3"/>
  <c r="I1840" i="3"/>
  <c r="I1800" i="3"/>
  <c r="I1801" i="3"/>
  <c r="I1802" i="3"/>
  <c r="I1803" i="3"/>
  <c r="I1807" i="3"/>
  <c r="I1806" i="3"/>
  <c r="I1805" i="3"/>
  <c r="I1804" i="3"/>
  <c r="I1810" i="3"/>
  <c r="I1811" i="3"/>
  <c r="I1809" i="3"/>
  <c r="I1808" i="3"/>
  <c r="I1815" i="3"/>
  <c r="I1814" i="3"/>
  <c r="I1813" i="3"/>
  <c r="I1812" i="3"/>
  <c r="I1796" i="3"/>
  <c r="I1797" i="3"/>
  <c r="I1798" i="3"/>
  <c r="I1828" i="3"/>
  <c r="I1822" i="3"/>
  <c r="I1834" i="3"/>
  <c r="I1816" i="3"/>
  <c r="I1818" i="3"/>
  <c r="I1824" i="3"/>
  <c r="I1830" i="3"/>
  <c r="I1836" i="3"/>
  <c r="I1821" i="3"/>
  <c r="I1833" i="3"/>
  <c r="I1827" i="3"/>
  <c r="I1839" i="3"/>
  <c r="I1820" i="3"/>
  <c r="I1838" i="3"/>
  <c r="I1826" i="3"/>
  <c r="I1832" i="3"/>
  <c r="I1721" i="3"/>
  <c r="I1720" i="3"/>
  <c r="I1705" i="3"/>
  <c r="I1704" i="3"/>
  <c r="I1703" i="3"/>
  <c r="I1702" i="3"/>
  <c r="I1701" i="3"/>
  <c r="I1700" i="3"/>
  <c r="I1714" i="3"/>
  <c r="I1715" i="3"/>
  <c r="I1716" i="3"/>
  <c r="I1717" i="3"/>
  <c r="I1718" i="3"/>
  <c r="I1719" i="3"/>
  <c r="I1696" i="3"/>
  <c r="I1695" i="3"/>
  <c r="I1712" i="3"/>
  <c r="I1711" i="3"/>
  <c r="I1710" i="3"/>
  <c r="I1709" i="3"/>
  <c r="I1708" i="3"/>
  <c r="I1707" i="3"/>
  <c r="I1706" i="3"/>
  <c r="I1694" i="3"/>
  <c r="I1699" i="3"/>
  <c r="I1698" i="3"/>
  <c r="I1697" i="3"/>
  <c r="I1713" i="3"/>
  <c r="I1688" i="3"/>
  <c r="I1690" i="3"/>
  <c r="I1683" i="3"/>
  <c r="I1682" i="3"/>
  <c r="I1691" i="3"/>
  <c r="I1692" i="3"/>
  <c r="I1693" i="3"/>
  <c r="I1681" i="3"/>
  <c r="I1684" i="3"/>
  <c r="I1722" i="3"/>
  <c r="I1769" i="3"/>
  <c r="I1689" i="3"/>
  <c r="I1685" i="3"/>
  <c r="I1686" i="3"/>
  <c r="I1687" i="3"/>
  <c r="I1765" i="3"/>
  <c r="I1766" i="3"/>
  <c r="I1767" i="3"/>
  <c r="I1768" i="3"/>
  <c r="I1671" i="3"/>
  <c r="I1672" i="3"/>
  <c r="I1673" i="3"/>
  <c r="I1675" i="3"/>
  <c r="I1676" i="3"/>
  <c r="I1677" i="3"/>
  <c r="I1678" i="3"/>
  <c r="I1679" i="3"/>
  <c r="I1674" i="3"/>
  <c r="I1680" i="3"/>
  <c r="I1669" i="3"/>
  <c r="I1665" i="3"/>
  <c r="I1666" i="3"/>
  <c r="I1664" i="3"/>
  <c r="I1663" i="3"/>
  <c r="I1667" i="3"/>
  <c r="I1670" i="3"/>
  <c r="I1668" i="3"/>
  <c r="I1762" i="3"/>
  <c r="I1651" i="3"/>
  <c r="I1776" i="3"/>
  <c r="I1777" i="3"/>
  <c r="I1778" i="3"/>
  <c r="I1779" i="3"/>
  <c r="I1652" i="3"/>
  <c r="I1655" i="3"/>
  <c r="I1656" i="3"/>
  <c r="I1657" i="3"/>
  <c r="I1658" i="3"/>
  <c r="I1659" i="3"/>
  <c r="I1764" i="3"/>
  <c r="I1763" i="3"/>
  <c r="I1761" i="3"/>
  <c r="I1660" i="3"/>
  <c r="I1661" i="3"/>
  <c r="I1662" i="3"/>
  <c r="I1650" i="3"/>
  <c r="I1653" i="3"/>
  <c r="I1654" i="3"/>
  <c r="I1645" i="3"/>
  <c r="I1637" i="3"/>
  <c r="I1784" i="3"/>
  <c r="I1785" i="3"/>
  <c r="I1786" i="3"/>
  <c r="I1787" i="3"/>
  <c r="I1638" i="3"/>
  <c r="I1639" i="3"/>
  <c r="I1643" i="3"/>
  <c r="I1644" i="3"/>
  <c r="I1646" i="3"/>
  <c r="I1648" i="3"/>
  <c r="I1647" i="3"/>
  <c r="I1636" i="3"/>
  <c r="I1635" i="3"/>
  <c r="I1634" i="3"/>
  <c r="I1633" i="3"/>
  <c r="I1632" i="3"/>
  <c r="I1649" i="3"/>
  <c r="I1630" i="3"/>
  <c r="I1642" i="3"/>
  <c r="I1641" i="3"/>
  <c r="I1640" i="3"/>
  <c r="I1631" i="3"/>
  <c r="I1759" i="3"/>
  <c r="I1760" i="3"/>
  <c r="I1628" i="3"/>
  <c r="I1629" i="3"/>
  <c r="I1618" i="3"/>
  <c r="I1615" i="3"/>
  <c r="I1613" i="3"/>
  <c r="I1610" i="3"/>
  <c r="I1612" i="3"/>
  <c r="I1611" i="3"/>
  <c r="I1758" i="3"/>
  <c r="I1609" i="3"/>
  <c r="I1755" i="3"/>
  <c r="I1756" i="3"/>
  <c r="I1757" i="3"/>
  <c r="I1604" i="3"/>
  <c r="I1605" i="3"/>
  <c r="I1614" i="3"/>
  <c r="I1622" i="3"/>
  <c r="I1627" i="3"/>
  <c r="I1626" i="3"/>
  <c r="I1625" i="3"/>
  <c r="I1623" i="3"/>
  <c r="I1619" i="3"/>
  <c r="I1621" i="3"/>
  <c r="I1620" i="3"/>
  <c r="I1617" i="3"/>
  <c r="I1624" i="3"/>
  <c r="I1616" i="3"/>
  <c r="I1590" i="3"/>
  <c r="I1591" i="3"/>
  <c r="I1748" i="3"/>
  <c r="I1750" i="3"/>
  <c r="I1749" i="3"/>
  <c r="I1747" i="3"/>
  <c r="I1589" i="3"/>
  <c r="I1588" i="3"/>
  <c r="I1587" i="3"/>
  <c r="I1586" i="3"/>
  <c r="I1585" i="3"/>
  <c r="I1584" i="3"/>
  <c r="I1583" i="3"/>
  <c r="I1582" i="3"/>
  <c r="I1581" i="3"/>
  <c r="I1580" i="3"/>
  <c r="I1606" i="3"/>
  <c r="I1608" i="3"/>
  <c r="I1607" i="3"/>
  <c r="I1745" i="3"/>
  <c r="I1746" i="3"/>
  <c r="I1754" i="3"/>
  <c r="I1753" i="3"/>
  <c r="I1579" i="3"/>
  <c r="I1578" i="3"/>
  <c r="I1577" i="3"/>
  <c r="I1576" i="3"/>
  <c r="I1575" i="3"/>
  <c r="I1592" i="3"/>
  <c r="I1744" i="3"/>
  <c r="I1752" i="3"/>
  <c r="I1751" i="3"/>
  <c r="I1743" i="3"/>
  <c r="I1563" i="3"/>
  <c r="I1603" i="3"/>
  <c r="I1602" i="3"/>
  <c r="I1601" i="3"/>
  <c r="I1600" i="3"/>
  <c r="I1599" i="3"/>
  <c r="I1598" i="3"/>
  <c r="I1597" i="3"/>
  <c r="I1596" i="3"/>
  <c r="I1595" i="3"/>
  <c r="I1594" i="3"/>
  <c r="I1593" i="3"/>
  <c r="I1573" i="3"/>
  <c r="I1572" i="3"/>
  <c r="I1571" i="3"/>
  <c r="I1570" i="3"/>
  <c r="I1569" i="3"/>
  <c r="I1568" i="3"/>
  <c r="I1567" i="3"/>
  <c r="I1566" i="3"/>
  <c r="I1565" i="3"/>
  <c r="I1564" i="3"/>
  <c r="I1562" i="3"/>
  <c r="I1560" i="3"/>
  <c r="I1555" i="3"/>
  <c r="I1554" i="3"/>
  <c r="I1559" i="3"/>
  <c r="I1558" i="3"/>
  <c r="I1552" i="3"/>
  <c r="I1551" i="3"/>
  <c r="I1557" i="3"/>
  <c r="I1553" i="3"/>
  <c r="I1556" i="3"/>
  <c r="I1561" i="3"/>
  <c r="I1534" i="3"/>
  <c r="I1535" i="3"/>
  <c r="I1536" i="3"/>
  <c r="I1537" i="3"/>
  <c r="I1539" i="3"/>
  <c r="I1538" i="3"/>
  <c r="I1545" i="3"/>
  <c r="I1546" i="3"/>
  <c r="I1547" i="3"/>
  <c r="I1548" i="3"/>
  <c r="I1549" i="3"/>
  <c r="I1544" i="3"/>
  <c r="I1772" i="3"/>
  <c r="I1773" i="3"/>
  <c r="I1741" i="3"/>
  <c r="I1740" i="3"/>
  <c r="I1529" i="3"/>
  <c r="I1528" i="3"/>
  <c r="I1526" i="3"/>
  <c r="I1525" i="3"/>
  <c r="I1533" i="3"/>
  <c r="I1532" i="3"/>
  <c r="I1531" i="3"/>
  <c r="I1530" i="3"/>
  <c r="I1541" i="3"/>
  <c r="I1774" i="3"/>
  <c r="I1522" i="3"/>
  <c r="I1543" i="3"/>
  <c r="I1550" i="3"/>
  <c r="I1739" i="3"/>
  <c r="I1540" i="3"/>
  <c r="I1742" i="3"/>
  <c r="I1775" i="3"/>
  <c r="I1523" i="3"/>
  <c r="I1459" i="3"/>
  <c r="I1461" i="3"/>
  <c r="I1463" i="3"/>
  <c r="I1465" i="3"/>
  <c r="I1460" i="3"/>
  <c r="I1458" i="3"/>
  <c r="I1462" i="3"/>
  <c r="I1464" i="3"/>
  <c r="I1456" i="3"/>
  <c r="I1457" i="3"/>
  <c r="I1453" i="3"/>
  <c r="I1452" i="3"/>
  <c r="I1454" i="3"/>
  <c r="I1455" i="3"/>
  <c r="I1451" i="3"/>
  <c r="I1450" i="3"/>
  <c r="I1496" i="3"/>
  <c r="I1424" i="3"/>
  <c r="I1398" i="3"/>
  <c r="I1406" i="3"/>
  <c r="I1413" i="3"/>
  <c r="I1421" i="3"/>
  <c r="I1431" i="3"/>
  <c r="I1439" i="3"/>
  <c r="I1478" i="3"/>
  <c r="I1447" i="3"/>
  <c r="I1519" i="3"/>
  <c r="I1470" i="3"/>
  <c r="I1485" i="3"/>
  <c r="I1493" i="3"/>
  <c r="I1503" i="3"/>
  <c r="I1511" i="3"/>
  <c r="I1415" i="3"/>
  <c r="I1487" i="3"/>
  <c r="I1492" i="3"/>
  <c r="I1484" i="3"/>
  <c r="I1477" i="3"/>
  <c r="I1469" i="3"/>
  <c r="I1510" i="3"/>
  <c r="I1446" i="3"/>
  <c r="I1438" i="3"/>
  <c r="I1430" i="3"/>
  <c r="I1420" i="3"/>
  <c r="I1412" i="3"/>
  <c r="I1405" i="3"/>
  <c r="I1397" i="3"/>
  <c r="I1518" i="3"/>
  <c r="I1502" i="3"/>
  <c r="I1471" i="3"/>
  <c r="I1422" i="3"/>
  <c r="I1520" i="3"/>
  <c r="I1512" i="3"/>
  <c r="I1448" i="3"/>
  <c r="I1414" i="3"/>
  <c r="I1504" i="3"/>
  <c r="I1494" i="3"/>
  <c r="I1407" i="3"/>
  <c r="I1440" i="3"/>
  <c r="I1486" i="3"/>
  <c r="I1399" i="3"/>
  <c r="I1479" i="3"/>
  <c r="I1432" i="3"/>
  <c r="I1507" i="3"/>
  <c r="I1515" i="3"/>
  <c r="I1435" i="3"/>
  <c r="I1402" i="3"/>
  <c r="I1499" i="3"/>
  <c r="I1443" i="3"/>
  <c r="I1427" i="3"/>
  <c r="I1474" i="3"/>
  <c r="I1514" i="3"/>
  <c r="I1506" i="3"/>
  <c r="I1498" i="3"/>
  <c r="I1489" i="3"/>
  <c r="I1481" i="3"/>
  <c r="I1473" i="3"/>
  <c r="I1466" i="3"/>
  <c r="I1442" i="3"/>
  <c r="I1434" i="3"/>
  <c r="I1409" i="3"/>
  <c r="I1401" i="3"/>
  <c r="I1417" i="3"/>
  <c r="I1426" i="3"/>
  <c r="I1394" i="3"/>
  <c r="I913" i="3"/>
  <c r="I911" i="3"/>
  <c r="I909" i="3"/>
  <c r="I907" i="3"/>
  <c r="I912" i="3"/>
  <c r="I910" i="3"/>
  <c r="I908" i="3"/>
  <c r="I906" i="3"/>
  <c r="I1320" i="3"/>
  <c r="I1319" i="3"/>
  <c r="I1318" i="3"/>
  <c r="I905" i="3"/>
  <c r="I904" i="3"/>
  <c r="I901" i="3"/>
  <c r="I900" i="3"/>
  <c r="I1333" i="3"/>
  <c r="I1332" i="3"/>
  <c r="I1321" i="3"/>
  <c r="I1317" i="3"/>
  <c r="I1314" i="3"/>
  <c r="I1316" i="3"/>
  <c r="I1315" i="3"/>
  <c r="I903" i="3"/>
  <c r="I902" i="3"/>
  <c r="I899" i="3"/>
  <c r="I898" i="3"/>
  <c r="I1331" i="3"/>
  <c r="I1330" i="3"/>
  <c r="I510" i="3"/>
  <c r="I681" i="3"/>
  <c r="I504" i="3"/>
  <c r="I680" i="3"/>
  <c r="I490" i="3"/>
  <c r="I679" i="3"/>
  <c r="I297" i="3"/>
  <c r="I897" i="3"/>
  <c r="I489" i="3"/>
  <c r="I896" i="3"/>
  <c r="I505" i="3"/>
  <c r="I895" i="3"/>
  <c r="I894" i="3"/>
  <c r="I506" i="3"/>
  <c r="I893" i="3"/>
  <c r="I507" i="3"/>
  <c r="I508" i="3"/>
  <c r="I678" i="3"/>
  <c r="I1202" i="3"/>
  <c r="I1201" i="3"/>
  <c r="I1200" i="3"/>
  <c r="I1199" i="3"/>
  <c r="I1198" i="3"/>
  <c r="I294" i="3"/>
  <c r="I295" i="3"/>
  <c r="I296" i="3"/>
  <c r="I1197" i="3"/>
  <c r="I298" i="3"/>
  <c r="I299" i="3"/>
  <c r="I1196" i="3"/>
  <c r="I1195" i="3"/>
  <c r="I1186" i="3"/>
  <c r="I1185" i="3"/>
  <c r="I1184" i="3"/>
  <c r="I1183" i="3"/>
  <c r="I1182" i="3"/>
  <c r="I1181" i="3"/>
  <c r="I308" i="3"/>
  <c r="I309" i="3"/>
  <c r="I310" i="3"/>
  <c r="I311" i="3"/>
  <c r="I312" i="3"/>
  <c r="I1277" i="3"/>
  <c r="I1276" i="3"/>
  <c r="I1275" i="3"/>
  <c r="I1274" i="3"/>
  <c r="I1273" i="3"/>
  <c r="I1272" i="3"/>
  <c r="I891" i="3"/>
  <c r="I890" i="3"/>
  <c r="I682" i="3"/>
  <c r="I683" i="3"/>
  <c r="I509" i="3"/>
  <c r="I892" i="3"/>
  <c r="I889" i="3"/>
  <c r="I888" i="3"/>
  <c r="I887" i="3"/>
  <c r="I886" i="3"/>
  <c r="I885" i="3"/>
  <c r="I884" i="3"/>
  <c r="I692" i="3"/>
  <c r="I693" i="3"/>
  <c r="I694" i="3"/>
  <c r="I695" i="3"/>
  <c r="I696" i="3"/>
  <c r="I697" i="3"/>
  <c r="I698" i="3"/>
  <c r="I699" i="3"/>
  <c r="I313" i="3"/>
  <c r="I314" i="3"/>
  <c r="I315" i="3"/>
  <c r="I503" i="3"/>
  <c r="I494" i="3"/>
  <c r="I493" i="3"/>
  <c r="I492" i="3"/>
  <c r="I491" i="3"/>
  <c r="I737" i="3"/>
  <c r="I677" i="3"/>
  <c r="I748" i="3"/>
  <c r="I676" i="3"/>
  <c r="I672" i="3"/>
  <c r="I288" i="3"/>
  <c r="I289" i="3"/>
  <c r="I290" i="3"/>
  <c r="I291" i="3"/>
  <c r="I292" i="3"/>
  <c r="I293" i="3"/>
  <c r="I795" i="3"/>
  <c r="I300" i="3"/>
  <c r="I301" i="3"/>
  <c r="I302" i="3"/>
  <c r="I303" i="3"/>
  <c r="I304" i="3"/>
  <c r="I305" i="3"/>
  <c r="I306" i="3"/>
  <c r="I307" i="3"/>
  <c r="I684" i="3"/>
  <c r="I685" i="3"/>
  <c r="I724" i="3"/>
  <c r="I686" i="3"/>
  <c r="I786" i="3"/>
  <c r="I674" i="3"/>
  <c r="I675" i="3"/>
  <c r="I689" i="3"/>
  <c r="I875" i="3"/>
  <c r="I502" i="3"/>
  <c r="I761" i="3"/>
  <c r="I500" i="3"/>
  <c r="I499" i="3"/>
  <c r="I498" i="3"/>
  <c r="I497" i="3"/>
  <c r="I496" i="3"/>
  <c r="I495" i="3"/>
  <c r="I1194" i="3"/>
  <c r="I1193" i="3"/>
  <c r="I1192" i="3"/>
  <c r="I1191" i="3"/>
  <c r="I1190" i="3"/>
  <c r="I1189" i="3"/>
  <c r="I1188" i="3"/>
  <c r="I1187" i="3"/>
  <c r="I690" i="3"/>
  <c r="I772" i="3"/>
  <c r="I691" i="3"/>
  <c r="I877" i="3"/>
  <c r="I713" i="3"/>
  <c r="I876" i="3"/>
  <c r="I1180" i="3"/>
  <c r="I1179" i="3"/>
  <c r="I1178" i="3"/>
  <c r="I1177" i="3"/>
  <c r="I1176" i="3"/>
  <c r="I1175" i="3"/>
  <c r="I874" i="3"/>
  <c r="I501" i="3"/>
  <c r="I687" i="3"/>
  <c r="I673" i="3"/>
  <c r="I688" i="3"/>
  <c r="I820" i="3"/>
  <c r="I810" i="3"/>
  <c r="I488" i="3"/>
  <c r="I487" i="3"/>
  <c r="I486" i="3"/>
  <c r="I485" i="3"/>
  <c r="I484" i="3"/>
  <c r="I483" i="3"/>
  <c r="I1171" i="3"/>
  <c r="I1169" i="3"/>
  <c r="I278" i="3"/>
  <c r="I279" i="3"/>
  <c r="I1168" i="3"/>
  <c r="I1167" i="3"/>
  <c r="I280" i="3"/>
  <c r="I281" i="3"/>
  <c r="I1166" i="3"/>
  <c r="I1165" i="3"/>
  <c r="I282" i="3"/>
  <c r="I283" i="3"/>
  <c r="I1164" i="3"/>
  <c r="I1163" i="3"/>
  <c r="I284" i="3"/>
  <c r="I1162" i="3"/>
  <c r="I1172" i="3"/>
  <c r="I1170" i="3"/>
  <c r="I285" i="3"/>
  <c r="I277" i="3"/>
  <c r="I286" i="3"/>
  <c r="I287" i="3"/>
  <c r="I276" i="3"/>
  <c r="I275" i="3"/>
  <c r="I274" i="3"/>
  <c r="I1265" i="3"/>
  <c r="I1264" i="3"/>
  <c r="I1263" i="3"/>
  <c r="I1262" i="3"/>
  <c r="I1261" i="3"/>
  <c r="I1260" i="3"/>
  <c r="I1259" i="3"/>
  <c r="I1258" i="3"/>
  <c r="I1203" i="3"/>
  <c r="I1174" i="3"/>
  <c r="I1173" i="3"/>
  <c r="I663" i="3"/>
  <c r="I731" i="3"/>
  <c r="I262" i="3"/>
  <c r="I1158" i="3"/>
  <c r="I669" i="3"/>
  <c r="I662" i="3"/>
  <c r="I661" i="3"/>
  <c r="I660" i="3"/>
  <c r="I659" i="3"/>
  <c r="I658" i="3"/>
  <c r="I744" i="3"/>
  <c r="I263" i="3"/>
  <c r="I668" i="3"/>
  <c r="I1271" i="3"/>
  <c r="I1270" i="3"/>
  <c r="I479" i="3"/>
  <c r="I478" i="3"/>
  <c r="I477" i="3"/>
  <c r="I792" i="3"/>
  <c r="I779" i="3"/>
  <c r="I1159" i="3"/>
  <c r="I802" i="3"/>
  <c r="I264" i="3"/>
  <c r="I1160" i="3"/>
  <c r="I1161" i="3"/>
  <c r="I667" i="3"/>
  <c r="I671" i="3"/>
  <c r="I265" i="3"/>
  <c r="I470" i="3"/>
  <c r="I261" i="3"/>
  <c r="I816" i="3"/>
  <c r="I266" i="3"/>
  <c r="I267" i="3"/>
  <c r="I827" i="3"/>
  <c r="I268" i="3"/>
  <c r="I260" i="3"/>
  <c r="I666" i="3"/>
  <c r="I269" i="3"/>
  <c r="I270" i="3"/>
  <c r="I271" i="3"/>
  <c r="I272" i="3"/>
  <c r="I273" i="3"/>
  <c r="I480" i="3"/>
  <c r="I482" i="3"/>
  <c r="I481" i="3"/>
  <c r="I720" i="3"/>
  <c r="I665" i="3"/>
  <c r="I870" i="3"/>
  <c r="I871" i="3"/>
  <c r="I872" i="3"/>
  <c r="I873" i="3"/>
  <c r="I1269" i="3"/>
  <c r="I1268" i="3"/>
  <c r="I1267" i="3"/>
  <c r="I1266" i="3"/>
  <c r="I471" i="3"/>
  <c r="I472" i="3"/>
  <c r="I473" i="3"/>
  <c r="I474" i="3"/>
  <c r="I475" i="3"/>
  <c r="I670" i="3"/>
  <c r="I755" i="3"/>
  <c r="I768" i="3"/>
  <c r="I664" i="3"/>
  <c r="I469" i="3"/>
  <c r="I476" i="3"/>
  <c r="I1148" i="3"/>
  <c r="I1149" i="3"/>
  <c r="I1150" i="3"/>
  <c r="I1151" i="3"/>
  <c r="I1152" i="3"/>
  <c r="I1153" i="3"/>
  <c r="I1154" i="3"/>
  <c r="I1155" i="3"/>
  <c r="I1156" i="3"/>
  <c r="I1157" i="3"/>
  <c r="I733" i="3"/>
  <c r="I638" i="3"/>
  <c r="I805" i="3"/>
  <c r="I249" i="3"/>
  <c r="I636" i="3"/>
  <c r="I634" i="3"/>
  <c r="I829" i="3"/>
  <c r="I453" i="3"/>
  <c r="I451" i="3"/>
  <c r="I448" i="3"/>
  <c r="I441" i="3"/>
  <c r="I640" i="3"/>
  <c r="I642" i="3"/>
  <c r="I757" i="3"/>
  <c r="I445" i="3"/>
  <c r="I443" i="3"/>
  <c r="I439" i="3"/>
  <c r="I782" i="3"/>
  <c r="I447" i="3"/>
  <c r="I256" i="3"/>
  <c r="I258" i="3"/>
  <c r="I257" i="3"/>
  <c r="I255" i="3"/>
  <c r="I254" i="3"/>
  <c r="I253" i="3"/>
  <c r="I248" i="3"/>
  <c r="I1141" i="3"/>
  <c r="I1142" i="3"/>
  <c r="I1144" i="3"/>
  <c r="I1145" i="3"/>
  <c r="I1146" i="3"/>
  <c r="I1147" i="3"/>
  <c r="I643" i="3"/>
  <c r="I644" i="3"/>
  <c r="I645" i="3"/>
  <c r="I783" i="3"/>
  <c r="I758" i="3"/>
  <c r="I440" i="3"/>
  <c r="I635" i="3"/>
  <c r="I444" i="3"/>
  <c r="I446" i="3"/>
  <c r="I449" i="3"/>
  <c r="I450" i="3"/>
  <c r="I452" i="3"/>
  <c r="I454" i="3"/>
  <c r="I442" i="3"/>
  <c r="I1143" i="3"/>
  <c r="I641" i="3"/>
  <c r="I734" i="3"/>
  <c r="I639" i="3"/>
  <c r="I259" i="3"/>
  <c r="I806" i="3"/>
  <c r="I637" i="3"/>
  <c r="I830" i="3"/>
  <c r="I868" i="3"/>
  <c r="I869" i="3"/>
  <c r="I252" i="3"/>
  <c r="I251" i="3"/>
  <c r="I250" i="3"/>
  <c r="I1140" i="3"/>
  <c r="I247" i="3"/>
  <c r="I246" i="3"/>
  <c r="I245" i="3"/>
  <c r="I244" i="3"/>
  <c r="I468" i="3"/>
  <c r="I652" i="3"/>
  <c r="I437" i="3"/>
  <c r="I238" i="3"/>
  <c r="I237" i="3"/>
  <c r="I236" i="3"/>
  <c r="I235" i="3"/>
  <c r="I234" i="3"/>
  <c r="I647" i="3"/>
  <c r="I233" i="3"/>
  <c r="I232" i="3"/>
  <c r="I1139" i="3"/>
  <c r="I1138" i="3"/>
  <c r="I706" i="3"/>
  <c r="I705" i="3"/>
  <c r="I704" i="3"/>
  <c r="I703" i="3"/>
  <c r="I702" i="3"/>
  <c r="I701" i="3"/>
  <c r="I700" i="3"/>
  <c r="I656" i="3"/>
  <c r="I1137" i="3"/>
  <c r="I1136" i="3"/>
  <c r="I1135" i="3"/>
  <c r="I1134" i="3"/>
  <c r="I1133" i="3"/>
  <c r="I438" i="3"/>
  <c r="I1248" i="3"/>
  <c r="I1249" i="3"/>
  <c r="I1250" i="3"/>
  <c r="I1251" i="3"/>
  <c r="I1132" i="3"/>
  <c r="I1253" i="3"/>
  <c r="I1131" i="3"/>
  <c r="I1130" i="3"/>
  <c r="I1129" i="3"/>
  <c r="I1128" i="3"/>
  <c r="I229" i="3"/>
  <c r="I867" i="3"/>
  <c r="I866" i="3"/>
  <c r="I654" i="3"/>
  <c r="I228" i="3"/>
  <c r="I835" i="3"/>
  <c r="I834" i="3"/>
  <c r="I833" i="3"/>
  <c r="I832" i="3"/>
  <c r="I831" i="3"/>
  <c r="I1125" i="3"/>
  <c r="I1124" i="3"/>
  <c r="I657" i="3"/>
  <c r="I653" i="3"/>
  <c r="I655" i="3"/>
  <c r="I1252" i="3"/>
  <c r="I457" i="3"/>
  <c r="I458" i="3"/>
  <c r="I459" i="3"/>
  <c r="I460" i="3"/>
  <c r="I461" i="3"/>
  <c r="I462" i="3"/>
  <c r="I463" i="3"/>
  <c r="I464" i="3"/>
  <c r="I465" i="3"/>
  <c r="I466" i="3"/>
  <c r="I467" i="3"/>
  <c r="I243" i="3"/>
  <c r="I242" i="3"/>
  <c r="I241" i="3"/>
  <c r="I240" i="3"/>
  <c r="I239" i="3"/>
  <c r="I651" i="3"/>
  <c r="I756" i="3"/>
  <c r="I650" i="3"/>
  <c r="I649" i="3"/>
  <c r="I648" i="3"/>
  <c r="I646" i="3"/>
  <c r="I781" i="3"/>
  <c r="I1127" i="3"/>
  <c r="I1126" i="3"/>
  <c r="I455" i="3"/>
  <c r="I456" i="3"/>
  <c r="I828" i="3"/>
  <c r="I732" i="3"/>
  <c r="I436" i="3"/>
  <c r="I231" i="3"/>
  <c r="I230" i="3"/>
  <c r="I1123" i="3"/>
  <c r="I804" i="3"/>
  <c r="I227" i="3"/>
  <c r="I425" i="3"/>
  <c r="I426" i="3"/>
  <c r="I427" i="3"/>
  <c r="I428" i="3"/>
  <c r="I429" i="3"/>
  <c r="I430" i="3"/>
  <c r="I431" i="3"/>
  <c r="I432" i="3"/>
  <c r="I433" i="3"/>
  <c r="I434" i="3"/>
  <c r="I435" i="3"/>
  <c r="I620" i="3"/>
  <c r="I865" i="3"/>
  <c r="I864" i="3"/>
  <c r="I863" i="3"/>
  <c r="I862" i="3"/>
  <c r="I621" i="3"/>
  <c r="I622" i="3"/>
  <c r="I623" i="3"/>
  <c r="I624" i="3"/>
  <c r="I625" i="3"/>
  <c r="I626" i="3"/>
  <c r="I627" i="3"/>
  <c r="I628" i="3"/>
  <c r="I629" i="3"/>
  <c r="I630" i="3"/>
  <c r="I822" i="3"/>
  <c r="I631" i="3"/>
  <c r="I632" i="3"/>
  <c r="I633" i="3"/>
  <c r="I811" i="3"/>
  <c r="I797" i="3"/>
  <c r="I788" i="3"/>
  <c r="I774" i="3"/>
  <c r="I763" i="3"/>
  <c r="I750" i="3"/>
  <c r="I739" i="3"/>
  <c r="I1246" i="3"/>
  <c r="I726" i="3"/>
  <c r="I1245" i="3"/>
  <c r="I1244" i="3"/>
  <c r="I1243" i="3"/>
  <c r="I1242" i="3"/>
  <c r="I1247" i="3"/>
  <c r="I1121" i="3"/>
  <c r="I715" i="3"/>
  <c r="I1120" i="3"/>
  <c r="I1119" i="3"/>
  <c r="I1118" i="3"/>
  <c r="I710" i="3"/>
  <c r="I709" i="3"/>
  <c r="I708" i="3"/>
  <c r="I707" i="3"/>
  <c r="I1112" i="3"/>
  <c r="I1111" i="3"/>
  <c r="I1110" i="3"/>
  <c r="I1109" i="3"/>
  <c r="I1108" i="3"/>
  <c r="I1107" i="3"/>
  <c r="I1106" i="3"/>
  <c r="I1105" i="3"/>
  <c r="I422" i="3"/>
  <c r="I423" i="3"/>
  <c r="I424" i="3"/>
  <c r="I225" i="3"/>
  <c r="I224" i="3"/>
  <c r="I223" i="3"/>
  <c r="I222" i="3"/>
  <c r="I221" i="3"/>
  <c r="I220" i="3"/>
  <c r="I216" i="3"/>
  <c r="I215" i="3"/>
  <c r="I214" i="3"/>
  <c r="I213" i="3"/>
  <c r="I212" i="3"/>
  <c r="I211" i="3"/>
  <c r="I210" i="3"/>
  <c r="I209" i="3"/>
  <c r="I1114" i="3"/>
  <c r="I1368" i="3"/>
  <c r="I217" i="3"/>
  <c r="I1122" i="3"/>
  <c r="I1208" i="3"/>
  <c r="I1104" i="3"/>
  <c r="I219" i="3"/>
  <c r="I1113" i="3"/>
  <c r="I208" i="3"/>
  <c r="I226" i="3"/>
  <c r="I218" i="3"/>
  <c r="I1115" i="3"/>
  <c r="I205" i="3"/>
  <c r="I1375" i="3"/>
  <c r="I206" i="3"/>
  <c r="I1383" i="3"/>
  <c r="I207" i="3"/>
  <c r="I1391" i="3"/>
  <c r="I1100" i="3"/>
  <c r="I1101" i="3"/>
  <c r="I803" i="3"/>
  <c r="I1102" i="3"/>
  <c r="I1103" i="3"/>
  <c r="I1342" i="3"/>
  <c r="I861" i="3"/>
  <c r="I615" i="3"/>
  <c r="I1350" i="3"/>
  <c r="I417" i="3"/>
  <c r="I1357" i="3"/>
  <c r="I418" i="3"/>
  <c r="I416" i="3"/>
  <c r="I419" i="3"/>
  <c r="I614" i="3"/>
  <c r="I860" i="3"/>
  <c r="I1365" i="3"/>
  <c r="I780" i="3"/>
  <c r="I613" i="3"/>
  <c r="I204" i="3"/>
  <c r="I616" i="3"/>
  <c r="I415" i="3"/>
  <c r="I405" i="3"/>
  <c r="I194" i="3"/>
  <c r="I595" i="3"/>
  <c r="I189" i="3"/>
  <c r="I727" i="3"/>
  <c r="I402" i="3"/>
  <c r="I191" i="3"/>
  <c r="I1090" i="3"/>
  <c r="I608" i="3"/>
  <c r="I751" i="3"/>
  <c r="I1087" i="3"/>
  <c r="I1085" i="3"/>
  <c r="I598" i="3"/>
  <c r="I823" i="3"/>
  <c r="I1359" i="3"/>
  <c r="I1216" i="3"/>
  <c r="I1374" i="3"/>
  <c r="I1382" i="3"/>
  <c r="I1390" i="3"/>
  <c r="I1341" i="3"/>
  <c r="I1214" i="3"/>
  <c r="I1213" i="3"/>
  <c r="I1215" i="3"/>
  <c r="I1349" i="3"/>
  <c r="I1081" i="3"/>
  <c r="I1084" i="3"/>
  <c r="I187" i="3"/>
  <c r="I1356" i="3"/>
  <c r="I1083" i="3"/>
  <c r="I1082" i="3"/>
  <c r="I188" i="3"/>
  <c r="I1364" i="3"/>
  <c r="I185" i="3"/>
  <c r="I186" i="3"/>
  <c r="I813" i="3"/>
  <c r="I1095" i="3"/>
  <c r="I1092" i="3"/>
  <c r="I1096" i="3"/>
  <c r="I1093" i="3"/>
  <c r="I1097" i="3"/>
  <c r="I1098" i="3"/>
  <c r="I1099" i="3"/>
  <c r="I799" i="3"/>
  <c r="I203" i="3"/>
  <c r="I202" i="3"/>
  <c r="I790" i="3"/>
  <c r="I201" i="3"/>
  <c r="I401" i="3"/>
  <c r="I400" i="3"/>
  <c r="I200" i="3"/>
  <c r="I399" i="3"/>
  <c r="I1094" i="3"/>
  <c r="I199" i="3"/>
  <c r="I198" i="3"/>
  <c r="I776" i="3"/>
  <c r="I197" i="3"/>
  <c r="I196" i="3"/>
  <c r="I195" i="3"/>
  <c r="I193" i="3"/>
  <c r="I192" i="3"/>
  <c r="I190" i="3"/>
  <c r="I177" i="3"/>
  <c r="I176" i="3"/>
  <c r="I766" i="3"/>
  <c r="I592" i="3"/>
  <c r="I752" i="3"/>
  <c r="I593" i="3"/>
  <c r="I742" i="3"/>
  <c r="I594" i="3"/>
  <c r="I728" i="3"/>
  <c r="I596" i="3"/>
  <c r="I597" i="3"/>
  <c r="I599" i="3"/>
  <c r="I600" i="3"/>
  <c r="I718" i="3"/>
  <c r="I601" i="3"/>
  <c r="I602" i="3"/>
  <c r="I603" i="3"/>
  <c r="I414" i="3"/>
  <c r="I413" i="3"/>
  <c r="I412" i="3"/>
  <c r="I411" i="3"/>
  <c r="I410" i="3"/>
  <c r="I409" i="3"/>
  <c r="I408" i="3"/>
  <c r="I407" i="3"/>
  <c r="I406" i="3"/>
  <c r="I604" i="3"/>
  <c r="I605" i="3"/>
  <c r="I606" i="3"/>
  <c r="I607" i="3"/>
  <c r="I404" i="3"/>
  <c r="I403" i="3"/>
  <c r="I1072" i="3"/>
  <c r="I1073" i="3"/>
  <c r="I859" i="3"/>
  <c r="I858" i="3"/>
  <c r="I857" i="3"/>
  <c r="I856" i="3"/>
  <c r="I1086" i="3"/>
  <c r="I1088" i="3"/>
  <c r="I1089" i="3"/>
  <c r="I1091" i="3"/>
  <c r="I824" i="3"/>
  <c r="I1057" i="3"/>
  <c r="I1056" i="3"/>
  <c r="I562" i="3"/>
  <c r="I563" i="3"/>
  <c r="I745" i="3"/>
  <c r="I366" i="3"/>
  <c r="I365" i="3"/>
  <c r="I160" i="3"/>
  <c r="I722" i="3"/>
  <c r="I161" i="3"/>
  <c r="I578" i="3"/>
  <c r="I809" i="3"/>
  <c r="I579" i="3"/>
  <c r="I794" i="3"/>
  <c r="I580" i="3"/>
  <c r="I785" i="3"/>
  <c r="I380" i="3"/>
  <c r="I379" i="3"/>
  <c r="I378" i="3"/>
  <c r="I581" i="3"/>
  <c r="I377" i="3"/>
  <c r="I771" i="3"/>
  <c r="I376" i="3"/>
  <c r="I375" i="3"/>
  <c r="I374" i="3"/>
  <c r="I373" i="3"/>
  <c r="I849" i="3"/>
  <c r="I848" i="3"/>
  <c r="I847" i="3"/>
  <c r="I846" i="3"/>
  <c r="I149" i="3"/>
  <c r="I148" i="3"/>
  <c r="I568" i="3"/>
  <c r="I569" i="3"/>
  <c r="I1046" i="3"/>
  <c r="I570" i="3"/>
  <c r="I571" i="3"/>
  <c r="I572" i="3"/>
  <c r="I1045" i="3"/>
  <c r="I1043" i="3"/>
  <c r="I1042" i="3"/>
  <c r="I147" i="3"/>
  <c r="I146" i="3"/>
  <c r="I712" i="3"/>
  <c r="I573" i="3"/>
  <c r="I1241" i="3"/>
  <c r="I723" i="3"/>
  <c r="I736" i="3"/>
  <c r="I574" i="3"/>
  <c r="I819" i="3"/>
  <c r="I575" i="3"/>
  <c r="I576" i="3"/>
  <c r="I1054" i="3"/>
  <c r="I577" i="3"/>
  <c r="I747" i="3"/>
  <c r="I367" i="3"/>
  <c r="I1240" i="3"/>
  <c r="I1053" i="3"/>
  <c r="I1052" i="3"/>
  <c r="I1051" i="3"/>
  <c r="I1050" i="3"/>
  <c r="I1055" i="3"/>
  <c r="I1049" i="3"/>
  <c r="I1048" i="3"/>
  <c r="I368" i="3"/>
  <c r="I1047" i="3"/>
  <c r="I760" i="3"/>
  <c r="I369" i="3"/>
  <c r="I370" i="3"/>
  <c r="I371" i="3"/>
  <c r="I372" i="3"/>
  <c r="I152" i="3"/>
  <c r="I1044" i="3"/>
  <c r="I159" i="3"/>
  <c r="I158" i="3"/>
  <c r="I157" i="3"/>
  <c r="I156" i="3"/>
  <c r="I155" i="3"/>
  <c r="I154" i="3"/>
  <c r="I153" i="3"/>
  <c r="I151" i="3"/>
  <c r="I150" i="3"/>
  <c r="I1036" i="3"/>
  <c r="I1037" i="3"/>
  <c r="I1041" i="3"/>
  <c r="I1075" i="3"/>
  <c r="I1035" i="3"/>
  <c r="I1076" i="3"/>
  <c r="I1040" i="3"/>
  <c r="I1077" i="3"/>
  <c r="I1074" i="3"/>
  <c r="I1079" i="3"/>
  <c r="I1080" i="3"/>
  <c r="I1078" i="3"/>
  <c r="I184" i="3"/>
  <c r="I183" i="3"/>
  <c r="I179" i="3"/>
  <c r="I182" i="3"/>
  <c r="I181" i="3"/>
  <c r="I180" i="3"/>
  <c r="I1039" i="3"/>
  <c r="I178" i="3"/>
  <c r="I1038" i="3"/>
  <c r="I145" i="3"/>
  <c r="I144" i="3"/>
  <c r="I143" i="3"/>
  <c r="I142" i="3"/>
  <c r="I141" i="3"/>
  <c r="I140" i="3"/>
  <c r="I139" i="3"/>
  <c r="I1343" i="3"/>
  <c r="I1034" i="3"/>
  <c r="I1033" i="3"/>
  <c r="I825" i="3"/>
  <c r="I753" i="3"/>
  <c r="I1392" i="3"/>
  <c r="I561" i="3"/>
  <c r="I546" i="3"/>
  <c r="I364" i="3"/>
  <c r="I349" i="3"/>
  <c r="I1384" i="3"/>
  <c r="I1376" i="3"/>
  <c r="I1366" i="3"/>
  <c r="I1358" i="3"/>
  <c r="I1351" i="3"/>
  <c r="I138" i="3"/>
  <c r="I137" i="3"/>
  <c r="I136" i="3"/>
  <c r="I1021" i="3"/>
  <c r="I1022" i="3"/>
  <c r="I1023" i="3"/>
  <c r="I1024" i="3"/>
  <c r="I358" i="3"/>
  <c r="I359" i="3"/>
  <c r="I1025" i="3"/>
  <c r="I123" i="3"/>
  <c r="I124" i="3"/>
  <c r="I360" i="3"/>
  <c r="I361" i="3"/>
  <c r="I362" i="3"/>
  <c r="I363" i="3"/>
  <c r="I583" i="3"/>
  <c r="I769" i="3"/>
  <c r="I1026" i="3"/>
  <c r="I582" i="3"/>
  <c r="I567" i="3"/>
  <c r="I125" i="3"/>
  <c r="I126" i="3"/>
  <c r="I735" i="3"/>
  <c r="I127" i="3"/>
  <c r="I128" i="3"/>
  <c r="I129" i="3"/>
  <c r="I130" i="3"/>
  <c r="I131" i="3"/>
  <c r="I132" i="3"/>
  <c r="I133" i="3"/>
  <c r="I134" i="3"/>
  <c r="I135" i="3"/>
  <c r="I1027" i="3"/>
  <c r="I168" i="3"/>
  <c r="I1028" i="3"/>
  <c r="I1029" i="3"/>
  <c r="I1030" i="3"/>
  <c r="I1031" i="3"/>
  <c r="I1032" i="3"/>
  <c r="I1058" i="3"/>
  <c r="I1059" i="3"/>
  <c r="I1060" i="3"/>
  <c r="I1061" i="3"/>
  <c r="I1062" i="3"/>
  <c r="I1063" i="3"/>
  <c r="I547" i="3"/>
  <c r="I548" i="3"/>
  <c r="I549" i="3"/>
  <c r="I550" i="3"/>
  <c r="I551" i="3"/>
  <c r="I552" i="3"/>
  <c r="I553" i="3"/>
  <c r="I554" i="3"/>
  <c r="I555" i="3"/>
  <c r="I556" i="3"/>
  <c r="I557" i="3"/>
  <c r="I767" i="3"/>
  <c r="I1064" i="3"/>
  <c r="I162" i="3"/>
  <c r="I163" i="3"/>
  <c r="I719" i="3"/>
  <c r="I721" i="3"/>
  <c r="I164" i="3"/>
  <c r="I165" i="3"/>
  <c r="I167" i="3"/>
  <c r="I1065" i="3"/>
  <c r="I382" i="3"/>
  <c r="I169" i="3"/>
  <c r="I170" i="3"/>
  <c r="I171" i="3"/>
  <c r="I172" i="3"/>
  <c r="I173" i="3"/>
  <c r="I174" i="3"/>
  <c r="I175" i="3"/>
  <c r="I383" i="3"/>
  <c r="I384" i="3"/>
  <c r="I385" i="3"/>
  <c r="I386" i="3"/>
  <c r="I387" i="3"/>
  <c r="I388" i="3"/>
  <c r="I558" i="3"/>
  <c r="I559" i="3"/>
  <c r="I560" i="3"/>
  <c r="I711" i="3"/>
  <c r="I389" i="3"/>
  <c r="I390" i="3"/>
  <c r="I391" i="3"/>
  <c r="I392" i="3"/>
  <c r="I393" i="3"/>
  <c r="I394" i="3"/>
  <c r="I730" i="3"/>
  <c r="I395" i="3"/>
  <c r="I564" i="3"/>
  <c r="I565" i="3"/>
  <c r="I1066" i="3"/>
  <c r="I1067" i="3"/>
  <c r="I1068" i="3"/>
  <c r="I1069" i="3"/>
  <c r="I1070" i="3"/>
  <c r="I566" i="3"/>
  <c r="I1071" i="3"/>
  <c r="I1019" i="3"/>
  <c r="I1020" i="3"/>
  <c r="I357" i="3"/>
  <c r="I356" i="3"/>
  <c r="I355" i="3"/>
  <c r="I354" i="3"/>
  <c r="I353" i="3"/>
  <c r="I352" i="3"/>
  <c r="I351" i="3"/>
  <c r="I350" i="3"/>
  <c r="I584" i="3"/>
  <c r="I743" i="3"/>
  <c r="I746" i="3"/>
  <c r="I585" i="3"/>
  <c r="I586" i="3"/>
  <c r="I587" i="3"/>
  <c r="I826" i="3"/>
  <c r="I166" i="3"/>
  <c r="I588" i="3"/>
  <c r="I754" i="3"/>
  <c r="I759" i="3"/>
  <c r="I589" i="3"/>
  <c r="I590" i="3"/>
  <c r="I591" i="3"/>
  <c r="I853" i="3"/>
  <c r="I852" i="3"/>
  <c r="I851" i="3"/>
  <c r="I850" i="3"/>
  <c r="I845" i="3"/>
  <c r="I844" i="3"/>
  <c r="I843" i="3"/>
  <c r="I842" i="3"/>
  <c r="I818" i="3"/>
  <c r="I815" i="3"/>
  <c r="I808" i="3"/>
  <c r="I801" i="3"/>
  <c r="I791" i="3"/>
  <c r="I784" i="3"/>
  <c r="I778" i="3"/>
  <c r="I120" i="3"/>
  <c r="I121" i="3"/>
  <c r="I122" i="3"/>
  <c r="I1379" i="3"/>
  <c r="I839" i="3"/>
  <c r="I535" i="3"/>
  <c r="I717" i="3"/>
  <c r="I348" i="3"/>
  <c r="I347" i="3"/>
  <c r="I346" i="3"/>
  <c r="I345" i="3"/>
  <c r="I344" i="3"/>
  <c r="I343" i="3"/>
  <c r="I342" i="3"/>
  <c r="I341" i="3"/>
  <c r="I340" i="3"/>
  <c r="I536" i="3"/>
  <c r="I537" i="3"/>
  <c r="I538" i="3"/>
  <c r="I539" i="3"/>
  <c r="I540" i="3"/>
  <c r="I541" i="3"/>
  <c r="I542" i="3"/>
  <c r="I543" i="3"/>
  <c r="I544" i="3"/>
  <c r="I545" i="3"/>
  <c r="I1387" i="3"/>
  <c r="I1211" i="3"/>
  <c r="I1012" i="3"/>
  <c r="I1237" i="3"/>
  <c r="I1238" i="3"/>
  <c r="I1239" i="3"/>
  <c r="I1013" i="3"/>
  <c r="I1014" i="3"/>
  <c r="I1015" i="3"/>
  <c r="I1016" i="3"/>
  <c r="I1018" i="3"/>
  <c r="I1209" i="3"/>
  <c r="I1210" i="3"/>
  <c r="I1017" i="3"/>
  <c r="I1212" i="3"/>
  <c r="I841" i="3"/>
  <c r="I840" i="3"/>
  <c r="I838" i="3"/>
  <c r="I765" i="3"/>
  <c r="I741" i="3"/>
  <c r="I812" i="3"/>
  <c r="I1234" i="3"/>
  <c r="I1235" i="3"/>
  <c r="I798" i="3"/>
  <c r="I1236" i="3"/>
  <c r="I1371" i="3"/>
  <c r="I1346" i="3"/>
  <c r="I119" i="3"/>
  <c r="I775" i="3"/>
  <c r="I118" i="3"/>
  <c r="I117" i="3"/>
  <c r="I116" i="3"/>
  <c r="I115" i="3"/>
  <c r="I114" i="3"/>
  <c r="I327" i="3"/>
  <c r="I326" i="3"/>
  <c r="I325" i="3"/>
  <c r="I324" i="3"/>
  <c r="I323" i="3"/>
  <c r="I322" i="3"/>
  <c r="I520" i="3"/>
  <c r="I521" i="3"/>
  <c r="I319" i="3"/>
  <c r="I318" i="3"/>
  <c r="I522" i="3"/>
  <c r="I526" i="3"/>
  <c r="I527" i="3"/>
  <c r="I1003" i="3"/>
  <c r="I729" i="3"/>
  <c r="I997" i="3"/>
  <c r="I880" i="3"/>
  <c r="I879" i="3"/>
  <c r="I996" i="3"/>
  <c r="I995" i="3"/>
  <c r="I994" i="3"/>
  <c r="I993" i="3"/>
  <c r="I992" i="3"/>
  <c r="I764" i="3"/>
  <c r="I511" i="3"/>
  <c r="I1009" i="3"/>
  <c r="I740" i="3"/>
  <c r="I1007" i="3"/>
  <c r="I514" i="3"/>
  <c r="I330" i="3"/>
  <c r="I515" i="3"/>
  <c r="I518" i="3"/>
  <c r="I814" i="3"/>
  <c r="I1228" i="3"/>
  <c r="I1229" i="3"/>
  <c r="I339" i="3"/>
  <c r="I800" i="3"/>
  <c r="I1230" i="3"/>
  <c r="I1231" i="3"/>
  <c r="I789" i="3"/>
  <c r="I1232" i="3"/>
  <c r="I335" i="3"/>
  <c r="I1233" i="3"/>
  <c r="I777" i="3"/>
  <c r="I1006" i="3"/>
  <c r="I1005" i="3"/>
  <c r="I331" i="3"/>
  <c r="I1004" i="3"/>
  <c r="I716" i="3"/>
  <c r="I519" i="3"/>
  <c r="I111" i="3"/>
  <c r="I109" i="3"/>
  <c r="I108" i="3"/>
  <c r="I107" i="3"/>
  <c r="I106" i="3"/>
  <c r="I105" i="3"/>
  <c r="I99" i="3"/>
  <c r="I98" i="3"/>
  <c r="I97" i="3"/>
  <c r="I96" i="3"/>
  <c r="I95" i="3"/>
  <c r="I94" i="3"/>
  <c r="I738" i="3"/>
  <c r="I532" i="3"/>
  <c r="I878" i="3"/>
  <c r="I881" i="3"/>
  <c r="I714" i="3"/>
  <c r="I531" i="3"/>
  <c r="I517" i="3"/>
  <c r="I516" i="3"/>
  <c r="I974" i="3"/>
  <c r="I975" i="3"/>
  <c r="I978" i="3"/>
  <c r="I110" i="3"/>
  <c r="I979" i="3"/>
  <c r="I1002" i="3"/>
  <c r="I1008" i="3"/>
  <c r="I1221" i="3"/>
  <c r="I1222" i="3"/>
  <c r="I104" i="3"/>
  <c r="I1223" i="3"/>
  <c r="I1224" i="3"/>
  <c r="I337" i="3"/>
  <c r="I336" i="3"/>
  <c r="I321" i="3"/>
  <c r="I320" i="3"/>
  <c r="I81" i="3"/>
  <c r="I80" i="3"/>
  <c r="I981" i="3"/>
  <c r="I980" i="3"/>
  <c r="I977" i="3"/>
  <c r="I89" i="3"/>
  <c r="I976" i="3"/>
  <c r="I93" i="3"/>
  <c r="I92" i="3"/>
  <c r="I90" i="3"/>
  <c r="I991" i="3"/>
  <c r="I990" i="3"/>
  <c r="I989" i="3"/>
  <c r="I988" i="3"/>
  <c r="I987" i="3"/>
  <c r="I78" i="3"/>
  <c r="I79" i="3"/>
  <c r="I82" i="3"/>
  <c r="I83" i="3"/>
  <c r="I84" i="3"/>
  <c r="I85" i="3"/>
  <c r="I86" i="3"/>
  <c r="I87" i="3"/>
  <c r="I88" i="3"/>
  <c r="I986" i="3"/>
  <c r="I985" i="3"/>
  <c r="I983" i="3"/>
  <c r="I982" i="3"/>
  <c r="I91" i="3"/>
  <c r="I984" i="3"/>
  <c r="I837" i="3"/>
  <c r="I973" i="3"/>
  <c r="I972" i="3"/>
  <c r="I113" i="3"/>
  <c r="I1345" i="3"/>
  <c r="I1353" i="3"/>
  <c r="I1361" i="3"/>
  <c r="I1370" i="3"/>
  <c r="I770" i="3"/>
  <c r="I530" i="3"/>
  <c r="I529" i="3"/>
  <c r="I534" i="3"/>
  <c r="I762" i="3"/>
  <c r="I100" i="3"/>
  <c r="I533" i="3"/>
  <c r="I1386" i="3"/>
  <c r="I882" i="3"/>
  <c r="I883" i="3"/>
  <c r="I101" i="3"/>
  <c r="I102" i="3"/>
  <c r="I103" i="3"/>
  <c r="I807" i="3"/>
  <c r="I817" i="3"/>
  <c r="I528" i="3"/>
  <c r="I793" i="3"/>
  <c r="I1338" i="3"/>
  <c r="I787" i="3"/>
  <c r="I836" i="3"/>
  <c r="I77" i="3"/>
  <c r="I1378" i="3"/>
  <c r="I76" i="3"/>
  <c r="I316" i="3"/>
  <c r="I317" i="3"/>
  <c r="I328" i="3"/>
  <c r="I332" i="3"/>
  <c r="I333" i="3"/>
  <c r="I334" i="3"/>
  <c r="I338" i="3"/>
  <c r="I1227" i="3"/>
  <c r="I1226" i="3"/>
  <c r="I512" i="3"/>
  <c r="I112" i="3"/>
  <c r="I513" i="3"/>
  <c r="I523" i="3"/>
  <c r="I524" i="3"/>
  <c r="I1225" i="3"/>
  <c r="I1011" i="3"/>
  <c r="I1010" i="3"/>
  <c r="I525" i="3"/>
  <c r="I1001" i="3"/>
  <c r="I1000" i="3"/>
  <c r="I999" i="3"/>
  <c r="I998" i="3"/>
  <c r="I329" i="3"/>
  <c r="I68" i="3"/>
  <c r="I67" i="3"/>
  <c r="I69" i="3"/>
  <c r="I70" i="3"/>
  <c r="I971" i="3"/>
  <c r="I970" i="3"/>
  <c r="I968" i="3"/>
  <c r="I969" i="3"/>
  <c r="I52" i="3"/>
  <c r="I955" i="3"/>
  <c r="I53" i="3"/>
  <c r="I55" i="3"/>
  <c r="I56" i="3"/>
  <c r="I54" i="3"/>
  <c r="I956" i="3"/>
  <c r="I958" i="3"/>
  <c r="I959" i="3"/>
  <c r="I957" i="3"/>
  <c r="I950" i="3"/>
  <c r="I951" i="3"/>
  <c r="I954" i="3"/>
  <c r="I953" i="3"/>
  <c r="I952" i="3"/>
  <c r="I51" i="3"/>
  <c r="I50" i="3"/>
  <c r="I49" i="3"/>
  <c r="I48" i="3"/>
  <c r="I47" i="3"/>
  <c r="I941" i="3"/>
  <c r="I944" i="3"/>
  <c r="I943" i="3"/>
  <c r="I942" i="3"/>
  <c r="I945" i="3"/>
  <c r="I41" i="3"/>
  <c r="I40" i="3"/>
  <c r="I39" i="3"/>
  <c r="I38" i="3"/>
  <c r="I37" i="3"/>
  <c r="I1296" i="3"/>
  <c r="I931" i="3"/>
  <c r="I1278" i="3"/>
  <c r="I932" i="3"/>
  <c r="I1308" i="3"/>
  <c r="I934" i="3"/>
  <c r="I28" i="3"/>
  <c r="I1284" i="3"/>
  <c r="I933" i="3"/>
  <c r="I1290" i="3"/>
  <c r="I935" i="3"/>
  <c r="I1302" i="3"/>
  <c r="I31" i="3"/>
  <c r="I30" i="3"/>
  <c r="I29" i="3"/>
  <c r="I27" i="3"/>
  <c r="I947" i="3"/>
  <c r="I930" i="3"/>
  <c r="I929" i="3"/>
  <c r="I928" i="3"/>
  <c r="I927" i="3"/>
  <c r="I46" i="3"/>
  <c r="I45" i="3"/>
  <c r="I1298" i="3"/>
  <c r="I42" i="3"/>
  <c r="I43" i="3"/>
  <c r="I946" i="3"/>
  <c r="I1292" i="3"/>
  <c r="I1304" i="3"/>
  <c r="I1286" i="3"/>
  <c r="I1310" i="3"/>
  <c r="I1280" i="3"/>
  <c r="I949" i="3"/>
  <c r="I44" i="3"/>
  <c r="I948" i="3"/>
  <c r="I26" i="3"/>
  <c r="I25" i="3"/>
  <c r="I24" i="3"/>
  <c r="I23" i="3"/>
  <c r="I22" i="3"/>
  <c r="I75" i="3"/>
  <c r="I73" i="3"/>
  <c r="I72" i="3"/>
  <c r="I74" i="3"/>
  <c r="I71" i="3"/>
  <c r="I21" i="3"/>
  <c r="I20" i="3"/>
  <c r="I19" i="3"/>
  <c r="I18" i="3"/>
  <c r="I17" i="3"/>
  <c r="I35" i="3"/>
  <c r="I34" i="3"/>
  <c r="I33" i="3"/>
  <c r="I926" i="3"/>
  <c r="I937" i="3"/>
  <c r="I938" i="3"/>
  <c r="I939" i="3"/>
  <c r="I940" i="3"/>
  <c r="I925" i="3"/>
  <c r="I1313" i="3"/>
  <c r="I1307" i="3"/>
  <c r="I1295" i="3"/>
  <c r="I1301" i="3"/>
  <c r="I1289" i="3"/>
  <c r="I1283" i="3"/>
  <c r="I923" i="3"/>
  <c r="I924" i="3"/>
  <c r="I36" i="3"/>
  <c r="I16" i="3"/>
  <c r="I15" i="3"/>
  <c r="I14" i="3"/>
  <c r="I13" i="3"/>
  <c r="I922" i="3"/>
  <c r="I32" i="3"/>
  <c r="I936" i="3"/>
  <c r="I12" i="3"/>
  <c r="I1300" i="3"/>
  <c r="I918" i="3"/>
  <c r="I11" i="3"/>
  <c r="I10" i="3"/>
  <c r="I9" i="3"/>
  <c r="I1282" i="3"/>
  <c r="I8" i="3"/>
  <c r="I1306" i="3"/>
  <c r="I1288" i="3"/>
  <c r="I1294" i="3"/>
  <c r="I7" i="3"/>
  <c r="I964" i="3"/>
  <c r="I965" i="3"/>
  <c r="I966" i="3"/>
  <c r="I66" i="3"/>
  <c r="I64" i="3"/>
  <c r="I63" i="3"/>
  <c r="I62" i="3"/>
  <c r="I65" i="3"/>
  <c r="I967" i="3"/>
  <c r="I921" i="3"/>
  <c r="I920" i="3"/>
  <c r="I1312" i="3"/>
  <c r="I919" i="3"/>
  <c r="I917" i="3"/>
  <c r="I916" i="3"/>
  <c r="I915" i="3"/>
  <c r="I961" i="3"/>
  <c r="I962" i="3"/>
  <c r="I61" i="3"/>
  <c r="I963" i="3"/>
  <c r="I58" i="3"/>
  <c r="I59" i="3"/>
  <c r="I60" i="3"/>
  <c r="I6" i="3"/>
  <c r="I5" i="3"/>
  <c r="I4" i="3"/>
  <c r="I3" i="3"/>
  <c r="I914" i="3"/>
  <c r="I960" i="3"/>
  <c r="I57" i="3"/>
  <c r="I2" i="3"/>
</calcChain>
</file>

<file path=xl/sharedStrings.xml><?xml version="1.0" encoding="utf-8"?>
<sst xmlns="http://schemas.openxmlformats.org/spreadsheetml/2006/main" count="12255" uniqueCount="177">
  <si>
    <t>Data</t>
  </si>
  <si>
    <t>Tipo</t>
  </si>
  <si>
    <t>Regional</t>
  </si>
  <si>
    <t>Texto</t>
  </si>
  <si>
    <t>AM</t>
  </si>
  <si>
    <t>Mes</t>
  </si>
  <si>
    <t>Canal</t>
  </si>
  <si>
    <t>SKU</t>
  </si>
  <si>
    <t>De</t>
  </si>
  <si>
    <t>Para</t>
  </si>
  <si>
    <t>Setembro</t>
  </si>
  <si>
    <t>Chave</t>
  </si>
  <si>
    <t>Valor</t>
  </si>
  <si>
    <t>MesAtual</t>
  </si>
  <si>
    <t>AnoAtual</t>
  </si>
  <si>
    <t>RegionalPadrao</t>
  </si>
  <si>
    <t>Logo</t>
  </si>
  <si>
    <t>logo.png</t>
  </si>
  <si>
    <t>Titulo</t>
  </si>
  <si>
    <t>Calendário 2.0</t>
  </si>
  <si>
    <t>1ª QUINZ</t>
  </si>
  <si>
    <t>2ª QUINZ</t>
  </si>
  <si>
    <t>Quinzena</t>
  </si>
  <si>
    <t>Sell in</t>
  </si>
  <si>
    <t>Sell out</t>
  </si>
  <si>
    <t>ATACADO</t>
  </si>
  <si>
    <t>VAREJO</t>
  </si>
  <si>
    <t>RR/AC</t>
  </si>
  <si>
    <t>DF</t>
  </si>
  <si>
    <t>GO</t>
  </si>
  <si>
    <t>TO/MT/MS</t>
  </si>
  <si>
    <t>GCA P1</t>
  </si>
  <si>
    <t>GCA P1,5</t>
  </si>
  <si>
    <t>PC P2</t>
  </si>
  <si>
    <t>BARE P2</t>
  </si>
  <si>
    <t>H2OH P500</t>
  </si>
  <si>
    <t>SUK P2</t>
  </si>
  <si>
    <t>GCA P2</t>
  </si>
  <si>
    <t>GCA LT350</t>
  </si>
  <si>
    <t>PCB LT350</t>
  </si>
  <si>
    <t>GCA LT269</t>
  </si>
  <si>
    <t>PC LT269</t>
  </si>
  <si>
    <t>H2OH P1,5</t>
  </si>
  <si>
    <t>GCAP1</t>
  </si>
  <si>
    <t>PCP2</t>
  </si>
  <si>
    <t>BAREP2</t>
  </si>
  <si>
    <t>SUKP2</t>
  </si>
  <si>
    <t>GCAP2</t>
  </si>
  <si>
    <t>GCAP1,5</t>
  </si>
  <si>
    <t>H2OHP500</t>
  </si>
  <si>
    <t>GCA350</t>
  </si>
  <si>
    <t>GCA269</t>
  </si>
  <si>
    <t>PC269</t>
  </si>
  <si>
    <t>PCB350</t>
  </si>
  <si>
    <t>H2OHP1,5</t>
  </si>
  <si>
    <t>Nome IMG</t>
  </si>
  <si>
    <t>Caminho</t>
  </si>
  <si>
    <t>Ativação: Quinzenal</t>
  </si>
  <si>
    <t>Apuração Varejo: Pagamento 60% do Sell In no Mês</t>
  </si>
  <si>
    <t>Negociação: Sell In e Sell Out</t>
  </si>
  <si>
    <t>Apuração Cash: Pagamento 100% do Sell In no Mês</t>
  </si>
  <si>
    <t>NAB</t>
  </si>
  <si>
    <t>CERV</t>
  </si>
  <si>
    <t>SK ZERO 269</t>
  </si>
  <si>
    <t>SK ZERO 350</t>
  </si>
  <si>
    <t>STE 350</t>
  </si>
  <si>
    <t>SK 269</t>
  </si>
  <si>
    <t>AP 269</t>
  </si>
  <si>
    <t>BC 269</t>
  </si>
  <si>
    <t>BUD 269</t>
  </si>
  <si>
    <t>BC 0 350</t>
  </si>
  <si>
    <t>BC 350</t>
  </si>
  <si>
    <t>ORI 269</t>
  </si>
  <si>
    <t>AP 350</t>
  </si>
  <si>
    <t>BUD 0 350</t>
  </si>
  <si>
    <t>STE 269</t>
  </si>
  <si>
    <t>BUD 350</t>
  </si>
  <si>
    <t>COR 269</t>
  </si>
  <si>
    <t>MIC 350</t>
  </si>
  <si>
    <t>COR 350</t>
  </si>
  <si>
    <t>COR 0 350</t>
  </si>
  <si>
    <t>BUD 0 LN</t>
  </si>
  <si>
    <t>BUD LN</t>
  </si>
  <si>
    <t>MIC LN</t>
  </si>
  <si>
    <t>STE LN</t>
  </si>
  <si>
    <t>COR LN</t>
  </si>
  <si>
    <t>COR 0 LN</t>
  </si>
  <si>
    <t>MS</t>
  </si>
  <si>
    <t>MT</t>
  </si>
  <si>
    <t>RO</t>
  </si>
  <si>
    <t>AC</t>
  </si>
  <si>
    <t>BUDZEROLN</t>
  </si>
  <si>
    <t>CORCEROLN</t>
  </si>
  <si>
    <t>CORCERO350</t>
  </si>
  <si>
    <t>BUDZERO350</t>
  </si>
  <si>
    <t>HE/CP/MATCH: 50% Volume Mês</t>
  </si>
  <si>
    <t>100% no período, com check de TTC [ Scanntech e Relatórios oficias das redes]</t>
  </si>
  <si>
    <t>Core Varejo: 50% Volume do Mês</t>
  </si>
  <si>
    <t>Outubro</t>
  </si>
  <si>
    <t>Julho</t>
  </si>
  <si>
    <t>SPT 269</t>
  </si>
  <si>
    <t>SPT 350</t>
  </si>
  <si>
    <t>Junho</t>
  </si>
  <si>
    <t>Agosto</t>
  </si>
  <si>
    <t>MATCH</t>
  </si>
  <si>
    <t>CO</t>
  </si>
  <si>
    <t>BEATS LT</t>
  </si>
  <si>
    <t>BEATS LN</t>
  </si>
  <si>
    <t>FF 350</t>
  </si>
  <si>
    <t>FF LN</t>
  </si>
  <si>
    <t>Imagem</t>
  </si>
  <si>
    <t>MATCH: 50% Volume Mês</t>
  </si>
  <si>
    <t>DF/TO</t>
  </si>
  <si>
    <t>AM/PA/RR</t>
  </si>
  <si>
    <t>Core Cash: 60 R$/hl</t>
  </si>
  <si>
    <t>AP 269 MP</t>
  </si>
  <si>
    <t>SK 269 MP</t>
  </si>
  <si>
    <t>BUD 269 MP</t>
  </si>
  <si>
    <t>ORI 269 MP</t>
  </si>
  <si>
    <t>BC 269 MP</t>
  </si>
  <si>
    <t>Apuração Varejo: 100% no período, com check de TTC</t>
  </si>
  <si>
    <t>MIC 269</t>
  </si>
  <si>
    <t>Core Cash: 45 R$/hl</t>
  </si>
  <si>
    <t>STEPG269</t>
  </si>
  <si>
    <t>STE PG 269</t>
  </si>
  <si>
    <t>STE PG 350</t>
  </si>
  <si>
    <t>STEPG350</t>
  </si>
  <si>
    <t>MERCAPROMO</t>
  </si>
  <si>
    <t>CERV: Máximo 8 combos por CPF</t>
  </si>
  <si>
    <t>NAB: Máximo 8 combos por CPF</t>
  </si>
  <si>
    <t>MATCH: Máximo 4 combos por CPF</t>
  </si>
  <si>
    <t>Leve:6</t>
  </si>
  <si>
    <t>Pague:5</t>
  </si>
  <si>
    <t>Leve:15</t>
  </si>
  <si>
    <t>Pague:12</t>
  </si>
  <si>
    <t>Leve:12</t>
  </si>
  <si>
    <t>Pague:10</t>
  </si>
  <si>
    <t>Leve:8</t>
  </si>
  <si>
    <t>Pague:7</t>
  </si>
  <si>
    <t>SPT LN</t>
  </si>
  <si>
    <t>Leve:3</t>
  </si>
  <si>
    <t>Desconto:20%</t>
  </si>
  <si>
    <t>PC SAB 350</t>
  </si>
  <si>
    <t>GATORADE</t>
  </si>
  <si>
    <t>BEATS - FF</t>
  </si>
  <si>
    <t>BEATSFF</t>
  </si>
  <si>
    <t>FORT DF/GO</t>
  </si>
  <si>
    <t>FORT MT/MS</t>
  </si>
  <si>
    <t>Pague:13</t>
  </si>
  <si>
    <t>Leve 2 Beats</t>
  </si>
  <si>
    <t>Ganhe 1 FF</t>
  </si>
  <si>
    <t>BDM 269</t>
  </si>
  <si>
    <t>Promax</t>
  </si>
  <si>
    <t>-</t>
  </si>
  <si>
    <t>EG</t>
  </si>
  <si>
    <t>Novembro</t>
  </si>
  <si>
    <t>PC LT350</t>
  </si>
  <si>
    <t>PC350</t>
  </si>
  <si>
    <t>Leve 3</t>
  </si>
  <si>
    <t>Pague 2</t>
  </si>
  <si>
    <t>POWER PACKS</t>
  </si>
  <si>
    <t>POWER PACKS - PÓS REPASSE - 16/11</t>
  </si>
  <si>
    <t>Leve:1</t>
  </si>
  <si>
    <t>Desconto:15%</t>
  </si>
  <si>
    <t>Leve:2</t>
  </si>
  <si>
    <t>Pague:1</t>
  </si>
  <si>
    <t>GCAD P1</t>
  </si>
  <si>
    <t>GCAD P1,5</t>
  </si>
  <si>
    <t>PCB P2</t>
  </si>
  <si>
    <t>GCAD P2</t>
  </si>
  <si>
    <t>GCAD LT 350</t>
  </si>
  <si>
    <t>GCAD LT269</t>
  </si>
  <si>
    <t>PCB LT269</t>
  </si>
  <si>
    <t>AC/RR</t>
  </si>
  <si>
    <t>PCB269.png</t>
  </si>
  <si>
    <t>GCAD269.png</t>
  </si>
  <si>
    <t>GCAD350.png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</si>
</sst>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5819-473C-445D-A53D-FC51ACB237C6}">
  <sheetPr codeName="Sheet1"/>
  <dimension ref="A1:F64"/>
  <sheetViews>
    <sheetView workbookViewId="0">
      <selection activeCell="F63" sqref="F63"/>
    </sheetView>
  </sheetViews>
  <sheetFormatPr defaultRowHeight="15" x14ac:dyDescent="0.25"/>
  <cols>
    <col min="2" max="2" width="11.28515625" bestFit="1" customWidth="1"/>
    <col min="4" max="4" width="11.5703125" bestFit="1" customWidth="1"/>
    <col min="5" max="5" width="10.7109375" bestFit="1" customWidth="1"/>
    <col min="6" max="6" width="14.7109375" bestFit="1" customWidth="1"/>
  </cols>
  <sheetData>
    <row r="1" spans="1:6" x14ac:dyDescent="0.25">
      <c r="A1" s="4" t="s">
        <v>1</v>
      </c>
      <c r="B1" s="4" t="s">
        <v>152</v>
      </c>
      <c r="C1" s="4" t="s">
        <v>154</v>
      </c>
      <c r="D1" s="4" t="s">
        <v>7</v>
      </c>
      <c r="E1" s="4" t="s">
        <v>55</v>
      </c>
      <c r="F1" s="4" t="s">
        <v>56</v>
      </c>
    </row>
    <row r="2" spans="1:6" x14ac:dyDescent="0.25">
      <c r="A2" t="s">
        <v>62</v>
      </c>
      <c r="B2">
        <v>9224</v>
      </c>
      <c r="C2">
        <v>92247</v>
      </c>
      <c r="D2" t="s">
        <v>67</v>
      </c>
      <c r="E2" t="str">
        <f>SUBSTITUTE(D2," ","")</f>
        <v>AP269</v>
      </c>
      <c r="F2" t="str">
        <f t="shared" ref="F2:F49" si="0">E2&amp;".png"</f>
        <v>AP269.png</v>
      </c>
    </row>
    <row r="3" spans="1:6" x14ac:dyDescent="0.25">
      <c r="A3" t="s">
        <v>62</v>
      </c>
      <c r="B3">
        <v>18858</v>
      </c>
      <c r="C3">
        <v>188581</v>
      </c>
      <c r="D3" t="s">
        <v>115</v>
      </c>
      <c r="E3" t="str">
        <f>SUBSTITUTE(D3," ","")</f>
        <v>AP269MP</v>
      </c>
      <c r="F3" t="str">
        <f t="shared" si="0"/>
        <v>AP269MP.png</v>
      </c>
    </row>
    <row r="4" spans="1:6" x14ac:dyDescent="0.25">
      <c r="A4" t="s">
        <v>62</v>
      </c>
      <c r="B4">
        <v>9067</v>
      </c>
      <c r="C4">
        <v>90670</v>
      </c>
      <c r="D4" t="s">
        <v>73</v>
      </c>
      <c r="E4" t="str">
        <f>SUBSTITUTE(D4," ","")</f>
        <v>AP350</v>
      </c>
      <c r="F4" t="str">
        <f t="shared" si="0"/>
        <v>AP350.png</v>
      </c>
    </row>
    <row r="5" spans="1:6" x14ac:dyDescent="0.25">
      <c r="A5" t="s">
        <v>61</v>
      </c>
      <c r="B5">
        <v>2357</v>
      </c>
      <c r="C5">
        <v>23572</v>
      </c>
      <c r="D5" t="s">
        <v>34</v>
      </c>
      <c r="E5" t="s">
        <v>45</v>
      </c>
      <c r="F5" t="str">
        <f t="shared" si="0"/>
        <v>BAREP2.png</v>
      </c>
    </row>
    <row r="6" spans="1:6" x14ac:dyDescent="0.25">
      <c r="A6" t="s">
        <v>62</v>
      </c>
      <c r="B6">
        <v>12948</v>
      </c>
      <c r="C6">
        <v>129486</v>
      </c>
      <c r="D6" t="s">
        <v>70</v>
      </c>
      <c r="E6" t="str">
        <f t="shared" ref="E6:E15" si="1">SUBSTITUTE(D6," ","")</f>
        <v>BC0350</v>
      </c>
      <c r="F6" t="str">
        <f t="shared" si="0"/>
        <v>BC0350.png</v>
      </c>
    </row>
    <row r="7" spans="1:6" x14ac:dyDescent="0.25">
      <c r="A7" t="s">
        <v>62</v>
      </c>
      <c r="B7">
        <v>1898</v>
      </c>
      <c r="C7">
        <v>18986</v>
      </c>
      <c r="D7" t="s">
        <v>68</v>
      </c>
      <c r="E7" t="str">
        <f t="shared" si="1"/>
        <v>BC269</v>
      </c>
      <c r="F7" t="str">
        <f t="shared" si="0"/>
        <v>BC269.png</v>
      </c>
    </row>
    <row r="8" spans="1:6" x14ac:dyDescent="0.25">
      <c r="A8" t="s">
        <v>62</v>
      </c>
      <c r="B8">
        <v>18860</v>
      </c>
      <c r="C8">
        <v>188607</v>
      </c>
      <c r="D8" t="s">
        <v>119</v>
      </c>
      <c r="E8" t="str">
        <f t="shared" si="1"/>
        <v>BC269MP</v>
      </c>
      <c r="F8" t="str">
        <f t="shared" si="0"/>
        <v>BC269MP.png</v>
      </c>
    </row>
    <row r="9" spans="1:6" x14ac:dyDescent="0.25">
      <c r="A9" t="s">
        <v>62</v>
      </c>
      <c r="B9">
        <v>9069</v>
      </c>
      <c r="C9">
        <v>90696</v>
      </c>
      <c r="D9" t="s">
        <v>71</v>
      </c>
      <c r="E9" t="str">
        <f t="shared" si="1"/>
        <v>BC350</v>
      </c>
      <c r="F9" t="str">
        <f t="shared" si="0"/>
        <v>BC350.png</v>
      </c>
    </row>
    <row r="10" spans="1:6" x14ac:dyDescent="0.25">
      <c r="A10" s="2" t="s">
        <v>104</v>
      </c>
      <c r="B10" t="s">
        <v>153</v>
      </c>
      <c r="C10" t="s">
        <v>153</v>
      </c>
      <c r="D10" s="2" t="s">
        <v>107</v>
      </c>
      <c r="E10" t="str">
        <f t="shared" si="1"/>
        <v>BEATSLN</v>
      </c>
      <c r="F10" t="str">
        <f t="shared" si="0"/>
        <v>BEATSLN.png</v>
      </c>
    </row>
    <row r="11" spans="1:6" x14ac:dyDescent="0.25">
      <c r="A11" s="2" t="s">
        <v>104</v>
      </c>
      <c r="B11" t="s">
        <v>153</v>
      </c>
      <c r="C11" t="s">
        <v>153</v>
      </c>
      <c r="D11" s="2" t="s">
        <v>106</v>
      </c>
      <c r="E11" t="str">
        <f t="shared" si="1"/>
        <v>BEATSLT</v>
      </c>
      <c r="F11" t="str">
        <f t="shared" si="0"/>
        <v>BEATSLT.png</v>
      </c>
    </row>
    <row r="12" spans="1:6" x14ac:dyDescent="0.25">
      <c r="A12" t="s">
        <v>62</v>
      </c>
      <c r="B12">
        <v>31064</v>
      </c>
      <c r="C12">
        <v>310649</v>
      </c>
      <c r="D12" t="s">
        <v>69</v>
      </c>
      <c r="E12" t="str">
        <f t="shared" si="1"/>
        <v>BUD269</v>
      </c>
      <c r="F12" t="str">
        <f t="shared" si="0"/>
        <v>BUD269.png</v>
      </c>
    </row>
    <row r="13" spans="1:6" x14ac:dyDescent="0.25">
      <c r="A13" t="s">
        <v>62</v>
      </c>
      <c r="B13">
        <v>34137</v>
      </c>
      <c r="C13">
        <v>341370</v>
      </c>
      <c r="D13" t="s">
        <v>117</v>
      </c>
      <c r="E13" t="str">
        <f t="shared" si="1"/>
        <v>BUD269MP</v>
      </c>
      <c r="F13" t="str">
        <f t="shared" si="0"/>
        <v>BUD269MP.png</v>
      </c>
    </row>
    <row r="14" spans="1:6" x14ac:dyDescent="0.25">
      <c r="A14" t="s">
        <v>62</v>
      </c>
      <c r="B14">
        <v>21020</v>
      </c>
      <c r="C14">
        <v>210203</v>
      </c>
      <c r="D14" t="s">
        <v>76</v>
      </c>
      <c r="E14" t="str">
        <f t="shared" si="1"/>
        <v>BUD350</v>
      </c>
      <c r="F14" t="str">
        <f t="shared" si="0"/>
        <v>BUD350.png</v>
      </c>
    </row>
    <row r="15" spans="1:6" x14ac:dyDescent="0.25">
      <c r="A15" t="s">
        <v>62</v>
      </c>
      <c r="B15">
        <v>17808</v>
      </c>
      <c r="C15">
        <v>178087</v>
      </c>
      <c r="D15" t="s">
        <v>82</v>
      </c>
      <c r="E15" t="str">
        <f t="shared" si="1"/>
        <v>BUDLN</v>
      </c>
      <c r="F15" t="str">
        <f t="shared" si="0"/>
        <v>BUDLN.png</v>
      </c>
    </row>
    <row r="16" spans="1:6" x14ac:dyDescent="0.25">
      <c r="A16" t="s">
        <v>62</v>
      </c>
      <c r="B16">
        <v>22177</v>
      </c>
      <c r="C16">
        <v>221770</v>
      </c>
      <c r="D16" t="s">
        <v>74</v>
      </c>
      <c r="E16" t="s">
        <v>94</v>
      </c>
      <c r="F16" t="str">
        <f t="shared" si="0"/>
        <v>BUDZERO350.png</v>
      </c>
    </row>
    <row r="17" spans="1:6" x14ac:dyDescent="0.25">
      <c r="A17" t="s">
        <v>62</v>
      </c>
      <c r="B17">
        <v>22180</v>
      </c>
      <c r="C17">
        <v>221804</v>
      </c>
      <c r="D17" t="s">
        <v>81</v>
      </c>
      <c r="E17" t="s">
        <v>91</v>
      </c>
      <c r="F17" t="str">
        <f t="shared" si="0"/>
        <v>BUDZEROLN.png</v>
      </c>
    </row>
    <row r="18" spans="1:6" x14ac:dyDescent="0.25">
      <c r="A18" t="s">
        <v>62</v>
      </c>
      <c r="B18">
        <v>32392</v>
      </c>
      <c r="C18">
        <v>323923</v>
      </c>
      <c r="D18" t="s">
        <v>77</v>
      </c>
      <c r="E18" t="str">
        <f>SUBSTITUTE(D18," ","")</f>
        <v>COR269</v>
      </c>
      <c r="F18" t="str">
        <f t="shared" si="0"/>
        <v>COR269.png</v>
      </c>
    </row>
    <row r="19" spans="1:6" x14ac:dyDescent="0.25">
      <c r="A19" t="s">
        <v>62</v>
      </c>
      <c r="B19">
        <v>20651</v>
      </c>
      <c r="C19">
        <v>206516</v>
      </c>
      <c r="D19" t="s">
        <v>79</v>
      </c>
      <c r="E19" t="str">
        <f>SUBSTITUTE(D19," ","")</f>
        <v>COR350</v>
      </c>
      <c r="F19" t="str">
        <f t="shared" si="0"/>
        <v>COR350.png</v>
      </c>
    </row>
    <row r="20" spans="1:6" x14ac:dyDescent="0.25">
      <c r="A20" t="s">
        <v>62</v>
      </c>
      <c r="B20">
        <v>34263</v>
      </c>
      <c r="C20">
        <v>342634</v>
      </c>
      <c r="D20" t="s">
        <v>80</v>
      </c>
      <c r="E20" t="s">
        <v>93</v>
      </c>
      <c r="F20" t="str">
        <f t="shared" si="0"/>
        <v>CORCERO350.png</v>
      </c>
    </row>
    <row r="21" spans="1:6" x14ac:dyDescent="0.25">
      <c r="A21" t="s">
        <v>62</v>
      </c>
      <c r="B21">
        <v>27866</v>
      </c>
      <c r="C21">
        <v>278663</v>
      </c>
      <c r="D21" t="s">
        <v>86</v>
      </c>
      <c r="E21" t="s">
        <v>92</v>
      </c>
      <c r="F21" t="str">
        <f t="shared" si="0"/>
        <v>CORCEROLN.png</v>
      </c>
    </row>
    <row r="22" spans="1:6" x14ac:dyDescent="0.25">
      <c r="A22" t="s">
        <v>62</v>
      </c>
      <c r="B22">
        <v>18836</v>
      </c>
      <c r="C22">
        <v>188367</v>
      </c>
      <c r="D22" t="s">
        <v>85</v>
      </c>
      <c r="E22" t="str">
        <f>SUBSTITUTE(D22," ","")</f>
        <v>CORLN</v>
      </c>
      <c r="F22" t="str">
        <f t="shared" si="0"/>
        <v>CORLN.png</v>
      </c>
    </row>
    <row r="23" spans="1:6" x14ac:dyDescent="0.25">
      <c r="A23" s="2" t="s">
        <v>104</v>
      </c>
      <c r="B23">
        <v>35319</v>
      </c>
      <c r="C23">
        <v>353193</v>
      </c>
      <c r="D23" s="2" t="s">
        <v>108</v>
      </c>
      <c r="E23" t="str">
        <f>SUBSTITUTE(D23," ","")</f>
        <v>FF350</v>
      </c>
      <c r="F23" t="str">
        <f t="shared" si="0"/>
        <v>FF350.png</v>
      </c>
    </row>
    <row r="24" spans="1:6" x14ac:dyDescent="0.25">
      <c r="A24" s="2" t="s">
        <v>104</v>
      </c>
      <c r="B24">
        <v>35113</v>
      </c>
      <c r="C24">
        <v>351130</v>
      </c>
      <c r="D24" s="2" t="s">
        <v>109</v>
      </c>
      <c r="E24" t="str">
        <f>SUBSTITUTE(D24," ","")</f>
        <v>FFLN</v>
      </c>
      <c r="F24" t="str">
        <f t="shared" si="0"/>
        <v>FFLN.png</v>
      </c>
    </row>
    <row r="25" spans="1:6" x14ac:dyDescent="0.25">
      <c r="A25" t="s">
        <v>61</v>
      </c>
      <c r="B25">
        <v>12360</v>
      </c>
      <c r="C25">
        <v>123604</v>
      </c>
      <c r="D25" t="s">
        <v>40</v>
      </c>
      <c r="E25" t="s">
        <v>51</v>
      </c>
      <c r="F25" t="str">
        <f t="shared" si="0"/>
        <v>GCA269.png</v>
      </c>
    </row>
    <row r="26" spans="1:6" x14ac:dyDescent="0.25">
      <c r="A26" t="s">
        <v>61</v>
      </c>
      <c r="B26">
        <v>9084</v>
      </c>
      <c r="C26">
        <v>90845</v>
      </c>
      <c r="D26" t="s">
        <v>38</v>
      </c>
      <c r="E26" t="s">
        <v>50</v>
      </c>
      <c r="F26" t="str">
        <f t="shared" si="0"/>
        <v>GCA350.png</v>
      </c>
    </row>
    <row r="27" spans="1:6" x14ac:dyDescent="0.25">
      <c r="A27" t="s">
        <v>61</v>
      </c>
      <c r="B27">
        <v>8411</v>
      </c>
      <c r="C27">
        <v>84111</v>
      </c>
      <c r="D27" t="s">
        <v>32</v>
      </c>
      <c r="E27" t="s">
        <v>48</v>
      </c>
      <c r="F27" t="str">
        <f t="shared" si="0"/>
        <v>GCAP1,5.png</v>
      </c>
    </row>
    <row r="28" spans="1:6" x14ac:dyDescent="0.25">
      <c r="A28" t="s">
        <v>61</v>
      </c>
      <c r="B28">
        <v>2132</v>
      </c>
      <c r="C28">
        <v>21329</v>
      </c>
      <c r="D28" t="s">
        <v>31</v>
      </c>
      <c r="E28" t="s">
        <v>43</v>
      </c>
      <c r="F28" t="str">
        <f t="shared" si="0"/>
        <v>GCAP1.png</v>
      </c>
    </row>
    <row r="29" spans="1:6" x14ac:dyDescent="0.25">
      <c r="A29" t="s">
        <v>61</v>
      </c>
      <c r="B29">
        <v>2349</v>
      </c>
      <c r="C29">
        <v>23499</v>
      </c>
      <c r="D29" t="s">
        <v>37</v>
      </c>
      <c r="E29" t="s">
        <v>47</v>
      </c>
      <c r="F29" t="str">
        <f t="shared" si="0"/>
        <v>GCAP2.png</v>
      </c>
    </row>
    <row r="30" spans="1:6" x14ac:dyDescent="0.25">
      <c r="A30" t="s">
        <v>61</v>
      </c>
      <c r="B30">
        <v>8793</v>
      </c>
      <c r="C30">
        <v>87932</v>
      </c>
      <c r="D30" t="s">
        <v>42</v>
      </c>
      <c r="E30" t="s">
        <v>54</v>
      </c>
      <c r="F30" t="str">
        <f t="shared" si="0"/>
        <v>H2OHP1,5.png</v>
      </c>
    </row>
    <row r="31" spans="1:6" x14ac:dyDescent="0.25">
      <c r="A31" t="s">
        <v>61</v>
      </c>
      <c r="B31">
        <v>8791</v>
      </c>
      <c r="C31">
        <v>87916</v>
      </c>
      <c r="D31" t="s">
        <v>35</v>
      </c>
      <c r="E31" t="s">
        <v>49</v>
      </c>
      <c r="F31" t="str">
        <f t="shared" si="0"/>
        <v>H2OHP500.png</v>
      </c>
    </row>
    <row r="32" spans="1:6" x14ac:dyDescent="0.25">
      <c r="A32" s="2" t="s">
        <v>62</v>
      </c>
      <c r="B32">
        <v>24346</v>
      </c>
      <c r="C32">
        <v>243469</v>
      </c>
      <c r="D32" s="2" t="s">
        <v>121</v>
      </c>
      <c r="E32" t="str">
        <f>SUBSTITUTE(D32," ","")</f>
        <v>MIC269</v>
      </c>
      <c r="F32" t="str">
        <f t="shared" si="0"/>
        <v>MIC269.png</v>
      </c>
    </row>
    <row r="33" spans="1:6" x14ac:dyDescent="0.25">
      <c r="A33" t="s">
        <v>62</v>
      </c>
      <c r="B33">
        <v>4262</v>
      </c>
      <c r="C33">
        <v>42622</v>
      </c>
      <c r="D33" t="s">
        <v>78</v>
      </c>
      <c r="E33" t="str">
        <f>SUBSTITUTE(D33," ","")</f>
        <v>MIC350</v>
      </c>
      <c r="F33" t="str">
        <f t="shared" si="0"/>
        <v>MIC350.png</v>
      </c>
    </row>
    <row r="34" spans="1:6" x14ac:dyDescent="0.25">
      <c r="A34" t="s">
        <v>62</v>
      </c>
      <c r="B34">
        <v>24168</v>
      </c>
      <c r="C34">
        <v>241687</v>
      </c>
      <c r="D34" t="s">
        <v>83</v>
      </c>
      <c r="E34" t="str">
        <f>SUBSTITUTE(D34," ","")</f>
        <v>MICLN</v>
      </c>
      <c r="F34" t="str">
        <f t="shared" si="0"/>
        <v>MICLN.png</v>
      </c>
    </row>
    <row r="35" spans="1:6" x14ac:dyDescent="0.25">
      <c r="A35" t="s">
        <v>62</v>
      </c>
      <c r="B35">
        <v>21946</v>
      </c>
      <c r="C35">
        <v>219469</v>
      </c>
      <c r="D35" t="s">
        <v>72</v>
      </c>
      <c r="E35" t="str">
        <f>SUBSTITUTE(D35," ","")</f>
        <v>ORI269</v>
      </c>
      <c r="F35" t="str">
        <f t="shared" si="0"/>
        <v>ORI269.png</v>
      </c>
    </row>
    <row r="36" spans="1:6" x14ac:dyDescent="0.25">
      <c r="A36" t="s">
        <v>62</v>
      </c>
      <c r="B36">
        <v>33324</v>
      </c>
      <c r="C36">
        <v>333245</v>
      </c>
      <c r="D36" t="s">
        <v>118</v>
      </c>
      <c r="E36" t="str">
        <f>SUBSTITUTE(D36," ","")</f>
        <v>ORI269MP</v>
      </c>
      <c r="F36" t="str">
        <f t="shared" si="0"/>
        <v>ORI269MP.png</v>
      </c>
    </row>
    <row r="37" spans="1:6" x14ac:dyDescent="0.25">
      <c r="A37" t="s">
        <v>61</v>
      </c>
      <c r="B37">
        <v>14842</v>
      </c>
      <c r="C37">
        <v>148429</v>
      </c>
      <c r="D37" t="s">
        <v>41</v>
      </c>
      <c r="E37" t="s">
        <v>52</v>
      </c>
      <c r="F37" t="str">
        <f t="shared" si="0"/>
        <v>PC269.png</v>
      </c>
    </row>
    <row r="38" spans="1:6" x14ac:dyDescent="0.25">
      <c r="A38" t="s">
        <v>61</v>
      </c>
      <c r="B38">
        <v>9274</v>
      </c>
      <c r="C38">
        <v>92742</v>
      </c>
      <c r="D38" t="s">
        <v>39</v>
      </c>
      <c r="E38" t="s">
        <v>53</v>
      </c>
      <c r="F38" t="str">
        <f t="shared" si="0"/>
        <v>PCB350.png</v>
      </c>
    </row>
    <row r="39" spans="1:6" x14ac:dyDescent="0.25">
      <c r="A39" t="s">
        <v>61</v>
      </c>
      <c r="B39">
        <v>504</v>
      </c>
      <c r="C39">
        <v>5041</v>
      </c>
      <c r="D39" t="s">
        <v>33</v>
      </c>
      <c r="E39" t="s">
        <v>44</v>
      </c>
      <c r="F39" t="str">
        <f t="shared" si="0"/>
        <v>PCP2.png</v>
      </c>
    </row>
    <row r="40" spans="1:6" x14ac:dyDescent="0.25">
      <c r="A40" t="s">
        <v>62</v>
      </c>
      <c r="B40">
        <v>1745</v>
      </c>
      <c r="C40">
        <v>17459</v>
      </c>
      <c r="D40" t="s">
        <v>66</v>
      </c>
      <c r="E40" t="str">
        <f t="shared" ref="E40:E48" si="2">SUBSTITUTE(D40," ","")</f>
        <v>SK269</v>
      </c>
      <c r="F40" t="str">
        <f t="shared" si="0"/>
        <v>SK269.png</v>
      </c>
    </row>
    <row r="41" spans="1:6" x14ac:dyDescent="0.25">
      <c r="A41" t="s">
        <v>62</v>
      </c>
      <c r="B41">
        <v>18856</v>
      </c>
      <c r="C41">
        <v>188565</v>
      </c>
      <c r="D41" t="s">
        <v>116</v>
      </c>
      <c r="E41" t="str">
        <f t="shared" si="2"/>
        <v>SK269MP</v>
      </c>
      <c r="F41" t="str">
        <f t="shared" si="0"/>
        <v>SK269MP.png</v>
      </c>
    </row>
    <row r="42" spans="1:6" x14ac:dyDescent="0.25">
      <c r="A42" t="s">
        <v>62</v>
      </c>
      <c r="B42">
        <v>36282</v>
      </c>
      <c r="C42">
        <v>362822</v>
      </c>
      <c r="D42" t="s">
        <v>63</v>
      </c>
      <c r="E42" t="str">
        <f t="shared" si="2"/>
        <v>SKZERO269</v>
      </c>
      <c r="F42" t="str">
        <f t="shared" si="0"/>
        <v>SKZERO269.png</v>
      </c>
    </row>
    <row r="43" spans="1:6" x14ac:dyDescent="0.25">
      <c r="A43" t="s">
        <v>62</v>
      </c>
      <c r="B43">
        <v>36028</v>
      </c>
      <c r="C43">
        <v>360289</v>
      </c>
      <c r="D43" t="s">
        <v>64</v>
      </c>
      <c r="E43" t="str">
        <f t="shared" si="2"/>
        <v>SKZERO350</v>
      </c>
      <c r="F43" t="str">
        <f t="shared" si="0"/>
        <v>SKZERO350.png</v>
      </c>
    </row>
    <row r="44" spans="1:6" x14ac:dyDescent="0.25">
      <c r="A44" t="s">
        <v>62</v>
      </c>
      <c r="B44">
        <v>26204</v>
      </c>
      <c r="C44">
        <v>262048</v>
      </c>
      <c r="D44" t="s">
        <v>100</v>
      </c>
      <c r="E44" t="str">
        <f t="shared" si="2"/>
        <v>SPT269</v>
      </c>
      <c r="F44" t="str">
        <f t="shared" si="0"/>
        <v>SPT269.png</v>
      </c>
    </row>
    <row r="45" spans="1:6" x14ac:dyDescent="0.25">
      <c r="A45" t="s">
        <v>62</v>
      </c>
      <c r="B45">
        <v>21658</v>
      </c>
      <c r="C45">
        <v>216580</v>
      </c>
      <c r="D45" t="s">
        <v>101</v>
      </c>
      <c r="E45" t="str">
        <f t="shared" si="2"/>
        <v>SPT350</v>
      </c>
      <c r="F45" t="str">
        <f t="shared" si="0"/>
        <v>SPT350.png</v>
      </c>
    </row>
    <row r="46" spans="1:6" x14ac:dyDescent="0.25">
      <c r="A46" t="s">
        <v>62</v>
      </c>
      <c r="B46">
        <v>1699</v>
      </c>
      <c r="C46">
        <v>16998</v>
      </c>
      <c r="D46" t="s">
        <v>75</v>
      </c>
      <c r="E46" t="str">
        <f t="shared" si="2"/>
        <v>STE269</v>
      </c>
      <c r="F46" t="str">
        <f t="shared" si="0"/>
        <v>STE269.png</v>
      </c>
    </row>
    <row r="47" spans="1:6" x14ac:dyDescent="0.25">
      <c r="A47" t="s">
        <v>62</v>
      </c>
      <c r="B47">
        <v>19729</v>
      </c>
      <c r="C47">
        <v>197293</v>
      </c>
      <c r="D47" t="s">
        <v>65</v>
      </c>
      <c r="E47" t="str">
        <f t="shared" si="2"/>
        <v>STE350</v>
      </c>
      <c r="F47" t="str">
        <f t="shared" si="0"/>
        <v>STE350.png</v>
      </c>
    </row>
    <row r="48" spans="1:6" x14ac:dyDescent="0.25">
      <c r="A48" t="s">
        <v>62</v>
      </c>
      <c r="B48">
        <v>18807</v>
      </c>
      <c r="C48">
        <v>188078</v>
      </c>
      <c r="D48" t="s">
        <v>84</v>
      </c>
      <c r="E48" t="str">
        <f t="shared" si="2"/>
        <v>STELN</v>
      </c>
      <c r="F48" t="str">
        <f t="shared" si="0"/>
        <v>STELN.png</v>
      </c>
    </row>
    <row r="49" spans="1:6" x14ac:dyDescent="0.25">
      <c r="A49" t="s">
        <v>61</v>
      </c>
      <c r="B49">
        <v>503</v>
      </c>
      <c r="C49">
        <v>5033</v>
      </c>
      <c r="D49" t="s">
        <v>36</v>
      </c>
      <c r="E49" t="s">
        <v>46</v>
      </c>
      <c r="F49" t="str">
        <f t="shared" si="0"/>
        <v>SUKP2.png</v>
      </c>
    </row>
    <row r="50" spans="1:6" x14ac:dyDescent="0.25">
      <c r="A50" t="s">
        <v>62</v>
      </c>
      <c r="B50">
        <v>32498</v>
      </c>
      <c r="C50">
        <v>324988</v>
      </c>
      <c r="D50" t="s">
        <v>124</v>
      </c>
      <c r="E50" t="s">
        <v>123</v>
      </c>
      <c r="F50" t="str">
        <f t="shared" ref="F50:F52" si="3">E50&amp;".png"</f>
        <v>STEPG269.png</v>
      </c>
    </row>
    <row r="51" spans="1:6" x14ac:dyDescent="0.25">
      <c r="A51" t="s">
        <v>62</v>
      </c>
      <c r="B51">
        <v>32500</v>
      </c>
      <c r="C51">
        <v>324988</v>
      </c>
      <c r="D51" t="s">
        <v>125</v>
      </c>
      <c r="E51" t="s">
        <v>126</v>
      </c>
      <c r="F51" t="str">
        <f t="shared" si="3"/>
        <v>STEPG350.png</v>
      </c>
    </row>
    <row r="52" spans="1:6" x14ac:dyDescent="0.25">
      <c r="A52" t="s">
        <v>62</v>
      </c>
      <c r="B52">
        <v>30942</v>
      </c>
      <c r="C52">
        <v>309427</v>
      </c>
      <c r="D52" t="s">
        <v>139</v>
      </c>
      <c r="E52" t="str">
        <f t="shared" ref="E52" si="4">SUBSTITUTE(D52," ","")</f>
        <v>SPTLN</v>
      </c>
      <c r="F52" t="str">
        <f t="shared" si="3"/>
        <v>SPTLN.png</v>
      </c>
    </row>
    <row r="53" spans="1:6" x14ac:dyDescent="0.25">
      <c r="A53" t="s">
        <v>61</v>
      </c>
      <c r="B53" t="s">
        <v>153</v>
      </c>
      <c r="C53" t="s">
        <v>153</v>
      </c>
      <c r="D53" t="s">
        <v>142</v>
      </c>
      <c r="E53" t="str">
        <f t="shared" ref="E53:E54" si="5">SUBSTITUTE(D53," ","")</f>
        <v>PCSAB350</v>
      </c>
      <c r="F53" t="str">
        <f t="shared" ref="F53:F56" si="6">E53&amp;".png"</f>
        <v>PCSAB350.png</v>
      </c>
    </row>
    <row r="54" spans="1:6" x14ac:dyDescent="0.25">
      <c r="A54" t="s">
        <v>61</v>
      </c>
      <c r="B54" t="s">
        <v>153</v>
      </c>
      <c r="C54" t="s">
        <v>153</v>
      </c>
      <c r="D54" t="s">
        <v>143</v>
      </c>
      <c r="E54" t="str">
        <f t="shared" si="5"/>
        <v>GATORADE</v>
      </c>
      <c r="F54" t="str">
        <f t="shared" si="6"/>
        <v>GATORADE.png</v>
      </c>
    </row>
    <row r="55" spans="1:6" x14ac:dyDescent="0.25">
      <c r="A55" t="s">
        <v>62</v>
      </c>
      <c r="B55" t="s">
        <v>153</v>
      </c>
      <c r="C55" t="s">
        <v>153</v>
      </c>
      <c r="D55" t="s">
        <v>144</v>
      </c>
      <c r="E55" t="s">
        <v>145</v>
      </c>
      <c r="F55" t="str">
        <f t="shared" si="6"/>
        <v>BEATSFF.png</v>
      </c>
    </row>
    <row r="56" spans="1:6" x14ac:dyDescent="0.25">
      <c r="A56" t="s">
        <v>62</v>
      </c>
      <c r="B56">
        <v>20647</v>
      </c>
      <c r="C56">
        <v>206474</v>
      </c>
      <c r="D56" t="s">
        <v>151</v>
      </c>
      <c r="E56" t="str">
        <f>SUBSTITUTE(D56," ","")</f>
        <v>BDM269</v>
      </c>
      <c r="F56" t="str">
        <f t="shared" si="6"/>
        <v>BDM269.png</v>
      </c>
    </row>
    <row r="57" spans="1:6" x14ac:dyDescent="0.25">
      <c r="A57" t="s">
        <v>61</v>
      </c>
      <c r="B57">
        <v>9096</v>
      </c>
      <c r="C57">
        <v>90969</v>
      </c>
      <c r="D57" t="s">
        <v>156</v>
      </c>
      <c r="E57" t="s">
        <v>157</v>
      </c>
      <c r="F57" t="str">
        <f t="shared" ref="F57:F61" si="7">E57&amp;".png"</f>
        <v>PC350.png</v>
      </c>
    </row>
    <row r="58" spans="1:6" x14ac:dyDescent="0.25">
      <c r="A58" t="s">
        <v>61</v>
      </c>
      <c r="B58">
        <v>11556</v>
      </c>
      <c r="C58">
        <v>115568</v>
      </c>
      <c r="D58" t="s">
        <v>166</v>
      </c>
      <c r="E58" t="str">
        <f t="shared" ref="E58:E64" si="8">SUBSTITUTE(D58," ","")</f>
        <v>GCADP1</v>
      </c>
      <c r="F58" t="str">
        <f t="shared" si="7"/>
        <v>GCADP1.png</v>
      </c>
    </row>
    <row r="59" spans="1:6" x14ac:dyDescent="0.25">
      <c r="A59" t="s">
        <v>61</v>
      </c>
      <c r="B59">
        <v>8413</v>
      </c>
      <c r="C59">
        <v>84137</v>
      </c>
      <c r="D59" t="s">
        <v>167</v>
      </c>
      <c r="E59" t="str">
        <f t="shared" si="8"/>
        <v>GCADP1,5</v>
      </c>
      <c r="F59" t="str">
        <f t="shared" si="7"/>
        <v>GCADP1,5.png</v>
      </c>
    </row>
    <row r="60" spans="1:6" x14ac:dyDescent="0.25">
      <c r="A60" t="s">
        <v>61</v>
      </c>
      <c r="B60" t="s">
        <v>153</v>
      </c>
      <c r="C60" t="s">
        <v>153</v>
      </c>
      <c r="D60" t="s">
        <v>168</v>
      </c>
      <c r="E60" t="str">
        <f t="shared" si="8"/>
        <v>PCBP2</v>
      </c>
      <c r="F60" t="str">
        <f t="shared" si="7"/>
        <v>PCBP2.png</v>
      </c>
    </row>
    <row r="61" spans="1:6" x14ac:dyDescent="0.25">
      <c r="A61" t="s">
        <v>61</v>
      </c>
      <c r="B61">
        <v>2353</v>
      </c>
      <c r="C61">
        <v>23531</v>
      </c>
      <c r="D61" t="s">
        <v>169</v>
      </c>
      <c r="E61" t="str">
        <f t="shared" si="8"/>
        <v>GCADP2</v>
      </c>
      <c r="F61" t="str">
        <f t="shared" si="7"/>
        <v>GCADP2.png</v>
      </c>
    </row>
    <row r="62" spans="1:6" x14ac:dyDescent="0.25">
      <c r="A62" t="s">
        <v>61</v>
      </c>
      <c r="B62">
        <v>9085</v>
      </c>
      <c r="C62">
        <v>90852</v>
      </c>
      <c r="D62" t="s">
        <v>170</v>
      </c>
      <c r="E62" t="str">
        <f t="shared" si="8"/>
        <v>GCADLT350</v>
      </c>
      <c r="F62" t="s">
        <v>176</v>
      </c>
    </row>
    <row r="63" spans="1:6" x14ac:dyDescent="0.25">
      <c r="A63" t="s">
        <v>61</v>
      </c>
      <c r="B63">
        <v>12360</v>
      </c>
      <c r="C63">
        <v>123604</v>
      </c>
      <c r="D63" t="s">
        <v>171</v>
      </c>
      <c r="E63" t="str">
        <f t="shared" si="8"/>
        <v>GCADLT269</v>
      </c>
      <c r="F63" t="s">
        <v>175</v>
      </c>
    </row>
    <row r="64" spans="1:6" x14ac:dyDescent="0.25">
      <c r="A64" t="s">
        <v>61</v>
      </c>
      <c r="B64">
        <v>33597</v>
      </c>
      <c r="C64">
        <v>335976</v>
      </c>
      <c r="D64" t="s">
        <v>172</v>
      </c>
      <c r="E64" t="str">
        <f t="shared" si="8"/>
        <v>PCBLT269</v>
      </c>
      <c r="F64" t="s">
        <v>174</v>
      </c>
    </row>
  </sheetData>
  <autoFilter ref="A1:F64" xr:uid="{C0BF5819-473C-445D-A53D-FC51ACB237C6}"/>
  <conditionalFormatting sqref="E1:E1048576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578"/>
  <sheetViews>
    <sheetView topLeftCell="A524" workbookViewId="0">
      <selection activeCell="B564" sqref="B564"/>
    </sheetView>
  </sheetViews>
  <sheetFormatPr defaultRowHeight="15" x14ac:dyDescent="0.25"/>
  <cols>
    <col min="2" max="2" width="10.7109375" bestFit="1" customWidth="1"/>
    <col min="3" max="3" width="9" bestFit="1" customWidth="1"/>
  </cols>
  <sheetData>
    <row r="1" spans="1:3" x14ac:dyDescent="0.25">
      <c r="A1" s="1" t="s">
        <v>7</v>
      </c>
      <c r="B1" s="1" t="s">
        <v>0</v>
      </c>
      <c r="C1" s="1" t="s">
        <v>1</v>
      </c>
    </row>
    <row r="2" spans="1:3" x14ac:dyDescent="0.25">
      <c r="A2" t="s">
        <v>61</v>
      </c>
      <c r="B2" s="3">
        <v>46174</v>
      </c>
      <c r="C2" t="s">
        <v>20</v>
      </c>
    </row>
    <row r="3" spans="1:3" x14ac:dyDescent="0.25">
      <c r="A3" t="s">
        <v>61</v>
      </c>
      <c r="B3" s="5">
        <v>46175</v>
      </c>
      <c r="C3" t="s">
        <v>20</v>
      </c>
    </row>
    <row r="4" spans="1:3" x14ac:dyDescent="0.25">
      <c r="A4" t="s">
        <v>61</v>
      </c>
      <c r="B4" s="5">
        <v>46176</v>
      </c>
      <c r="C4" t="s">
        <v>20</v>
      </c>
    </row>
    <row r="5" spans="1:3" x14ac:dyDescent="0.25">
      <c r="A5" t="s">
        <v>61</v>
      </c>
      <c r="B5" s="5">
        <v>46177</v>
      </c>
      <c r="C5" t="s">
        <v>20</v>
      </c>
    </row>
    <row r="6" spans="1:3" x14ac:dyDescent="0.25">
      <c r="A6" t="s">
        <v>61</v>
      </c>
      <c r="B6" s="5">
        <v>46178</v>
      </c>
      <c r="C6" t="s">
        <v>20</v>
      </c>
    </row>
    <row r="7" spans="1:3" x14ac:dyDescent="0.25">
      <c r="A7" t="s">
        <v>61</v>
      </c>
      <c r="B7" s="5">
        <v>46179</v>
      </c>
      <c r="C7" t="s">
        <v>20</v>
      </c>
    </row>
    <row r="8" spans="1:3" x14ac:dyDescent="0.25">
      <c r="A8" t="s">
        <v>61</v>
      </c>
      <c r="B8" s="5">
        <v>46180</v>
      </c>
      <c r="C8" t="s">
        <v>20</v>
      </c>
    </row>
    <row r="9" spans="1:3" x14ac:dyDescent="0.25">
      <c r="A9" t="s">
        <v>61</v>
      </c>
      <c r="B9" s="5">
        <v>46181</v>
      </c>
      <c r="C9" t="s">
        <v>20</v>
      </c>
    </row>
    <row r="10" spans="1:3" x14ac:dyDescent="0.25">
      <c r="A10" t="s">
        <v>61</v>
      </c>
      <c r="B10" s="5">
        <v>46182</v>
      </c>
      <c r="C10" t="s">
        <v>20</v>
      </c>
    </row>
    <row r="11" spans="1:3" x14ac:dyDescent="0.25">
      <c r="A11" t="s">
        <v>61</v>
      </c>
      <c r="B11" s="5">
        <v>46183</v>
      </c>
      <c r="C11" t="s">
        <v>20</v>
      </c>
    </row>
    <row r="12" spans="1:3" x14ac:dyDescent="0.25">
      <c r="A12" t="s">
        <v>61</v>
      </c>
      <c r="B12" s="5">
        <v>46184</v>
      </c>
      <c r="C12" t="s">
        <v>20</v>
      </c>
    </row>
    <row r="13" spans="1:3" x14ac:dyDescent="0.25">
      <c r="A13" t="s">
        <v>61</v>
      </c>
      <c r="B13" s="5">
        <v>46185</v>
      </c>
      <c r="C13" t="s">
        <v>20</v>
      </c>
    </row>
    <row r="14" spans="1:3" x14ac:dyDescent="0.25">
      <c r="A14" t="s">
        <v>61</v>
      </c>
      <c r="B14" s="5">
        <v>46186</v>
      </c>
      <c r="C14" t="s">
        <v>20</v>
      </c>
    </row>
    <row r="15" spans="1:3" x14ac:dyDescent="0.25">
      <c r="A15" t="s">
        <v>61</v>
      </c>
      <c r="B15" s="5">
        <v>46187</v>
      </c>
      <c r="C15" t="s">
        <v>20</v>
      </c>
    </row>
    <row r="16" spans="1:3" x14ac:dyDescent="0.25">
      <c r="A16" t="s">
        <v>61</v>
      </c>
      <c r="B16" s="5">
        <v>46188</v>
      </c>
      <c r="C16" t="s">
        <v>21</v>
      </c>
    </row>
    <row r="17" spans="1:3" x14ac:dyDescent="0.25">
      <c r="A17" t="s">
        <v>61</v>
      </c>
      <c r="B17" s="5">
        <v>46189</v>
      </c>
      <c r="C17" t="s">
        <v>21</v>
      </c>
    </row>
    <row r="18" spans="1:3" x14ac:dyDescent="0.25">
      <c r="A18" t="s">
        <v>61</v>
      </c>
      <c r="B18" s="5">
        <v>46190</v>
      </c>
      <c r="C18" t="s">
        <v>21</v>
      </c>
    </row>
    <row r="19" spans="1:3" x14ac:dyDescent="0.25">
      <c r="A19" t="s">
        <v>61</v>
      </c>
      <c r="B19" s="5">
        <v>46191</v>
      </c>
      <c r="C19" t="s">
        <v>21</v>
      </c>
    </row>
    <row r="20" spans="1:3" x14ac:dyDescent="0.25">
      <c r="A20" t="s">
        <v>61</v>
      </c>
      <c r="B20" s="5">
        <v>46192</v>
      </c>
      <c r="C20" t="s">
        <v>21</v>
      </c>
    </row>
    <row r="21" spans="1:3" x14ac:dyDescent="0.25">
      <c r="A21" t="s">
        <v>61</v>
      </c>
      <c r="B21" s="5">
        <v>46193</v>
      </c>
      <c r="C21" t="s">
        <v>21</v>
      </c>
    </row>
    <row r="22" spans="1:3" x14ac:dyDescent="0.25">
      <c r="A22" t="s">
        <v>61</v>
      </c>
      <c r="B22" s="5">
        <v>46194</v>
      </c>
      <c r="C22" t="s">
        <v>21</v>
      </c>
    </row>
    <row r="23" spans="1:3" x14ac:dyDescent="0.25">
      <c r="A23" t="s">
        <v>61</v>
      </c>
      <c r="B23" s="5">
        <v>46195</v>
      </c>
      <c r="C23" t="s">
        <v>21</v>
      </c>
    </row>
    <row r="24" spans="1:3" x14ac:dyDescent="0.25">
      <c r="A24" t="s">
        <v>61</v>
      </c>
      <c r="B24" s="5">
        <v>46196</v>
      </c>
      <c r="C24" t="s">
        <v>21</v>
      </c>
    </row>
    <row r="25" spans="1:3" x14ac:dyDescent="0.25">
      <c r="A25" t="s">
        <v>61</v>
      </c>
      <c r="B25" s="5">
        <v>46197</v>
      </c>
      <c r="C25" t="s">
        <v>21</v>
      </c>
    </row>
    <row r="26" spans="1:3" x14ac:dyDescent="0.25">
      <c r="A26" t="s">
        <v>61</v>
      </c>
      <c r="B26" s="5">
        <v>46198</v>
      </c>
      <c r="C26" t="s">
        <v>21</v>
      </c>
    </row>
    <row r="27" spans="1:3" x14ac:dyDescent="0.25">
      <c r="A27" t="s">
        <v>61</v>
      </c>
      <c r="B27" s="5">
        <v>46199</v>
      </c>
      <c r="C27" t="s">
        <v>21</v>
      </c>
    </row>
    <row r="28" spans="1:3" x14ac:dyDescent="0.25">
      <c r="A28" t="s">
        <v>61</v>
      </c>
      <c r="B28" s="5">
        <v>46200</v>
      </c>
      <c r="C28" t="s">
        <v>21</v>
      </c>
    </row>
    <row r="29" spans="1:3" x14ac:dyDescent="0.25">
      <c r="A29" t="s">
        <v>61</v>
      </c>
      <c r="B29" s="5">
        <v>46201</v>
      </c>
      <c r="C29" t="s">
        <v>21</v>
      </c>
    </row>
    <row r="30" spans="1:3" x14ac:dyDescent="0.25">
      <c r="A30" t="s">
        <v>61</v>
      </c>
      <c r="B30" s="5">
        <v>46205</v>
      </c>
      <c r="C30" t="s">
        <v>20</v>
      </c>
    </row>
    <row r="31" spans="1:3" x14ac:dyDescent="0.25">
      <c r="A31" t="s">
        <v>61</v>
      </c>
      <c r="B31" s="5">
        <v>46206</v>
      </c>
      <c r="C31" t="s">
        <v>20</v>
      </c>
    </row>
    <row r="32" spans="1:3" x14ac:dyDescent="0.25">
      <c r="A32" t="s">
        <v>61</v>
      </c>
      <c r="B32" s="5">
        <v>46207</v>
      </c>
      <c r="C32" t="s">
        <v>20</v>
      </c>
    </row>
    <row r="33" spans="1:3" x14ac:dyDescent="0.25">
      <c r="A33" t="s">
        <v>61</v>
      </c>
      <c r="B33" s="5">
        <v>46208</v>
      </c>
      <c r="C33" t="s">
        <v>20</v>
      </c>
    </row>
    <row r="34" spans="1:3" x14ac:dyDescent="0.25">
      <c r="A34" t="s">
        <v>61</v>
      </c>
      <c r="B34" s="5">
        <v>46209</v>
      </c>
      <c r="C34" t="s">
        <v>20</v>
      </c>
    </row>
    <row r="35" spans="1:3" x14ac:dyDescent="0.25">
      <c r="A35" t="s">
        <v>61</v>
      </c>
      <c r="B35" s="5">
        <v>46210</v>
      </c>
      <c r="C35" t="s">
        <v>20</v>
      </c>
    </row>
    <row r="36" spans="1:3" x14ac:dyDescent="0.25">
      <c r="A36" t="s">
        <v>61</v>
      </c>
      <c r="B36" s="5">
        <v>46211</v>
      </c>
      <c r="C36" t="s">
        <v>20</v>
      </c>
    </row>
    <row r="37" spans="1:3" x14ac:dyDescent="0.25">
      <c r="A37" t="s">
        <v>61</v>
      </c>
      <c r="B37" s="5">
        <v>46212</v>
      </c>
      <c r="C37" t="s">
        <v>20</v>
      </c>
    </row>
    <row r="38" spans="1:3" x14ac:dyDescent="0.25">
      <c r="A38" t="s">
        <v>61</v>
      </c>
      <c r="B38" s="5">
        <v>46213</v>
      </c>
      <c r="C38" t="s">
        <v>20</v>
      </c>
    </row>
    <row r="39" spans="1:3" x14ac:dyDescent="0.25">
      <c r="A39" t="s">
        <v>61</v>
      </c>
      <c r="B39" s="5">
        <v>46214</v>
      </c>
      <c r="C39" t="s">
        <v>20</v>
      </c>
    </row>
    <row r="40" spans="1:3" x14ac:dyDescent="0.25">
      <c r="A40" t="s">
        <v>61</v>
      </c>
      <c r="B40" s="5">
        <v>46215</v>
      </c>
      <c r="C40" t="s">
        <v>20</v>
      </c>
    </row>
    <row r="41" spans="1:3" x14ac:dyDescent="0.25">
      <c r="A41" t="s">
        <v>61</v>
      </c>
      <c r="B41" s="5">
        <v>46216</v>
      </c>
      <c r="C41" t="s">
        <v>21</v>
      </c>
    </row>
    <row r="42" spans="1:3" x14ac:dyDescent="0.25">
      <c r="A42" t="s">
        <v>61</v>
      </c>
      <c r="B42" s="5">
        <v>46217</v>
      </c>
      <c r="C42" t="s">
        <v>21</v>
      </c>
    </row>
    <row r="43" spans="1:3" x14ac:dyDescent="0.25">
      <c r="A43" t="s">
        <v>61</v>
      </c>
      <c r="B43" s="5">
        <v>46218</v>
      </c>
      <c r="C43" t="s">
        <v>21</v>
      </c>
    </row>
    <row r="44" spans="1:3" x14ac:dyDescent="0.25">
      <c r="A44" t="s">
        <v>61</v>
      </c>
      <c r="B44" s="5">
        <v>46219</v>
      </c>
      <c r="C44" t="s">
        <v>21</v>
      </c>
    </row>
    <row r="45" spans="1:3" x14ac:dyDescent="0.25">
      <c r="A45" t="s">
        <v>61</v>
      </c>
      <c r="B45" s="5">
        <v>46220</v>
      </c>
      <c r="C45" t="s">
        <v>21</v>
      </c>
    </row>
    <row r="46" spans="1:3" x14ac:dyDescent="0.25">
      <c r="A46" t="s">
        <v>61</v>
      </c>
      <c r="B46" s="5">
        <v>46221</v>
      </c>
      <c r="C46" t="s">
        <v>21</v>
      </c>
    </row>
    <row r="47" spans="1:3" x14ac:dyDescent="0.25">
      <c r="A47" t="s">
        <v>61</v>
      </c>
      <c r="B47" s="5">
        <v>46222</v>
      </c>
      <c r="C47" t="s">
        <v>21</v>
      </c>
    </row>
    <row r="48" spans="1:3" x14ac:dyDescent="0.25">
      <c r="A48" t="s">
        <v>61</v>
      </c>
      <c r="B48" s="5">
        <v>46223</v>
      </c>
      <c r="C48" t="s">
        <v>21</v>
      </c>
    </row>
    <row r="49" spans="1:3" x14ac:dyDescent="0.25">
      <c r="A49" t="s">
        <v>61</v>
      </c>
      <c r="B49" s="5">
        <v>46224</v>
      </c>
      <c r="C49" t="s">
        <v>21</v>
      </c>
    </row>
    <row r="50" spans="1:3" x14ac:dyDescent="0.25">
      <c r="A50" t="s">
        <v>61</v>
      </c>
      <c r="B50" s="5">
        <v>46225</v>
      </c>
      <c r="C50" t="s">
        <v>21</v>
      </c>
    </row>
    <row r="51" spans="1:3" x14ac:dyDescent="0.25">
      <c r="A51" t="s">
        <v>61</v>
      </c>
      <c r="B51" s="5">
        <v>46226</v>
      </c>
      <c r="C51" t="s">
        <v>21</v>
      </c>
    </row>
    <row r="52" spans="1:3" x14ac:dyDescent="0.25">
      <c r="A52" t="s">
        <v>61</v>
      </c>
      <c r="B52" s="5">
        <v>46227</v>
      </c>
      <c r="C52" t="s">
        <v>21</v>
      </c>
    </row>
    <row r="53" spans="1:3" x14ac:dyDescent="0.25">
      <c r="A53" t="s">
        <v>61</v>
      </c>
      <c r="B53" s="5">
        <v>46228</v>
      </c>
      <c r="C53" t="s">
        <v>21</v>
      </c>
    </row>
    <row r="54" spans="1:3" x14ac:dyDescent="0.25">
      <c r="A54" t="s">
        <v>61</v>
      </c>
      <c r="B54" s="5">
        <v>46229</v>
      </c>
      <c r="C54" t="s">
        <v>21</v>
      </c>
    </row>
    <row r="55" spans="1:3" x14ac:dyDescent="0.25">
      <c r="A55" t="s">
        <v>61</v>
      </c>
      <c r="B55" s="5">
        <v>46230</v>
      </c>
      <c r="C55" t="s">
        <v>21</v>
      </c>
    </row>
    <row r="56" spans="1:3" x14ac:dyDescent="0.25">
      <c r="A56" t="s">
        <v>61</v>
      </c>
      <c r="B56" s="5">
        <v>46231</v>
      </c>
      <c r="C56" t="s">
        <v>21</v>
      </c>
    </row>
    <row r="57" spans="1:3" x14ac:dyDescent="0.25">
      <c r="A57" t="s">
        <v>61</v>
      </c>
      <c r="B57" s="5">
        <v>46232</v>
      </c>
      <c r="C57" t="s">
        <v>21</v>
      </c>
    </row>
    <row r="58" spans="1:3" x14ac:dyDescent="0.25">
      <c r="A58" t="s">
        <v>61</v>
      </c>
      <c r="B58" s="5">
        <v>46233</v>
      </c>
      <c r="C58" t="s">
        <v>21</v>
      </c>
    </row>
    <row r="59" spans="1:3" x14ac:dyDescent="0.25">
      <c r="A59" t="s">
        <v>61</v>
      </c>
      <c r="B59" s="5">
        <v>46234</v>
      </c>
      <c r="C59" t="s">
        <v>21</v>
      </c>
    </row>
    <row r="60" spans="1:3" x14ac:dyDescent="0.25">
      <c r="A60" t="s">
        <v>61</v>
      </c>
      <c r="B60" s="5">
        <v>46237</v>
      </c>
      <c r="C60" t="s">
        <v>20</v>
      </c>
    </row>
    <row r="61" spans="1:3" x14ac:dyDescent="0.25">
      <c r="A61" t="s">
        <v>61</v>
      </c>
      <c r="B61" s="5">
        <v>46238</v>
      </c>
      <c r="C61" t="s">
        <v>20</v>
      </c>
    </row>
    <row r="62" spans="1:3" x14ac:dyDescent="0.25">
      <c r="A62" t="s">
        <v>61</v>
      </c>
      <c r="B62" s="5">
        <v>46239</v>
      </c>
      <c r="C62" t="s">
        <v>20</v>
      </c>
    </row>
    <row r="63" spans="1:3" x14ac:dyDescent="0.25">
      <c r="A63" t="s">
        <v>61</v>
      </c>
      <c r="B63" s="5">
        <v>46240</v>
      </c>
      <c r="C63" t="s">
        <v>20</v>
      </c>
    </row>
    <row r="64" spans="1:3" x14ac:dyDescent="0.25">
      <c r="A64" t="s">
        <v>61</v>
      </c>
      <c r="B64" s="5">
        <v>46241</v>
      </c>
      <c r="C64" t="s">
        <v>20</v>
      </c>
    </row>
    <row r="65" spans="1:3" x14ac:dyDescent="0.25">
      <c r="A65" t="s">
        <v>61</v>
      </c>
      <c r="B65" s="5">
        <v>46242</v>
      </c>
      <c r="C65" t="s">
        <v>20</v>
      </c>
    </row>
    <row r="66" spans="1:3" x14ac:dyDescent="0.25">
      <c r="A66" t="s">
        <v>61</v>
      </c>
      <c r="B66" s="5">
        <v>46243</v>
      </c>
      <c r="C66" t="s">
        <v>20</v>
      </c>
    </row>
    <row r="67" spans="1:3" x14ac:dyDescent="0.25">
      <c r="A67" t="s">
        <v>61</v>
      </c>
      <c r="B67" s="5">
        <v>46244</v>
      </c>
      <c r="C67" t="s">
        <v>20</v>
      </c>
    </row>
    <row r="68" spans="1:3" x14ac:dyDescent="0.25">
      <c r="A68" t="s">
        <v>61</v>
      </c>
      <c r="B68" s="5">
        <v>46245</v>
      </c>
      <c r="C68" t="s">
        <v>20</v>
      </c>
    </row>
    <row r="69" spans="1:3" x14ac:dyDescent="0.25">
      <c r="A69" t="s">
        <v>61</v>
      </c>
      <c r="B69" s="5">
        <v>46246</v>
      </c>
      <c r="C69" t="s">
        <v>20</v>
      </c>
    </row>
    <row r="70" spans="1:3" x14ac:dyDescent="0.25">
      <c r="A70" t="s">
        <v>61</v>
      </c>
      <c r="B70" s="5">
        <v>46247</v>
      </c>
      <c r="C70" t="s">
        <v>20</v>
      </c>
    </row>
    <row r="71" spans="1:3" x14ac:dyDescent="0.25">
      <c r="A71" t="s">
        <v>61</v>
      </c>
      <c r="B71" s="5">
        <v>46248</v>
      </c>
      <c r="C71" t="s">
        <v>20</v>
      </c>
    </row>
    <row r="72" spans="1:3" x14ac:dyDescent="0.25">
      <c r="A72" t="s">
        <v>61</v>
      </c>
      <c r="B72" s="5">
        <v>46249</v>
      </c>
      <c r="C72" t="s">
        <v>20</v>
      </c>
    </row>
    <row r="73" spans="1:3" x14ac:dyDescent="0.25">
      <c r="A73" t="s">
        <v>61</v>
      </c>
      <c r="B73" s="5">
        <v>46250</v>
      </c>
      <c r="C73" t="s">
        <v>20</v>
      </c>
    </row>
    <row r="74" spans="1:3" x14ac:dyDescent="0.25">
      <c r="A74" t="s">
        <v>61</v>
      </c>
      <c r="B74" s="5">
        <v>46251</v>
      </c>
      <c r="C74" t="s">
        <v>21</v>
      </c>
    </row>
    <row r="75" spans="1:3" x14ac:dyDescent="0.25">
      <c r="A75" t="s">
        <v>61</v>
      </c>
      <c r="B75" s="5">
        <v>46252</v>
      </c>
      <c r="C75" t="s">
        <v>21</v>
      </c>
    </row>
    <row r="76" spans="1:3" x14ac:dyDescent="0.25">
      <c r="A76" t="s">
        <v>61</v>
      </c>
      <c r="B76" s="5">
        <v>46253</v>
      </c>
      <c r="C76" t="s">
        <v>21</v>
      </c>
    </row>
    <row r="77" spans="1:3" x14ac:dyDescent="0.25">
      <c r="A77" t="s">
        <v>61</v>
      </c>
      <c r="B77" s="5">
        <v>46254</v>
      </c>
      <c r="C77" t="s">
        <v>21</v>
      </c>
    </row>
    <row r="78" spans="1:3" x14ac:dyDescent="0.25">
      <c r="A78" t="s">
        <v>61</v>
      </c>
      <c r="B78" s="5">
        <v>46255</v>
      </c>
      <c r="C78" t="s">
        <v>21</v>
      </c>
    </row>
    <row r="79" spans="1:3" x14ac:dyDescent="0.25">
      <c r="A79" t="s">
        <v>61</v>
      </c>
      <c r="B79" s="5">
        <v>46256</v>
      </c>
      <c r="C79" t="s">
        <v>21</v>
      </c>
    </row>
    <row r="80" spans="1:3" x14ac:dyDescent="0.25">
      <c r="A80" t="s">
        <v>61</v>
      </c>
      <c r="B80" s="5">
        <v>46257</v>
      </c>
      <c r="C80" t="s">
        <v>21</v>
      </c>
    </row>
    <row r="81" spans="1:3" x14ac:dyDescent="0.25">
      <c r="A81" t="s">
        <v>61</v>
      </c>
      <c r="B81" s="5">
        <v>46258</v>
      </c>
      <c r="C81" t="s">
        <v>21</v>
      </c>
    </row>
    <row r="82" spans="1:3" x14ac:dyDescent="0.25">
      <c r="A82" t="s">
        <v>61</v>
      </c>
      <c r="B82" s="5">
        <v>46259</v>
      </c>
      <c r="C82" t="s">
        <v>21</v>
      </c>
    </row>
    <row r="83" spans="1:3" x14ac:dyDescent="0.25">
      <c r="A83" t="s">
        <v>61</v>
      </c>
      <c r="B83" s="5">
        <v>46260</v>
      </c>
      <c r="C83" t="s">
        <v>21</v>
      </c>
    </row>
    <row r="84" spans="1:3" x14ac:dyDescent="0.25">
      <c r="A84" t="s">
        <v>61</v>
      </c>
      <c r="B84" s="5">
        <v>46261</v>
      </c>
      <c r="C84" t="s">
        <v>21</v>
      </c>
    </row>
    <row r="85" spans="1:3" x14ac:dyDescent="0.25">
      <c r="A85" t="s">
        <v>61</v>
      </c>
      <c r="B85" s="5">
        <v>46262</v>
      </c>
      <c r="C85" t="s">
        <v>21</v>
      </c>
    </row>
    <row r="86" spans="1:3" x14ac:dyDescent="0.25">
      <c r="A86" t="s">
        <v>61</v>
      </c>
      <c r="B86" s="5">
        <v>46263</v>
      </c>
      <c r="C86" t="s">
        <v>21</v>
      </c>
    </row>
    <row r="87" spans="1:3" x14ac:dyDescent="0.25">
      <c r="A87" t="s">
        <v>61</v>
      </c>
      <c r="B87" s="5">
        <v>46264</v>
      </c>
      <c r="C87" t="s">
        <v>21</v>
      </c>
    </row>
    <row r="88" spans="1:3" x14ac:dyDescent="0.25">
      <c r="A88" t="s">
        <v>61</v>
      </c>
      <c r="B88" s="5">
        <v>46265</v>
      </c>
      <c r="C88" t="s">
        <v>21</v>
      </c>
    </row>
    <row r="89" spans="1:3" x14ac:dyDescent="0.25">
      <c r="A89" t="s">
        <v>61</v>
      </c>
      <c r="B89" s="3">
        <v>46266</v>
      </c>
      <c r="C89" s="2" t="s">
        <v>20</v>
      </c>
    </row>
    <row r="90" spans="1:3" x14ac:dyDescent="0.25">
      <c r="A90" t="s">
        <v>61</v>
      </c>
      <c r="B90" s="3">
        <v>46267</v>
      </c>
      <c r="C90" s="2" t="s">
        <v>20</v>
      </c>
    </row>
    <row r="91" spans="1:3" x14ac:dyDescent="0.25">
      <c r="A91" t="s">
        <v>61</v>
      </c>
      <c r="B91" s="3">
        <v>46268</v>
      </c>
      <c r="C91" s="2" t="s">
        <v>20</v>
      </c>
    </row>
    <row r="92" spans="1:3" x14ac:dyDescent="0.25">
      <c r="A92" t="s">
        <v>61</v>
      </c>
      <c r="B92" s="3">
        <v>46269</v>
      </c>
      <c r="C92" s="2" t="s">
        <v>20</v>
      </c>
    </row>
    <row r="93" spans="1:3" x14ac:dyDescent="0.25">
      <c r="A93" t="s">
        <v>61</v>
      </c>
      <c r="B93" s="3">
        <v>46270</v>
      </c>
      <c r="C93" s="2" t="s">
        <v>20</v>
      </c>
    </row>
    <row r="94" spans="1:3" x14ac:dyDescent="0.25">
      <c r="A94" t="s">
        <v>61</v>
      </c>
      <c r="B94" s="3">
        <v>46271</v>
      </c>
      <c r="C94" s="2" t="s">
        <v>20</v>
      </c>
    </row>
    <row r="95" spans="1:3" x14ac:dyDescent="0.25">
      <c r="A95" t="s">
        <v>61</v>
      </c>
      <c r="B95" s="3">
        <v>46272</v>
      </c>
      <c r="C95" s="2" t="s">
        <v>20</v>
      </c>
    </row>
    <row r="96" spans="1:3" x14ac:dyDescent="0.25">
      <c r="A96" t="s">
        <v>61</v>
      </c>
      <c r="B96" s="3">
        <v>46273</v>
      </c>
      <c r="C96" s="2" t="s">
        <v>20</v>
      </c>
    </row>
    <row r="97" spans="1:3" x14ac:dyDescent="0.25">
      <c r="A97" t="s">
        <v>61</v>
      </c>
      <c r="B97" s="3">
        <v>46274</v>
      </c>
      <c r="C97" s="2" t="s">
        <v>20</v>
      </c>
    </row>
    <row r="98" spans="1:3" x14ac:dyDescent="0.25">
      <c r="A98" t="s">
        <v>61</v>
      </c>
      <c r="B98" s="3">
        <v>46275</v>
      </c>
      <c r="C98" s="2" t="s">
        <v>20</v>
      </c>
    </row>
    <row r="99" spans="1:3" x14ac:dyDescent="0.25">
      <c r="A99" t="s">
        <v>61</v>
      </c>
      <c r="B99" s="3">
        <v>46276</v>
      </c>
      <c r="C99" s="2" t="s">
        <v>20</v>
      </c>
    </row>
    <row r="100" spans="1:3" x14ac:dyDescent="0.25">
      <c r="A100" t="s">
        <v>61</v>
      </c>
      <c r="B100" s="3">
        <v>46277</v>
      </c>
      <c r="C100" s="2" t="s">
        <v>20</v>
      </c>
    </row>
    <row r="101" spans="1:3" x14ac:dyDescent="0.25">
      <c r="A101" t="s">
        <v>61</v>
      </c>
      <c r="B101" s="3">
        <v>46278</v>
      </c>
      <c r="C101" s="2" t="s">
        <v>20</v>
      </c>
    </row>
    <row r="102" spans="1:3" x14ac:dyDescent="0.25">
      <c r="A102" t="s">
        <v>61</v>
      </c>
      <c r="B102" s="3">
        <v>46279</v>
      </c>
      <c r="C102" s="2" t="s">
        <v>21</v>
      </c>
    </row>
    <row r="103" spans="1:3" x14ac:dyDescent="0.25">
      <c r="A103" t="s">
        <v>61</v>
      </c>
      <c r="B103" s="3">
        <v>46280</v>
      </c>
      <c r="C103" s="2" t="s">
        <v>21</v>
      </c>
    </row>
    <row r="104" spans="1:3" x14ac:dyDescent="0.25">
      <c r="A104" t="s">
        <v>61</v>
      </c>
      <c r="B104" s="3">
        <v>46281</v>
      </c>
      <c r="C104" s="2" t="s">
        <v>21</v>
      </c>
    </row>
    <row r="105" spans="1:3" x14ac:dyDescent="0.25">
      <c r="A105" t="s">
        <v>61</v>
      </c>
      <c r="B105" s="3">
        <v>46282</v>
      </c>
      <c r="C105" s="2" t="s">
        <v>21</v>
      </c>
    </row>
    <row r="106" spans="1:3" x14ac:dyDescent="0.25">
      <c r="A106" t="s">
        <v>61</v>
      </c>
      <c r="B106" s="3">
        <v>46283</v>
      </c>
      <c r="C106" s="2" t="s">
        <v>21</v>
      </c>
    </row>
    <row r="107" spans="1:3" x14ac:dyDescent="0.25">
      <c r="A107" t="s">
        <v>61</v>
      </c>
      <c r="B107" s="3">
        <v>46284</v>
      </c>
      <c r="C107" s="2" t="s">
        <v>21</v>
      </c>
    </row>
    <row r="108" spans="1:3" x14ac:dyDescent="0.25">
      <c r="A108" t="s">
        <v>61</v>
      </c>
      <c r="B108" s="3">
        <v>46285</v>
      </c>
      <c r="C108" s="2" t="s">
        <v>21</v>
      </c>
    </row>
    <row r="109" spans="1:3" x14ac:dyDescent="0.25">
      <c r="A109" t="s">
        <v>61</v>
      </c>
      <c r="B109" s="3">
        <v>46286</v>
      </c>
      <c r="C109" s="2" t="s">
        <v>21</v>
      </c>
    </row>
    <row r="110" spans="1:3" x14ac:dyDescent="0.25">
      <c r="A110" t="s">
        <v>61</v>
      </c>
      <c r="B110" s="3">
        <v>46287</v>
      </c>
      <c r="C110" s="2" t="s">
        <v>21</v>
      </c>
    </row>
    <row r="111" spans="1:3" x14ac:dyDescent="0.25">
      <c r="A111" t="s">
        <v>61</v>
      </c>
      <c r="B111" s="3">
        <v>46288</v>
      </c>
      <c r="C111" s="2" t="s">
        <v>21</v>
      </c>
    </row>
    <row r="112" spans="1:3" x14ac:dyDescent="0.25">
      <c r="A112" t="s">
        <v>61</v>
      </c>
      <c r="B112" s="3">
        <v>46289</v>
      </c>
      <c r="C112" s="2" t="s">
        <v>21</v>
      </c>
    </row>
    <row r="113" spans="1:3" x14ac:dyDescent="0.25">
      <c r="A113" t="s">
        <v>61</v>
      </c>
      <c r="B113" s="3">
        <v>46290</v>
      </c>
      <c r="C113" s="2" t="s">
        <v>21</v>
      </c>
    </row>
    <row r="114" spans="1:3" x14ac:dyDescent="0.25">
      <c r="A114" t="s">
        <v>61</v>
      </c>
      <c r="B114" s="3">
        <v>46291</v>
      </c>
      <c r="C114" s="2" t="s">
        <v>21</v>
      </c>
    </row>
    <row r="115" spans="1:3" x14ac:dyDescent="0.25">
      <c r="A115" t="s">
        <v>61</v>
      </c>
      <c r="B115" s="3">
        <v>46292</v>
      </c>
      <c r="C115" s="2" t="s">
        <v>21</v>
      </c>
    </row>
    <row r="116" spans="1:3" x14ac:dyDescent="0.25">
      <c r="A116" t="s">
        <v>61</v>
      </c>
      <c r="B116" s="3">
        <v>46300</v>
      </c>
      <c r="C116" s="2" t="s">
        <v>20</v>
      </c>
    </row>
    <row r="117" spans="1:3" x14ac:dyDescent="0.25">
      <c r="A117" t="s">
        <v>61</v>
      </c>
      <c r="B117" s="3">
        <v>46301</v>
      </c>
      <c r="C117" s="2" t="s">
        <v>20</v>
      </c>
    </row>
    <row r="118" spans="1:3" x14ac:dyDescent="0.25">
      <c r="A118" t="s">
        <v>61</v>
      </c>
      <c r="B118" s="3">
        <v>46302</v>
      </c>
      <c r="C118" s="2" t="s">
        <v>20</v>
      </c>
    </row>
    <row r="119" spans="1:3" x14ac:dyDescent="0.25">
      <c r="A119" t="s">
        <v>61</v>
      </c>
      <c r="B119" s="3">
        <v>46303</v>
      </c>
      <c r="C119" s="2" t="s">
        <v>20</v>
      </c>
    </row>
    <row r="120" spans="1:3" x14ac:dyDescent="0.25">
      <c r="A120" t="s">
        <v>61</v>
      </c>
      <c r="B120" s="3">
        <v>46304</v>
      </c>
      <c r="C120" s="2" t="s">
        <v>20</v>
      </c>
    </row>
    <row r="121" spans="1:3" x14ac:dyDescent="0.25">
      <c r="A121" t="s">
        <v>61</v>
      </c>
      <c r="B121" s="3">
        <v>46305</v>
      </c>
      <c r="C121" s="2" t="s">
        <v>20</v>
      </c>
    </row>
    <row r="122" spans="1:3" x14ac:dyDescent="0.25">
      <c r="A122" t="s">
        <v>61</v>
      </c>
      <c r="B122" s="3">
        <v>46306</v>
      </c>
      <c r="C122" s="2" t="s">
        <v>20</v>
      </c>
    </row>
    <row r="123" spans="1:3" x14ac:dyDescent="0.25">
      <c r="A123" t="s">
        <v>61</v>
      </c>
      <c r="B123" s="3">
        <v>46307</v>
      </c>
      <c r="C123" s="2" t="s">
        <v>20</v>
      </c>
    </row>
    <row r="124" spans="1:3" x14ac:dyDescent="0.25">
      <c r="A124" t="s">
        <v>61</v>
      </c>
      <c r="B124" s="3">
        <v>46308</v>
      </c>
      <c r="C124" s="2" t="s">
        <v>21</v>
      </c>
    </row>
    <row r="125" spans="1:3" x14ac:dyDescent="0.25">
      <c r="A125" t="s">
        <v>61</v>
      </c>
      <c r="B125" s="3">
        <v>46309</v>
      </c>
      <c r="C125" s="2" t="s">
        <v>21</v>
      </c>
    </row>
    <row r="126" spans="1:3" x14ac:dyDescent="0.25">
      <c r="A126" t="s">
        <v>61</v>
      </c>
      <c r="B126" s="3">
        <v>46310</v>
      </c>
      <c r="C126" s="2" t="s">
        <v>21</v>
      </c>
    </row>
    <row r="127" spans="1:3" x14ac:dyDescent="0.25">
      <c r="A127" t="s">
        <v>61</v>
      </c>
      <c r="B127" s="3">
        <v>46311</v>
      </c>
      <c r="C127" s="2" t="s">
        <v>21</v>
      </c>
    </row>
    <row r="128" spans="1:3" x14ac:dyDescent="0.25">
      <c r="A128" t="s">
        <v>61</v>
      </c>
      <c r="B128" s="3">
        <v>46312</v>
      </c>
      <c r="C128" s="2" t="s">
        <v>21</v>
      </c>
    </row>
    <row r="129" spans="1:3" x14ac:dyDescent="0.25">
      <c r="A129" t="s">
        <v>61</v>
      </c>
      <c r="B129" s="3">
        <v>46313</v>
      </c>
      <c r="C129" s="2" t="s">
        <v>21</v>
      </c>
    </row>
    <row r="130" spans="1:3" x14ac:dyDescent="0.25">
      <c r="A130" t="s">
        <v>61</v>
      </c>
      <c r="B130" s="3">
        <v>46314</v>
      </c>
      <c r="C130" s="2" t="s">
        <v>21</v>
      </c>
    </row>
    <row r="131" spans="1:3" x14ac:dyDescent="0.25">
      <c r="A131" t="s">
        <v>61</v>
      </c>
      <c r="B131" s="3">
        <v>46315</v>
      </c>
      <c r="C131" s="2" t="s">
        <v>21</v>
      </c>
    </row>
    <row r="132" spans="1:3" x14ac:dyDescent="0.25">
      <c r="A132" t="s">
        <v>61</v>
      </c>
      <c r="B132" s="3">
        <v>46316</v>
      </c>
      <c r="C132" s="2" t="s">
        <v>21</v>
      </c>
    </row>
    <row r="133" spans="1:3" x14ac:dyDescent="0.25">
      <c r="A133" t="s">
        <v>61</v>
      </c>
      <c r="B133" s="3">
        <v>46317</v>
      </c>
      <c r="C133" s="2" t="s">
        <v>21</v>
      </c>
    </row>
    <row r="134" spans="1:3" x14ac:dyDescent="0.25">
      <c r="A134" t="s">
        <v>61</v>
      </c>
      <c r="B134" s="3">
        <v>46318</v>
      </c>
      <c r="C134" s="2" t="s">
        <v>21</v>
      </c>
    </row>
    <row r="135" spans="1:3" x14ac:dyDescent="0.25">
      <c r="A135" t="s">
        <v>61</v>
      </c>
      <c r="B135" s="3">
        <v>46319</v>
      </c>
      <c r="C135" s="2" t="s">
        <v>21</v>
      </c>
    </row>
    <row r="136" spans="1:3" x14ac:dyDescent="0.25">
      <c r="A136" t="s">
        <v>61</v>
      </c>
      <c r="B136" s="3">
        <v>46320</v>
      </c>
      <c r="C136" s="2" t="s">
        <v>21</v>
      </c>
    </row>
    <row r="137" spans="1:3" x14ac:dyDescent="0.25">
      <c r="A137" t="s">
        <v>62</v>
      </c>
      <c r="B137" s="3">
        <v>46174</v>
      </c>
      <c r="C137" t="s">
        <v>20</v>
      </c>
    </row>
    <row r="138" spans="1:3" x14ac:dyDescent="0.25">
      <c r="A138" t="s">
        <v>62</v>
      </c>
      <c r="B138" s="5">
        <v>46175</v>
      </c>
      <c r="C138" t="s">
        <v>20</v>
      </c>
    </row>
    <row r="139" spans="1:3" x14ac:dyDescent="0.25">
      <c r="A139" t="s">
        <v>62</v>
      </c>
      <c r="B139" s="5">
        <v>46176</v>
      </c>
      <c r="C139" t="s">
        <v>20</v>
      </c>
    </row>
    <row r="140" spans="1:3" x14ac:dyDescent="0.25">
      <c r="A140" t="s">
        <v>62</v>
      </c>
      <c r="B140" s="5">
        <v>46177</v>
      </c>
      <c r="C140" t="s">
        <v>20</v>
      </c>
    </row>
    <row r="141" spans="1:3" x14ac:dyDescent="0.25">
      <c r="A141" t="s">
        <v>62</v>
      </c>
      <c r="B141" s="5">
        <v>46178</v>
      </c>
      <c r="C141" t="s">
        <v>20</v>
      </c>
    </row>
    <row r="142" spans="1:3" x14ac:dyDescent="0.25">
      <c r="A142" t="s">
        <v>62</v>
      </c>
      <c r="B142" s="5">
        <v>46179</v>
      </c>
      <c r="C142" t="s">
        <v>20</v>
      </c>
    </row>
    <row r="143" spans="1:3" x14ac:dyDescent="0.25">
      <c r="A143" t="s">
        <v>62</v>
      </c>
      <c r="B143" s="5">
        <v>46180</v>
      </c>
      <c r="C143" t="s">
        <v>20</v>
      </c>
    </row>
    <row r="144" spans="1:3" x14ac:dyDescent="0.25">
      <c r="A144" t="s">
        <v>62</v>
      </c>
      <c r="B144" s="5">
        <v>46181</v>
      </c>
      <c r="C144" t="s">
        <v>20</v>
      </c>
    </row>
    <row r="145" spans="1:3" x14ac:dyDescent="0.25">
      <c r="A145" t="s">
        <v>62</v>
      </c>
      <c r="B145" s="5">
        <v>46182</v>
      </c>
      <c r="C145" t="s">
        <v>20</v>
      </c>
    </row>
    <row r="146" spans="1:3" x14ac:dyDescent="0.25">
      <c r="A146" t="s">
        <v>62</v>
      </c>
      <c r="B146" s="5">
        <v>46183</v>
      </c>
      <c r="C146" t="s">
        <v>20</v>
      </c>
    </row>
    <row r="147" spans="1:3" x14ac:dyDescent="0.25">
      <c r="A147" t="s">
        <v>62</v>
      </c>
      <c r="B147" s="5">
        <v>46184</v>
      </c>
      <c r="C147" t="s">
        <v>20</v>
      </c>
    </row>
    <row r="148" spans="1:3" x14ac:dyDescent="0.25">
      <c r="A148" t="s">
        <v>62</v>
      </c>
      <c r="B148" s="5">
        <v>46185</v>
      </c>
      <c r="C148" t="s">
        <v>20</v>
      </c>
    </row>
    <row r="149" spans="1:3" x14ac:dyDescent="0.25">
      <c r="A149" t="s">
        <v>62</v>
      </c>
      <c r="B149" s="5">
        <v>46186</v>
      </c>
      <c r="C149" t="s">
        <v>20</v>
      </c>
    </row>
    <row r="150" spans="1:3" x14ac:dyDescent="0.25">
      <c r="A150" t="s">
        <v>62</v>
      </c>
      <c r="B150" s="5">
        <v>46187</v>
      </c>
      <c r="C150" t="s">
        <v>20</v>
      </c>
    </row>
    <row r="151" spans="1:3" x14ac:dyDescent="0.25">
      <c r="A151" t="s">
        <v>62</v>
      </c>
      <c r="B151" s="5">
        <v>46188</v>
      </c>
      <c r="C151" t="s">
        <v>21</v>
      </c>
    </row>
    <row r="152" spans="1:3" x14ac:dyDescent="0.25">
      <c r="A152" t="s">
        <v>62</v>
      </c>
      <c r="B152" s="5">
        <v>46189</v>
      </c>
      <c r="C152" t="s">
        <v>21</v>
      </c>
    </row>
    <row r="153" spans="1:3" x14ac:dyDescent="0.25">
      <c r="A153" t="s">
        <v>62</v>
      </c>
      <c r="B153" s="5">
        <v>46190</v>
      </c>
      <c r="C153" t="s">
        <v>21</v>
      </c>
    </row>
    <row r="154" spans="1:3" x14ac:dyDescent="0.25">
      <c r="A154" t="s">
        <v>62</v>
      </c>
      <c r="B154" s="5">
        <v>46191</v>
      </c>
      <c r="C154" t="s">
        <v>21</v>
      </c>
    </row>
    <row r="155" spans="1:3" x14ac:dyDescent="0.25">
      <c r="A155" t="s">
        <v>62</v>
      </c>
      <c r="B155" s="5">
        <v>46192</v>
      </c>
      <c r="C155" t="s">
        <v>21</v>
      </c>
    </row>
    <row r="156" spans="1:3" x14ac:dyDescent="0.25">
      <c r="A156" t="s">
        <v>62</v>
      </c>
      <c r="B156" s="5">
        <v>46193</v>
      </c>
      <c r="C156" t="s">
        <v>21</v>
      </c>
    </row>
    <row r="157" spans="1:3" x14ac:dyDescent="0.25">
      <c r="A157" t="s">
        <v>62</v>
      </c>
      <c r="B157" s="5">
        <v>46194</v>
      </c>
      <c r="C157" t="s">
        <v>21</v>
      </c>
    </row>
    <row r="158" spans="1:3" x14ac:dyDescent="0.25">
      <c r="A158" t="s">
        <v>62</v>
      </c>
      <c r="B158" s="5">
        <v>46195</v>
      </c>
      <c r="C158" t="s">
        <v>21</v>
      </c>
    </row>
    <row r="159" spans="1:3" x14ac:dyDescent="0.25">
      <c r="A159" t="s">
        <v>62</v>
      </c>
      <c r="B159" s="5">
        <v>46196</v>
      </c>
      <c r="C159" t="s">
        <v>21</v>
      </c>
    </row>
    <row r="160" spans="1:3" x14ac:dyDescent="0.25">
      <c r="A160" t="s">
        <v>62</v>
      </c>
      <c r="B160" s="5">
        <v>46197</v>
      </c>
      <c r="C160" t="s">
        <v>21</v>
      </c>
    </row>
    <row r="161" spans="1:3" x14ac:dyDescent="0.25">
      <c r="A161" t="s">
        <v>62</v>
      </c>
      <c r="B161" s="5">
        <v>46198</v>
      </c>
      <c r="C161" t="s">
        <v>21</v>
      </c>
    </row>
    <row r="162" spans="1:3" x14ac:dyDescent="0.25">
      <c r="A162" t="s">
        <v>62</v>
      </c>
      <c r="B162" s="5">
        <v>46199</v>
      </c>
      <c r="C162" t="s">
        <v>21</v>
      </c>
    </row>
    <row r="163" spans="1:3" x14ac:dyDescent="0.25">
      <c r="A163" t="s">
        <v>62</v>
      </c>
      <c r="B163" s="5">
        <v>46200</v>
      </c>
      <c r="C163" t="s">
        <v>21</v>
      </c>
    </row>
    <row r="164" spans="1:3" x14ac:dyDescent="0.25">
      <c r="A164" t="s">
        <v>62</v>
      </c>
      <c r="B164" s="5">
        <v>46201</v>
      </c>
      <c r="C164" t="s">
        <v>21</v>
      </c>
    </row>
    <row r="165" spans="1:3" x14ac:dyDescent="0.25">
      <c r="A165" t="s">
        <v>62</v>
      </c>
      <c r="B165" s="5">
        <v>46205</v>
      </c>
      <c r="C165" t="s">
        <v>20</v>
      </c>
    </row>
    <row r="166" spans="1:3" x14ac:dyDescent="0.25">
      <c r="A166" t="s">
        <v>62</v>
      </c>
      <c r="B166" s="5">
        <v>46206</v>
      </c>
      <c r="C166" t="s">
        <v>20</v>
      </c>
    </row>
    <row r="167" spans="1:3" x14ac:dyDescent="0.25">
      <c r="A167" t="s">
        <v>62</v>
      </c>
      <c r="B167" s="5">
        <v>46207</v>
      </c>
      <c r="C167" t="s">
        <v>20</v>
      </c>
    </row>
    <row r="168" spans="1:3" x14ac:dyDescent="0.25">
      <c r="A168" t="s">
        <v>62</v>
      </c>
      <c r="B168" s="5">
        <v>46208</v>
      </c>
      <c r="C168" t="s">
        <v>20</v>
      </c>
    </row>
    <row r="169" spans="1:3" x14ac:dyDescent="0.25">
      <c r="A169" t="s">
        <v>62</v>
      </c>
      <c r="B169" s="5">
        <v>46209</v>
      </c>
      <c r="C169" t="s">
        <v>20</v>
      </c>
    </row>
    <row r="170" spans="1:3" x14ac:dyDescent="0.25">
      <c r="A170" t="s">
        <v>62</v>
      </c>
      <c r="B170" s="5">
        <v>46210</v>
      </c>
      <c r="C170" t="s">
        <v>20</v>
      </c>
    </row>
    <row r="171" spans="1:3" x14ac:dyDescent="0.25">
      <c r="A171" t="s">
        <v>62</v>
      </c>
      <c r="B171" s="5">
        <v>46211</v>
      </c>
      <c r="C171" t="s">
        <v>20</v>
      </c>
    </row>
    <row r="172" spans="1:3" x14ac:dyDescent="0.25">
      <c r="A172" t="s">
        <v>62</v>
      </c>
      <c r="B172" s="5">
        <v>46212</v>
      </c>
      <c r="C172" t="s">
        <v>20</v>
      </c>
    </row>
    <row r="173" spans="1:3" x14ac:dyDescent="0.25">
      <c r="A173" t="s">
        <v>62</v>
      </c>
      <c r="B173" s="5">
        <v>46213</v>
      </c>
      <c r="C173" t="s">
        <v>20</v>
      </c>
    </row>
    <row r="174" spans="1:3" x14ac:dyDescent="0.25">
      <c r="A174" t="s">
        <v>62</v>
      </c>
      <c r="B174" s="5">
        <v>46214</v>
      </c>
      <c r="C174" t="s">
        <v>20</v>
      </c>
    </row>
    <row r="175" spans="1:3" x14ac:dyDescent="0.25">
      <c r="A175" t="s">
        <v>62</v>
      </c>
      <c r="B175" s="5">
        <v>46215</v>
      </c>
      <c r="C175" t="s">
        <v>20</v>
      </c>
    </row>
    <row r="176" spans="1:3" x14ac:dyDescent="0.25">
      <c r="A176" t="s">
        <v>62</v>
      </c>
      <c r="B176" s="5">
        <v>46216</v>
      </c>
      <c r="C176" t="s">
        <v>21</v>
      </c>
    </row>
    <row r="177" spans="1:3" x14ac:dyDescent="0.25">
      <c r="A177" t="s">
        <v>62</v>
      </c>
      <c r="B177" s="5">
        <v>46217</v>
      </c>
      <c r="C177" t="s">
        <v>21</v>
      </c>
    </row>
    <row r="178" spans="1:3" x14ac:dyDescent="0.25">
      <c r="A178" t="s">
        <v>62</v>
      </c>
      <c r="B178" s="5">
        <v>46218</v>
      </c>
      <c r="C178" t="s">
        <v>21</v>
      </c>
    </row>
    <row r="179" spans="1:3" x14ac:dyDescent="0.25">
      <c r="A179" t="s">
        <v>62</v>
      </c>
      <c r="B179" s="5">
        <v>46219</v>
      </c>
      <c r="C179" t="s">
        <v>21</v>
      </c>
    </row>
    <row r="180" spans="1:3" x14ac:dyDescent="0.25">
      <c r="A180" t="s">
        <v>62</v>
      </c>
      <c r="B180" s="5">
        <v>46220</v>
      </c>
      <c r="C180" t="s">
        <v>21</v>
      </c>
    </row>
    <row r="181" spans="1:3" x14ac:dyDescent="0.25">
      <c r="A181" t="s">
        <v>62</v>
      </c>
      <c r="B181" s="5">
        <v>46221</v>
      </c>
      <c r="C181" t="s">
        <v>21</v>
      </c>
    </row>
    <row r="182" spans="1:3" x14ac:dyDescent="0.25">
      <c r="A182" t="s">
        <v>62</v>
      </c>
      <c r="B182" s="5">
        <v>46222</v>
      </c>
      <c r="C182" t="s">
        <v>21</v>
      </c>
    </row>
    <row r="183" spans="1:3" x14ac:dyDescent="0.25">
      <c r="A183" t="s">
        <v>62</v>
      </c>
      <c r="B183" s="5">
        <v>46223</v>
      </c>
      <c r="C183" t="s">
        <v>21</v>
      </c>
    </row>
    <row r="184" spans="1:3" x14ac:dyDescent="0.25">
      <c r="A184" t="s">
        <v>62</v>
      </c>
      <c r="B184" s="5">
        <v>46224</v>
      </c>
      <c r="C184" t="s">
        <v>21</v>
      </c>
    </row>
    <row r="185" spans="1:3" x14ac:dyDescent="0.25">
      <c r="A185" t="s">
        <v>62</v>
      </c>
      <c r="B185" s="5">
        <v>46225</v>
      </c>
      <c r="C185" t="s">
        <v>21</v>
      </c>
    </row>
    <row r="186" spans="1:3" x14ac:dyDescent="0.25">
      <c r="A186" t="s">
        <v>62</v>
      </c>
      <c r="B186" s="5">
        <v>46226</v>
      </c>
      <c r="C186" t="s">
        <v>21</v>
      </c>
    </row>
    <row r="187" spans="1:3" x14ac:dyDescent="0.25">
      <c r="A187" t="s">
        <v>62</v>
      </c>
      <c r="B187" s="5">
        <v>46227</v>
      </c>
      <c r="C187" t="s">
        <v>21</v>
      </c>
    </row>
    <row r="188" spans="1:3" x14ac:dyDescent="0.25">
      <c r="A188" t="s">
        <v>62</v>
      </c>
      <c r="B188" s="5">
        <v>46228</v>
      </c>
      <c r="C188" t="s">
        <v>21</v>
      </c>
    </row>
    <row r="189" spans="1:3" x14ac:dyDescent="0.25">
      <c r="A189" t="s">
        <v>62</v>
      </c>
      <c r="B189" s="5">
        <v>46229</v>
      </c>
      <c r="C189" t="s">
        <v>21</v>
      </c>
    </row>
    <row r="190" spans="1:3" x14ac:dyDescent="0.25">
      <c r="A190" t="s">
        <v>62</v>
      </c>
      <c r="B190" s="5">
        <v>46230</v>
      </c>
      <c r="C190" t="s">
        <v>21</v>
      </c>
    </row>
    <row r="191" spans="1:3" x14ac:dyDescent="0.25">
      <c r="A191" t="s">
        <v>62</v>
      </c>
      <c r="B191" s="5">
        <v>46231</v>
      </c>
      <c r="C191" t="s">
        <v>21</v>
      </c>
    </row>
    <row r="192" spans="1:3" x14ac:dyDescent="0.25">
      <c r="A192" t="s">
        <v>62</v>
      </c>
      <c r="B192" s="5">
        <v>46232</v>
      </c>
      <c r="C192" t="s">
        <v>21</v>
      </c>
    </row>
    <row r="193" spans="1:3" x14ac:dyDescent="0.25">
      <c r="A193" t="s">
        <v>62</v>
      </c>
      <c r="B193" s="5">
        <v>46233</v>
      </c>
      <c r="C193" t="s">
        <v>21</v>
      </c>
    </row>
    <row r="194" spans="1:3" x14ac:dyDescent="0.25">
      <c r="A194" t="s">
        <v>62</v>
      </c>
      <c r="B194" s="5">
        <v>46234</v>
      </c>
      <c r="C194" t="s">
        <v>21</v>
      </c>
    </row>
    <row r="195" spans="1:3" x14ac:dyDescent="0.25">
      <c r="A195" t="s">
        <v>62</v>
      </c>
      <c r="B195" s="5">
        <v>46237</v>
      </c>
      <c r="C195" t="s">
        <v>20</v>
      </c>
    </row>
    <row r="196" spans="1:3" x14ac:dyDescent="0.25">
      <c r="A196" t="s">
        <v>62</v>
      </c>
      <c r="B196" s="5">
        <v>46238</v>
      </c>
      <c r="C196" t="s">
        <v>20</v>
      </c>
    </row>
    <row r="197" spans="1:3" x14ac:dyDescent="0.25">
      <c r="A197" t="s">
        <v>62</v>
      </c>
      <c r="B197" s="5">
        <v>46239</v>
      </c>
      <c r="C197" t="s">
        <v>20</v>
      </c>
    </row>
    <row r="198" spans="1:3" x14ac:dyDescent="0.25">
      <c r="A198" t="s">
        <v>62</v>
      </c>
      <c r="B198" s="5">
        <v>46240</v>
      </c>
      <c r="C198" t="s">
        <v>20</v>
      </c>
    </row>
    <row r="199" spans="1:3" x14ac:dyDescent="0.25">
      <c r="A199" t="s">
        <v>62</v>
      </c>
      <c r="B199" s="5">
        <v>46241</v>
      </c>
      <c r="C199" t="s">
        <v>20</v>
      </c>
    </row>
    <row r="200" spans="1:3" x14ac:dyDescent="0.25">
      <c r="A200" t="s">
        <v>62</v>
      </c>
      <c r="B200" s="5">
        <v>46242</v>
      </c>
      <c r="C200" t="s">
        <v>20</v>
      </c>
    </row>
    <row r="201" spans="1:3" x14ac:dyDescent="0.25">
      <c r="A201" t="s">
        <v>62</v>
      </c>
      <c r="B201" s="5">
        <v>46243</v>
      </c>
      <c r="C201" t="s">
        <v>20</v>
      </c>
    </row>
    <row r="202" spans="1:3" x14ac:dyDescent="0.25">
      <c r="A202" t="s">
        <v>62</v>
      </c>
      <c r="B202" s="5">
        <v>46244</v>
      </c>
      <c r="C202" t="s">
        <v>20</v>
      </c>
    </row>
    <row r="203" spans="1:3" x14ac:dyDescent="0.25">
      <c r="A203" t="s">
        <v>62</v>
      </c>
      <c r="B203" s="5">
        <v>46245</v>
      </c>
      <c r="C203" t="s">
        <v>20</v>
      </c>
    </row>
    <row r="204" spans="1:3" x14ac:dyDescent="0.25">
      <c r="A204" t="s">
        <v>62</v>
      </c>
      <c r="B204" s="5">
        <v>46246</v>
      </c>
      <c r="C204" t="s">
        <v>20</v>
      </c>
    </row>
    <row r="205" spans="1:3" x14ac:dyDescent="0.25">
      <c r="A205" t="s">
        <v>62</v>
      </c>
      <c r="B205" s="5">
        <v>46247</v>
      </c>
      <c r="C205" t="s">
        <v>20</v>
      </c>
    </row>
    <row r="206" spans="1:3" x14ac:dyDescent="0.25">
      <c r="A206" t="s">
        <v>62</v>
      </c>
      <c r="B206" s="5">
        <v>46248</v>
      </c>
      <c r="C206" t="s">
        <v>20</v>
      </c>
    </row>
    <row r="207" spans="1:3" x14ac:dyDescent="0.25">
      <c r="A207" t="s">
        <v>62</v>
      </c>
      <c r="B207" s="5">
        <v>46249</v>
      </c>
      <c r="C207" t="s">
        <v>20</v>
      </c>
    </row>
    <row r="208" spans="1:3" x14ac:dyDescent="0.25">
      <c r="A208" t="s">
        <v>62</v>
      </c>
      <c r="B208" s="5">
        <v>46250</v>
      </c>
      <c r="C208" t="s">
        <v>20</v>
      </c>
    </row>
    <row r="209" spans="1:3" x14ac:dyDescent="0.25">
      <c r="A209" t="s">
        <v>62</v>
      </c>
      <c r="B209" s="5">
        <v>46251</v>
      </c>
      <c r="C209" t="s">
        <v>21</v>
      </c>
    </row>
    <row r="210" spans="1:3" x14ac:dyDescent="0.25">
      <c r="A210" t="s">
        <v>62</v>
      </c>
      <c r="B210" s="5">
        <v>46252</v>
      </c>
      <c r="C210" t="s">
        <v>21</v>
      </c>
    </row>
    <row r="211" spans="1:3" x14ac:dyDescent="0.25">
      <c r="A211" t="s">
        <v>62</v>
      </c>
      <c r="B211" s="5">
        <v>46253</v>
      </c>
      <c r="C211" t="s">
        <v>21</v>
      </c>
    </row>
    <row r="212" spans="1:3" x14ac:dyDescent="0.25">
      <c r="A212" t="s">
        <v>62</v>
      </c>
      <c r="B212" s="5">
        <v>46254</v>
      </c>
      <c r="C212" t="s">
        <v>21</v>
      </c>
    </row>
    <row r="213" spans="1:3" x14ac:dyDescent="0.25">
      <c r="A213" t="s">
        <v>62</v>
      </c>
      <c r="B213" s="5">
        <v>46255</v>
      </c>
      <c r="C213" t="s">
        <v>21</v>
      </c>
    </row>
    <row r="214" spans="1:3" x14ac:dyDescent="0.25">
      <c r="A214" t="s">
        <v>62</v>
      </c>
      <c r="B214" s="5">
        <v>46256</v>
      </c>
      <c r="C214" t="s">
        <v>21</v>
      </c>
    </row>
    <row r="215" spans="1:3" x14ac:dyDescent="0.25">
      <c r="A215" t="s">
        <v>62</v>
      </c>
      <c r="B215" s="5">
        <v>46257</v>
      </c>
      <c r="C215" t="s">
        <v>21</v>
      </c>
    </row>
    <row r="216" spans="1:3" x14ac:dyDescent="0.25">
      <c r="A216" t="s">
        <v>62</v>
      </c>
      <c r="B216" s="5">
        <v>46258</v>
      </c>
      <c r="C216" t="s">
        <v>21</v>
      </c>
    </row>
    <row r="217" spans="1:3" x14ac:dyDescent="0.25">
      <c r="A217" t="s">
        <v>62</v>
      </c>
      <c r="B217" s="5">
        <v>46259</v>
      </c>
      <c r="C217" t="s">
        <v>21</v>
      </c>
    </row>
    <row r="218" spans="1:3" x14ac:dyDescent="0.25">
      <c r="A218" t="s">
        <v>62</v>
      </c>
      <c r="B218" s="5">
        <v>46260</v>
      </c>
      <c r="C218" t="s">
        <v>21</v>
      </c>
    </row>
    <row r="219" spans="1:3" x14ac:dyDescent="0.25">
      <c r="A219" t="s">
        <v>62</v>
      </c>
      <c r="B219" s="5">
        <v>46261</v>
      </c>
      <c r="C219" t="s">
        <v>21</v>
      </c>
    </row>
    <row r="220" spans="1:3" x14ac:dyDescent="0.25">
      <c r="A220" t="s">
        <v>62</v>
      </c>
      <c r="B220" s="5">
        <v>46262</v>
      </c>
      <c r="C220" t="s">
        <v>21</v>
      </c>
    </row>
    <row r="221" spans="1:3" x14ac:dyDescent="0.25">
      <c r="A221" t="s">
        <v>62</v>
      </c>
      <c r="B221" s="5">
        <v>46263</v>
      </c>
      <c r="C221" t="s">
        <v>21</v>
      </c>
    </row>
    <row r="222" spans="1:3" x14ac:dyDescent="0.25">
      <c r="A222" t="s">
        <v>62</v>
      </c>
      <c r="B222" s="5">
        <v>46264</v>
      </c>
      <c r="C222" t="s">
        <v>21</v>
      </c>
    </row>
    <row r="223" spans="1:3" x14ac:dyDescent="0.25">
      <c r="A223" t="s">
        <v>62</v>
      </c>
      <c r="B223" s="5">
        <v>46265</v>
      </c>
      <c r="C223" t="s">
        <v>21</v>
      </c>
    </row>
    <row r="224" spans="1:3" x14ac:dyDescent="0.25">
      <c r="A224" t="s">
        <v>62</v>
      </c>
      <c r="B224" s="3">
        <v>46266</v>
      </c>
      <c r="C224" s="2" t="s">
        <v>20</v>
      </c>
    </row>
    <row r="225" spans="1:3" x14ac:dyDescent="0.25">
      <c r="A225" t="s">
        <v>62</v>
      </c>
      <c r="B225" s="3">
        <v>46267</v>
      </c>
      <c r="C225" s="2" t="s">
        <v>20</v>
      </c>
    </row>
    <row r="226" spans="1:3" x14ac:dyDescent="0.25">
      <c r="A226" t="s">
        <v>62</v>
      </c>
      <c r="B226" s="3">
        <v>46268</v>
      </c>
      <c r="C226" s="2" t="s">
        <v>20</v>
      </c>
    </row>
    <row r="227" spans="1:3" x14ac:dyDescent="0.25">
      <c r="A227" t="s">
        <v>62</v>
      </c>
      <c r="B227" s="3">
        <v>46269</v>
      </c>
      <c r="C227" s="2" t="s">
        <v>20</v>
      </c>
    </row>
    <row r="228" spans="1:3" x14ac:dyDescent="0.25">
      <c r="A228" t="s">
        <v>62</v>
      </c>
      <c r="B228" s="3">
        <v>46270</v>
      </c>
      <c r="C228" s="2" t="s">
        <v>20</v>
      </c>
    </row>
    <row r="229" spans="1:3" x14ac:dyDescent="0.25">
      <c r="A229" t="s">
        <v>62</v>
      </c>
      <c r="B229" s="3">
        <v>46271</v>
      </c>
      <c r="C229" s="2" t="s">
        <v>20</v>
      </c>
    </row>
    <row r="230" spans="1:3" x14ac:dyDescent="0.25">
      <c r="A230" t="s">
        <v>62</v>
      </c>
      <c r="B230" s="3">
        <v>46272</v>
      </c>
      <c r="C230" s="2" t="s">
        <v>20</v>
      </c>
    </row>
    <row r="231" spans="1:3" x14ac:dyDescent="0.25">
      <c r="A231" t="s">
        <v>62</v>
      </c>
      <c r="B231" s="3">
        <v>46273</v>
      </c>
      <c r="C231" s="2" t="s">
        <v>20</v>
      </c>
    </row>
    <row r="232" spans="1:3" x14ac:dyDescent="0.25">
      <c r="A232" t="s">
        <v>62</v>
      </c>
      <c r="B232" s="3">
        <v>46274</v>
      </c>
      <c r="C232" s="2" t="s">
        <v>20</v>
      </c>
    </row>
    <row r="233" spans="1:3" x14ac:dyDescent="0.25">
      <c r="A233" t="s">
        <v>62</v>
      </c>
      <c r="B233" s="3">
        <v>46275</v>
      </c>
      <c r="C233" s="2" t="s">
        <v>20</v>
      </c>
    </row>
    <row r="234" spans="1:3" x14ac:dyDescent="0.25">
      <c r="A234" t="s">
        <v>62</v>
      </c>
      <c r="B234" s="3">
        <v>46276</v>
      </c>
      <c r="C234" s="2" t="s">
        <v>20</v>
      </c>
    </row>
    <row r="235" spans="1:3" x14ac:dyDescent="0.25">
      <c r="A235" t="s">
        <v>62</v>
      </c>
      <c r="B235" s="3">
        <v>46277</v>
      </c>
      <c r="C235" s="2" t="s">
        <v>20</v>
      </c>
    </row>
    <row r="236" spans="1:3" x14ac:dyDescent="0.25">
      <c r="A236" t="s">
        <v>62</v>
      </c>
      <c r="B236" s="3">
        <v>46278</v>
      </c>
      <c r="C236" s="2" t="s">
        <v>20</v>
      </c>
    </row>
    <row r="237" spans="1:3" x14ac:dyDescent="0.25">
      <c r="A237" t="s">
        <v>62</v>
      </c>
      <c r="B237" s="3">
        <v>46279</v>
      </c>
      <c r="C237" s="2" t="s">
        <v>21</v>
      </c>
    </row>
    <row r="238" spans="1:3" x14ac:dyDescent="0.25">
      <c r="A238" t="s">
        <v>62</v>
      </c>
      <c r="B238" s="3">
        <v>46280</v>
      </c>
      <c r="C238" s="2" t="s">
        <v>21</v>
      </c>
    </row>
    <row r="239" spans="1:3" x14ac:dyDescent="0.25">
      <c r="A239" t="s">
        <v>62</v>
      </c>
      <c r="B239" s="3">
        <v>46281</v>
      </c>
      <c r="C239" s="2" t="s">
        <v>21</v>
      </c>
    </row>
    <row r="240" spans="1:3" x14ac:dyDescent="0.25">
      <c r="A240" t="s">
        <v>62</v>
      </c>
      <c r="B240" s="3">
        <v>46282</v>
      </c>
      <c r="C240" s="2" t="s">
        <v>21</v>
      </c>
    </row>
    <row r="241" spans="1:3" x14ac:dyDescent="0.25">
      <c r="A241" t="s">
        <v>62</v>
      </c>
      <c r="B241" s="3">
        <v>46283</v>
      </c>
      <c r="C241" s="2" t="s">
        <v>21</v>
      </c>
    </row>
    <row r="242" spans="1:3" x14ac:dyDescent="0.25">
      <c r="A242" t="s">
        <v>62</v>
      </c>
      <c r="B242" s="3">
        <v>46284</v>
      </c>
      <c r="C242" s="2" t="s">
        <v>21</v>
      </c>
    </row>
    <row r="243" spans="1:3" x14ac:dyDescent="0.25">
      <c r="A243" t="s">
        <v>62</v>
      </c>
      <c r="B243" s="3">
        <v>46285</v>
      </c>
      <c r="C243" s="2" t="s">
        <v>21</v>
      </c>
    </row>
    <row r="244" spans="1:3" x14ac:dyDescent="0.25">
      <c r="A244" t="s">
        <v>62</v>
      </c>
      <c r="B244" s="3">
        <v>46286</v>
      </c>
      <c r="C244" s="2" t="s">
        <v>21</v>
      </c>
    </row>
    <row r="245" spans="1:3" x14ac:dyDescent="0.25">
      <c r="A245" t="s">
        <v>62</v>
      </c>
      <c r="B245" s="3">
        <v>46287</v>
      </c>
      <c r="C245" s="2" t="s">
        <v>21</v>
      </c>
    </row>
    <row r="246" spans="1:3" x14ac:dyDescent="0.25">
      <c r="A246" t="s">
        <v>62</v>
      </c>
      <c r="B246" s="3">
        <v>46288</v>
      </c>
      <c r="C246" s="2" t="s">
        <v>21</v>
      </c>
    </row>
    <row r="247" spans="1:3" x14ac:dyDescent="0.25">
      <c r="A247" t="s">
        <v>62</v>
      </c>
      <c r="B247" s="3">
        <v>46289</v>
      </c>
      <c r="C247" s="2" t="s">
        <v>21</v>
      </c>
    </row>
    <row r="248" spans="1:3" x14ac:dyDescent="0.25">
      <c r="A248" t="s">
        <v>62</v>
      </c>
      <c r="B248" s="3">
        <v>46290</v>
      </c>
      <c r="C248" s="2" t="s">
        <v>21</v>
      </c>
    </row>
    <row r="249" spans="1:3" x14ac:dyDescent="0.25">
      <c r="A249" t="s">
        <v>62</v>
      </c>
      <c r="B249" s="3">
        <v>46291</v>
      </c>
      <c r="C249" s="2" t="s">
        <v>21</v>
      </c>
    </row>
    <row r="250" spans="1:3" x14ac:dyDescent="0.25">
      <c r="A250" t="s">
        <v>62</v>
      </c>
      <c r="B250" s="3">
        <v>46292</v>
      </c>
      <c r="C250" s="2" t="s">
        <v>21</v>
      </c>
    </row>
    <row r="251" spans="1:3" x14ac:dyDescent="0.25">
      <c r="A251" t="s">
        <v>62</v>
      </c>
      <c r="B251" s="3">
        <v>46296</v>
      </c>
      <c r="C251" s="2" t="s">
        <v>20</v>
      </c>
    </row>
    <row r="252" spans="1:3" x14ac:dyDescent="0.25">
      <c r="A252" t="s">
        <v>62</v>
      </c>
      <c r="B252" s="3">
        <v>46297</v>
      </c>
      <c r="C252" s="2" t="s">
        <v>20</v>
      </c>
    </row>
    <row r="253" spans="1:3" x14ac:dyDescent="0.25">
      <c r="A253" t="s">
        <v>62</v>
      </c>
      <c r="B253" s="3">
        <v>46298</v>
      </c>
      <c r="C253" s="2" t="s">
        <v>20</v>
      </c>
    </row>
    <row r="254" spans="1:3" x14ac:dyDescent="0.25">
      <c r="A254" t="s">
        <v>62</v>
      </c>
      <c r="B254" s="3">
        <v>46299</v>
      </c>
      <c r="C254" s="2" t="s">
        <v>20</v>
      </c>
    </row>
    <row r="255" spans="1:3" x14ac:dyDescent="0.25">
      <c r="A255" t="s">
        <v>62</v>
      </c>
      <c r="B255" s="3">
        <v>46300</v>
      </c>
      <c r="C255" s="2" t="s">
        <v>20</v>
      </c>
    </row>
    <row r="256" spans="1:3" x14ac:dyDescent="0.25">
      <c r="A256" t="s">
        <v>62</v>
      </c>
      <c r="B256" s="3">
        <v>46301</v>
      </c>
      <c r="C256" s="2" t="s">
        <v>20</v>
      </c>
    </row>
    <row r="257" spans="1:3" x14ac:dyDescent="0.25">
      <c r="A257" t="s">
        <v>62</v>
      </c>
      <c r="B257" s="3">
        <v>46302</v>
      </c>
      <c r="C257" s="2" t="s">
        <v>20</v>
      </c>
    </row>
    <row r="258" spans="1:3" x14ac:dyDescent="0.25">
      <c r="A258" t="s">
        <v>62</v>
      </c>
      <c r="B258" s="3">
        <v>46303</v>
      </c>
      <c r="C258" s="2" t="s">
        <v>20</v>
      </c>
    </row>
    <row r="259" spans="1:3" x14ac:dyDescent="0.25">
      <c r="A259" t="s">
        <v>62</v>
      </c>
      <c r="B259" s="3">
        <v>46304</v>
      </c>
      <c r="C259" s="2" t="s">
        <v>20</v>
      </c>
    </row>
    <row r="260" spans="1:3" x14ac:dyDescent="0.25">
      <c r="A260" t="s">
        <v>62</v>
      </c>
      <c r="B260" s="3">
        <v>46305</v>
      </c>
      <c r="C260" s="2" t="s">
        <v>20</v>
      </c>
    </row>
    <row r="261" spans="1:3" x14ac:dyDescent="0.25">
      <c r="A261" t="s">
        <v>62</v>
      </c>
      <c r="B261" s="3">
        <v>46306</v>
      </c>
      <c r="C261" s="2" t="s">
        <v>20</v>
      </c>
    </row>
    <row r="262" spans="1:3" x14ac:dyDescent="0.25">
      <c r="A262" t="s">
        <v>62</v>
      </c>
      <c r="B262" s="3">
        <v>46307</v>
      </c>
      <c r="C262" s="2" t="s">
        <v>20</v>
      </c>
    </row>
    <row r="263" spans="1:3" x14ac:dyDescent="0.25">
      <c r="A263" t="s">
        <v>62</v>
      </c>
      <c r="B263" s="3">
        <v>46308</v>
      </c>
      <c r="C263" s="2" t="s">
        <v>21</v>
      </c>
    </row>
    <row r="264" spans="1:3" x14ac:dyDescent="0.25">
      <c r="A264" t="s">
        <v>62</v>
      </c>
      <c r="B264" s="3">
        <v>46309</v>
      </c>
      <c r="C264" s="2" t="s">
        <v>21</v>
      </c>
    </row>
    <row r="265" spans="1:3" x14ac:dyDescent="0.25">
      <c r="A265" t="s">
        <v>62</v>
      </c>
      <c r="B265" s="3">
        <v>46310</v>
      </c>
      <c r="C265" s="2" t="s">
        <v>21</v>
      </c>
    </row>
    <row r="266" spans="1:3" x14ac:dyDescent="0.25">
      <c r="A266" t="s">
        <v>62</v>
      </c>
      <c r="B266" s="3">
        <v>46311</v>
      </c>
      <c r="C266" s="2" t="s">
        <v>21</v>
      </c>
    </row>
    <row r="267" spans="1:3" x14ac:dyDescent="0.25">
      <c r="A267" t="s">
        <v>62</v>
      </c>
      <c r="B267" s="3">
        <v>46312</v>
      </c>
      <c r="C267" s="2" t="s">
        <v>21</v>
      </c>
    </row>
    <row r="268" spans="1:3" x14ac:dyDescent="0.25">
      <c r="A268" t="s">
        <v>62</v>
      </c>
      <c r="B268" s="3">
        <v>46313</v>
      </c>
      <c r="C268" s="2" t="s">
        <v>21</v>
      </c>
    </row>
    <row r="269" spans="1:3" x14ac:dyDescent="0.25">
      <c r="A269" t="s">
        <v>62</v>
      </c>
      <c r="B269" s="3">
        <v>46314</v>
      </c>
      <c r="C269" s="2" t="s">
        <v>21</v>
      </c>
    </row>
    <row r="270" spans="1:3" x14ac:dyDescent="0.25">
      <c r="A270" t="s">
        <v>62</v>
      </c>
      <c r="B270" s="3">
        <v>46315</v>
      </c>
      <c r="C270" s="2" t="s">
        <v>21</v>
      </c>
    </row>
    <row r="271" spans="1:3" x14ac:dyDescent="0.25">
      <c r="A271" t="s">
        <v>62</v>
      </c>
      <c r="B271" s="3">
        <v>46316</v>
      </c>
      <c r="C271" s="2" t="s">
        <v>21</v>
      </c>
    </row>
    <row r="272" spans="1:3" x14ac:dyDescent="0.25">
      <c r="A272" t="s">
        <v>62</v>
      </c>
      <c r="B272" s="3">
        <v>46317</v>
      </c>
      <c r="C272" s="2" t="s">
        <v>21</v>
      </c>
    </row>
    <row r="273" spans="1:3" x14ac:dyDescent="0.25">
      <c r="A273" t="s">
        <v>62</v>
      </c>
      <c r="B273" s="3">
        <v>46318</v>
      </c>
      <c r="C273" s="2" t="s">
        <v>21</v>
      </c>
    </row>
    <row r="274" spans="1:3" x14ac:dyDescent="0.25">
      <c r="A274" t="s">
        <v>62</v>
      </c>
      <c r="B274" s="3">
        <v>46319</v>
      </c>
      <c r="C274" s="2" t="s">
        <v>21</v>
      </c>
    </row>
    <row r="275" spans="1:3" x14ac:dyDescent="0.25">
      <c r="A275" t="s">
        <v>62</v>
      </c>
      <c r="B275" s="3">
        <v>46320</v>
      </c>
      <c r="C275" s="2" t="s">
        <v>21</v>
      </c>
    </row>
    <row r="328" spans="1:3" x14ac:dyDescent="0.25">
      <c r="A328" t="s">
        <v>104</v>
      </c>
      <c r="B328" s="3">
        <v>46174</v>
      </c>
      <c r="C328" t="s">
        <v>20</v>
      </c>
    </row>
    <row r="329" spans="1:3" x14ac:dyDescent="0.25">
      <c r="A329" t="s">
        <v>104</v>
      </c>
      <c r="B329" s="5">
        <v>46175</v>
      </c>
      <c r="C329" t="s">
        <v>20</v>
      </c>
    </row>
    <row r="330" spans="1:3" x14ac:dyDescent="0.25">
      <c r="A330" t="s">
        <v>104</v>
      </c>
      <c r="B330" s="5">
        <v>46176</v>
      </c>
      <c r="C330" t="s">
        <v>20</v>
      </c>
    </row>
    <row r="331" spans="1:3" x14ac:dyDescent="0.25">
      <c r="A331" t="s">
        <v>104</v>
      </c>
      <c r="B331" s="5">
        <v>46177</v>
      </c>
      <c r="C331" t="s">
        <v>20</v>
      </c>
    </row>
    <row r="332" spans="1:3" x14ac:dyDescent="0.25">
      <c r="A332" t="s">
        <v>104</v>
      </c>
      <c r="B332" s="5">
        <v>46178</v>
      </c>
      <c r="C332" t="s">
        <v>20</v>
      </c>
    </row>
    <row r="333" spans="1:3" x14ac:dyDescent="0.25">
      <c r="A333" t="s">
        <v>104</v>
      </c>
      <c r="B333" s="5">
        <v>46179</v>
      </c>
      <c r="C333" t="s">
        <v>20</v>
      </c>
    </row>
    <row r="334" spans="1:3" x14ac:dyDescent="0.25">
      <c r="A334" t="s">
        <v>104</v>
      </c>
      <c r="B334" s="5">
        <v>46180</v>
      </c>
      <c r="C334" t="s">
        <v>20</v>
      </c>
    </row>
    <row r="335" spans="1:3" x14ac:dyDescent="0.25">
      <c r="A335" t="s">
        <v>104</v>
      </c>
      <c r="B335" s="5">
        <v>46181</v>
      </c>
      <c r="C335" t="s">
        <v>20</v>
      </c>
    </row>
    <row r="336" spans="1:3" x14ac:dyDescent="0.25">
      <c r="A336" t="s">
        <v>104</v>
      </c>
      <c r="B336" s="5">
        <v>46182</v>
      </c>
      <c r="C336" t="s">
        <v>20</v>
      </c>
    </row>
    <row r="337" spans="1:3" x14ac:dyDescent="0.25">
      <c r="A337" t="s">
        <v>104</v>
      </c>
      <c r="B337" s="5">
        <v>46183</v>
      </c>
      <c r="C337" t="s">
        <v>20</v>
      </c>
    </row>
    <row r="338" spans="1:3" x14ac:dyDescent="0.25">
      <c r="A338" t="s">
        <v>104</v>
      </c>
      <c r="B338" s="5">
        <v>46184</v>
      </c>
      <c r="C338" t="s">
        <v>20</v>
      </c>
    </row>
    <row r="339" spans="1:3" x14ac:dyDescent="0.25">
      <c r="A339" t="s">
        <v>104</v>
      </c>
      <c r="B339" s="5">
        <v>46185</v>
      </c>
      <c r="C339" t="s">
        <v>20</v>
      </c>
    </row>
    <row r="340" spans="1:3" x14ac:dyDescent="0.25">
      <c r="A340" t="s">
        <v>104</v>
      </c>
      <c r="B340" s="5">
        <v>46186</v>
      </c>
      <c r="C340" t="s">
        <v>20</v>
      </c>
    </row>
    <row r="341" spans="1:3" x14ac:dyDescent="0.25">
      <c r="A341" t="s">
        <v>104</v>
      </c>
      <c r="B341" s="5">
        <v>46187</v>
      </c>
      <c r="C341" t="s">
        <v>20</v>
      </c>
    </row>
    <row r="342" spans="1:3" x14ac:dyDescent="0.25">
      <c r="A342" t="s">
        <v>104</v>
      </c>
      <c r="B342" s="5">
        <v>46188</v>
      </c>
      <c r="C342" t="s">
        <v>21</v>
      </c>
    </row>
    <row r="343" spans="1:3" x14ac:dyDescent="0.25">
      <c r="A343" t="s">
        <v>104</v>
      </c>
      <c r="B343" s="5">
        <v>46189</v>
      </c>
      <c r="C343" t="s">
        <v>21</v>
      </c>
    </row>
    <row r="344" spans="1:3" x14ac:dyDescent="0.25">
      <c r="A344" t="s">
        <v>104</v>
      </c>
      <c r="B344" s="5">
        <v>46190</v>
      </c>
      <c r="C344" t="s">
        <v>21</v>
      </c>
    </row>
    <row r="345" spans="1:3" x14ac:dyDescent="0.25">
      <c r="A345" t="s">
        <v>104</v>
      </c>
      <c r="B345" s="5">
        <v>46191</v>
      </c>
      <c r="C345" t="s">
        <v>21</v>
      </c>
    </row>
    <row r="346" spans="1:3" x14ac:dyDescent="0.25">
      <c r="A346" t="s">
        <v>104</v>
      </c>
      <c r="B346" s="5">
        <v>46192</v>
      </c>
      <c r="C346" t="s">
        <v>21</v>
      </c>
    </row>
    <row r="347" spans="1:3" x14ac:dyDescent="0.25">
      <c r="A347" t="s">
        <v>104</v>
      </c>
      <c r="B347" s="5">
        <v>46193</v>
      </c>
      <c r="C347" t="s">
        <v>21</v>
      </c>
    </row>
    <row r="348" spans="1:3" x14ac:dyDescent="0.25">
      <c r="A348" t="s">
        <v>104</v>
      </c>
      <c r="B348" s="5">
        <v>46194</v>
      </c>
      <c r="C348" t="s">
        <v>21</v>
      </c>
    </row>
    <row r="349" spans="1:3" x14ac:dyDescent="0.25">
      <c r="A349" t="s">
        <v>104</v>
      </c>
      <c r="B349" s="5">
        <v>46195</v>
      </c>
      <c r="C349" t="s">
        <v>21</v>
      </c>
    </row>
    <row r="350" spans="1:3" x14ac:dyDescent="0.25">
      <c r="A350" t="s">
        <v>104</v>
      </c>
      <c r="B350" s="5">
        <v>46196</v>
      </c>
      <c r="C350" t="s">
        <v>21</v>
      </c>
    </row>
    <row r="351" spans="1:3" x14ac:dyDescent="0.25">
      <c r="A351" t="s">
        <v>104</v>
      </c>
      <c r="B351" s="5">
        <v>46197</v>
      </c>
      <c r="C351" t="s">
        <v>21</v>
      </c>
    </row>
    <row r="352" spans="1:3" x14ac:dyDescent="0.25">
      <c r="A352" t="s">
        <v>104</v>
      </c>
      <c r="B352" s="5">
        <v>46198</v>
      </c>
      <c r="C352" t="s">
        <v>21</v>
      </c>
    </row>
    <row r="353" spans="1:3" x14ac:dyDescent="0.25">
      <c r="A353" t="s">
        <v>104</v>
      </c>
      <c r="B353" s="5">
        <v>46199</v>
      </c>
      <c r="C353" t="s">
        <v>21</v>
      </c>
    </row>
    <row r="354" spans="1:3" x14ac:dyDescent="0.25">
      <c r="A354" t="s">
        <v>104</v>
      </c>
      <c r="B354" s="5">
        <v>46200</v>
      </c>
      <c r="C354" t="s">
        <v>21</v>
      </c>
    </row>
    <row r="355" spans="1:3" x14ac:dyDescent="0.25">
      <c r="A355" t="s">
        <v>104</v>
      </c>
      <c r="B355" s="5">
        <v>46201</v>
      </c>
      <c r="C355" t="s">
        <v>21</v>
      </c>
    </row>
    <row r="356" spans="1:3" x14ac:dyDescent="0.25">
      <c r="A356" t="s">
        <v>104</v>
      </c>
      <c r="B356" s="5">
        <v>46205</v>
      </c>
      <c r="C356" t="s">
        <v>20</v>
      </c>
    </row>
    <row r="357" spans="1:3" x14ac:dyDescent="0.25">
      <c r="A357" t="s">
        <v>104</v>
      </c>
      <c r="B357" s="5">
        <v>46206</v>
      </c>
      <c r="C357" t="s">
        <v>20</v>
      </c>
    </row>
    <row r="358" spans="1:3" x14ac:dyDescent="0.25">
      <c r="A358" t="s">
        <v>104</v>
      </c>
      <c r="B358" s="5">
        <v>46207</v>
      </c>
      <c r="C358" t="s">
        <v>20</v>
      </c>
    </row>
    <row r="359" spans="1:3" x14ac:dyDescent="0.25">
      <c r="A359" t="s">
        <v>104</v>
      </c>
      <c r="B359" s="5">
        <v>46208</v>
      </c>
      <c r="C359" t="s">
        <v>20</v>
      </c>
    </row>
    <row r="360" spans="1:3" x14ac:dyDescent="0.25">
      <c r="A360" t="s">
        <v>104</v>
      </c>
      <c r="B360" s="5">
        <v>46209</v>
      </c>
      <c r="C360" t="s">
        <v>20</v>
      </c>
    </row>
    <row r="361" spans="1:3" x14ac:dyDescent="0.25">
      <c r="A361" t="s">
        <v>104</v>
      </c>
      <c r="B361" s="5">
        <v>46210</v>
      </c>
      <c r="C361" t="s">
        <v>20</v>
      </c>
    </row>
    <row r="362" spans="1:3" x14ac:dyDescent="0.25">
      <c r="A362" t="s">
        <v>104</v>
      </c>
      <c r="B362" s="5">
        <v>46211</v>
      </c>
      <c r="C362" t="s">
        <v>20</v>
      </c>
    </row>
    <row r="363" spans="1:3" x14ac:dyDescent="0.25">
      <c r="A363" t="s">
        <v>104</v>
      </c>
      <c r="B363" s="5">
        <v>46212</v>
      </c>
      <c r="C363" t="s">
        <v>20</v>
      </c>
    </row>
    <row r="364" spans="1:3" x14ac:dyDescent="0.25">
      <c r="A364" t="s">
        <v>104</v>
      </c>
      <c r="B364" s="5">
        <v>46213</v>
      </c>
      <c r="C364" t="s">
        <v>20</v>
      </c>
    </row>
    <row r="365" spans="1:3" x14ac:dyDescent="0.25">
      <c r="A365" t="s">
        <v>104</v>
      </c>
      <c r="B365" s="5">
        <v>46214</v>
      </c>
      <c r="C365" t="s">
        <v>20</v>
      </c>
    </row>
    <row r="366" spans="1:3" x14ac:dyDescent="0.25">
      <c r="A366" t="s">
        <v>104</v>
      </c>
      <c r="B366" s="5">
        <v>46215</v>
      </c>
      <c r="C366" t="s">
        <v>20</v>
      </c>
    </row>
    <row r="367" spans="1:3" x14ac:dyDescent="0.25">
      <c r="A367" t="s">
        <v>104</v>
      </c>
      <c r="B367" s="5">
        <v>46216</v>
      </c>
      <c r="C367" t="s">
        <v>21</v>
      </c>
    </row>
    <row r="368" spans="1:3" x14ac:dyDescent="0.25">
      <c r="A368" t="s">
        <v>104</v>
      </c>
      <c r="B368" s="5">
        <v>46217</v>
      </c>
      <c r="C368" t="s">
        <v>21</v>
      </c>
    </row>
    <row r="369" spans="1:3" x14ac:dyDescent="0.25">
      <c r="A369" t="s">
        <v>104</v>
      </c>
      <c r="B369" s="5">
        <v>46218</v>
      </c>
      <c r="C369" t="s">
        <v>21</v>
      </c>
    </row>
    <row r="370" spans="1:3" x14ac:dyDescent="0.25">
      <c r="A370" t="s">
        <v>104</v>
      </c>
      <c r="B370" s="5">
        <v>46219</v>
      </c>
      <c r="C370" t="s">
        <v>21</v>
      </c>
    </row>
    <row r="371" spans="1:3" x14ac:dyDescent="0.25">
      <c r="A371" t="s">
        <v>104</v>
      </c>
      <c r="B371" s="5">
        <v>46220</v>
      </c>
      <c r="C371" t="s">
        <v>21</v>
      </c>
    </row>
    <row r="372" spans="1:3" x14ac:dyDescent="0.25">
      <c r="A372" t="s">
        <v>104</v>
      </c>
      <c r="B372" s="5">
        <v>46221</v>
      </c>
      <c r="C372" t="s">
        <v>21</v>
      </c>
    </row>
    <row r="373" spans="1:3" x14ac:dyDescent="0.25">
      <c r="A373" t="s">
        <v>104</v>
      </c>
      <c r="B373" s="5">
        <v>46222</v>
      </c>
      <c r="C373" t="s">
        <v>21</v>
      </c>
    </row>
    <row r="374" spans="1:3" x14ac:dyDescent="0.25">
      <c r="A374" t="s">
        <v>104</v>
      </c>
      <c r="B374" s="5">
        <v>46223</v>
      </c>
      <c r="C374" t="s">
        <v>21</v>
      </c>
    </row>
    <row r="375" spans="1:3" x14ac:dyDescent="0.25">
      <c r="A375" t="s">
        <v>104</v>
      </c>
      <c r="B375" s="5">
        <v>46224</v>
      </c>
      <c r="C375" t="s">
        <v>21</v>
      </c>
    </row>
    <row r="376" spans="1:3" x14ac:dyDescent="0.25">
      <c r="A376" t="s">
        <v>104</v>
      </c>
      <c r="B376" s="5">
        <v>46225</v>
      </c>
      <c r="C376" t="s">
        <v>21</v>
      </c>
    </row>
    <row r="377" spans="1:3" x14ac:dyDescent="0.25">
      <c r="A377" t="s">
        <v>104</v>
      </c>
      <c r="B377" s="5">
        <v>46226</v>
      </c>
      <c r="C377" t="s">
        <v>21</v>
      </c>
    </row>
    <row r="378" spans="1:3" x14ac:dyDescent="0.25">
      <c r="A378" t="s">
        <v>104</v>
      </c>
      <c r="B378" s="5">
        <v>46227</v>
      </c>
      <c r="C378" t="s">
        <v>21</v>
      </c>
    </row>
    <row r="379" spans="1:3" x14ac:dyDescent="0.25">
      <c r="A379" t="s">
        <v>104</v>
      </c>
      <c r="B379" s="5">
        <v>46228</v>
      </c>
      <c r="C379" t="s">
        <v>21</v>
      </c>
    </row>
    <row r="380" spans="1:3" x14ac:dyDescent="0.25">
      <c r="A380" t="s">
        <v>104</v>
      </c>
      <c r="B380" s="5">
        <v>46229</v>
      </c>
      <c r="C380" t="s">
        <v>21</v>
      </c>
    </row>
    <row r="381" spans="1:3" x14ac:dyDescent="0.25">
      <c r="A381" t="s">
        <v>104</v>
      </c>
      <c r="B381" s="5">
        <v>46230</v>
      </c>
      <c r="C381" t="s">
        <v>21</v>
      </c>
    </row>
    <row r="382" spans="1:3" x14ac:dyDescent="0.25">
      <c r="A382" t="s">
        <v>104</v>
      </c>
      <c r="B382" s="5">
        <v>46231</v>
      </c>
      <c r="C382" t="s">
        <v>21</v>
      </c>
    </row>
    <row r="383" spans="1:3" x14ac:dyDescent="0.25">
      <c r="A383" t="s">
        <v>104</v>
      </c>
      <c r="B383" s="5">
        <v>46232</v>
      </c>
      <c r="C383" t="s">
        <v>21</v>
      </c>
    </row>
    <row r="384" spans="1:3" x14ac:dyDescent="0.25">
      <c r="A384" t="s">
        <v>104</v>
      </c>
      <c r="B384" s="5">
        <v>46233</v>
      </c>
      <c r="C384" t="s">
        <v>21</v>
      </c>
    </row>
    <row r="385" spans="1:3" x14ac:dyDescent="0.25">
      <c r="A385" t="s">
        <v>104</v>
      </c>
      <c r="B385" s="5">
        <v>46234</v>
      </c>
      <c r="C385" t="s">
        <v>21</v>
      </c>
    </row>
    <row r="386" spans="1:3" x14ac:dyDescent="0.25">
      <c r="A386" t="s">
        <v>104</v>
      </c>
      <c r="B386" s="5">
        <v>46237</v>
      </c>
      <c r="C386" t="s">
        <v>20</v>
      </c>
    </row>
    <row r="387" spans="1:3" x14ac:dyDescent="0.25">
      <c r="A387" t="s">
        <v>104</v>
      </c>
      <c r="B387" s="5">
        <v>46238</v>
      </c>
      <c r="C387" t="s">
        <v>20</v>
      </c>
    </row>
    <row r="388" spans="1:3" x14ac:dyDescent="0.25">
      <c r="A388" t="s">
        <v>104</v>
      </c>
      <c r="B388" s="5">
        <v>46239</v>
      </c>
      <c r="C388" t="s">
        <v>20</v>
      </c>
    </row>
    <row r="389" spans="1:3" x14ac:dyDescent="0.25">
      <c r="A389" t="s">
        <v>104</v>
      </c>
      <c r="B389" s="5">
        <v>46240</v>
      </c>
      <c r="C389" t="s">
        <v>20</v>
      </c>
    </row>
    <row r="390" spans="1:3" x14ac:dyDescent="0.25">
      <c r="A390" t="s">
        <v>104</v>
      </c>
      <c r="B390" s="5">
        <v>46241</v>
      </c>
      <c r="C390" t="s">
        <v>20</v>
      </c>
    </row>
    <row r="391" spans="1:3" x14ac:dyDescent="0.25">
      <c r="A391" t="s">
        <v>104</v>
      </c>
      <c r="B391" s="5">
        <v>46242</v>
      </c>
      <c r="C391" t="s">
        <v>20</v>
      </c>
    </row>
    <row r="392" spans="1:3" x14ac:dyDescent="0.25">
      <c r="A392" t="s">
        <v>104</v>
      </c>
      <c r="B392" s="5">
        <v>46243</v>
      </c>
      <c r="C392" t="s">
        <v>20</v>
      </c>
    </row>
    <row r="393" spans="1:3" x14ac:dyDescent="0.25">
      <c r="A393" t="s">
        <v>104</v>
      </c>
      <c r="B393" s="5">
        <v>46244</v>
      </c>
      <c r="C393" t="s">
        <v>20</v>
      </c>
    </row>
    <row r="394" spans="1:3" x14ac:dyDescent="0.25">
      <c r="A394" t="s">
        <v>104</v>
      </c>
      <c r="B394" s="5">
        <v>46245</v>
      </c>
      <c r="C394" t="s">
        <v>20</v>
      </c>
    </row>
    <row r="395" spans="1:3" x14ac:dyDescent="0.25">
      <c r="A395" t="s">
        <v>104</v>
      </c>
      <c r="B395" s="5">
        <v>46246</v>
      </c>
      <c r="C395" t="s">
        <v>20</v>
      </c>
    </row>
    <row r="396" spans="1:3" x14ac:dyDescent="0.25">
      <c r="A396" t="s">
        <v>104</v>
      </c>
      <c r="B396" s="5">
        <v>46247</v>
      </c>
      <c r="C396" t="s">
        <v>20</v>
      </c>
    </row>
    <row r="397" spans="1:3" x14ac:dyDescent="0.25">
      <c r="A397" t="s">
        <v>104</v>
      </c>
      <c r="B397" s="5">
        <v>46248</v>
      </c>
      <c r="C397" t="s">
        <v>20</v>
      </c>
    </row>
    <row r="398" spans="1:3" x14ac:dyDescent="0.25">
      <c r="A398" t="s">
        <v>104</v>
      </c>
      <c r="B398" s="5">
        <v>46249</v>
      </c>
      <c r="C398" t="s">
        <v>20</v>
      </c>
    </row>
    <row r="399" spans="1:3" x14ac:dyDescent="0.25">
      <c r="A399" t="s">
        <v>104</v>
      </c>
      <c r="B399" s="5">
        <v>46250</v>
      </c>
      <c r="C399" t="s">
        <v>20</v>
      </c>
    </row>
    <row r="400" spans="1:3" x14ac:dyDescent="0.25">
      <c r="A400" t="s">
        <v>104</v>
      </c>
      <c r="B400" s="5">
        <v>46251</v>
      </c>
      <c r="C400" t="s">
        <v>21</v>
      </c>
    </row>
    <row r="401" spans="1:3" x14ac:dyDescent="0.25">
      <c r="A401" t="s">
        <v>104</v>
      </c>
      <c r="B401" s="5">
        <v>46252</v>
      </c>
      <c r="C401" t="s">
        <v>21</v>
      </c>
    </row>
    <row r="402" spans="1:3" x14ac:dyDescent="0.25">
      <c r="A402" t="s">
        <v>104</v>
      </c>
      <c r="B402" s="5">
        <v>46253</v>
      </c>
      <c r="C402" t="s">
        <v>21</v>
      </c>
    </row>
    <row r="403" spans="1:3" x14ac:dyDescent="0.25">
      <c r="A403" t="s">
        <v>104</v>
      </c>
      <c r="B403" s="5">
        <v>46254</v>
      </c>
      <c r="C403" t="s">
        <v>21</v>
      </c>
    </row>
    <row r="404" spans="1:3" x14ac:dyDescent="0.25">
      <c r="A404" t="s">
        <v>104</v>
      </c>
      <c r="B404" s="5">
        <v>46255</v>
      </c>
      <c r="C404" t="s">
        <v>21</v>
      </c>
    </row>
    <row r="405" spans="1:3" x14ac:dyDescent="0.25">
      <c r="A405" t="s">
        <v>104</v>
      </c>
      <c r="B405" s="5">
        <v>46256</v>
      </c>
      <c r="C405" t="s">
        <v>21</v>
      </c>
    </row>
    <row r="406" spans="1:3" x14ac:dyDescent="0.25">
      <c r="A406" t="s">
        <v>104</v>
      </c>
      <c r="B406" s="5">
        <v>46257</v>
      </c>
      <c r="C406" t="s">
        <v>21</v>
      </c>
    </row>
    <row r="407" spans="1:3" x14ac:dyDescent="0.25">
      <c r="A407" t="s">
        <v>104</v>
      </c>
      <c r="B407" s="5">
        <v>46258</v>
      </c>
      <c r="C407" t="s">
        <v>21</v>
      </c>
    </row>
    <row r="408" spans="1:3" x14ac:dyDescent="0.25">
      <c r="A408" t="s">
        <v>104</v>
      </c>
      <c r="B408" s="5">
        <v>46259</v>
      </c>
      <c r="C408" t="s">
        <v>21</v>
      </c>
    </row>
    <row r="409" spans="1:3" x14ac:dyDescent="0.25">
      <c r="A409" t="s">
        <v>104</v>
      </c>
      <c r="B409" s="5">
        <v>46260</v>
      </c>
      <c r="C409" t="s">
        <v>21</v>
      </c>
    </row>
    <row r="410" spans="1:3" x14ac:dyDescent="0.25">
      <c r="A410" t="s">
        <v>104</v>
      </c>
      <c r="B410" s="5">
        <v>46261</v>
      </c>
      <c r="C410" t="s">
        <v>21</v>
      </c>
    </row>
    <row r="411" spans="1:3" x14ac:dyDescent="0.25">
      <c r="A411" t="s">
        <v>104</v>
      </c>
      <c r="B411" s="5">
        <v>46262</v>
      </c>
      <c r="C411" t="s">
        <v>21</v>
      </c>
    </row>
    <row r="412" spans="1:3" x14ac:dyDescent="0.25">
      <c r="A412" t="s">
        <v>104</v>
      </c>
      <c r="B412" s="5">
        <v>46263</v>
      </c>
      <c r="C412" t="s">
        <v>21</v>
      </c>
    </row>
    <row r="413" spans="1:3" x14ac:dyDescent="0.25">
      <c r="A413" t="s">
        <v>104</v>
      </c>
      <c r="B413" s="5">
        <v>46264</v>
      </c>
      <c r="C413" t="s">
        <v>21</v>
      </c>
    </row>
    <row r="414" spans="1:3" x14ac:dyDescent="0.25">
      <c r="A414" t="s">
        <v>104</v>
      </c>
      <c r="B414" s="5">
        <v>46265</v>
      </c>
      <c r="C414" t="s">
        <v>21</v>
      </c>
    </row>
    <row r="415" spans="1:3" x14ac:dyDescent="0.25">
      <c r="A415" t="s">
        <v>104</v>
      </c>
      <c r="B415" s="3">
        <v>46266</v>
      </c>
      <c r="C415" s="2" t="s">
        <v>20</v>
      </c>
    </row>
    <row r="416" spans="1:3" x14ac:dyDescent="0.25">
      <c r="A416" t="s">
        <v>104</v>
      </c>
      <c r="B416" s="3">
        <v>46267</v>
      </c>
      <c r="C416" s="2" t="s">
        <v>20</v>
      </c>
    </row>
    <row r="417" spans="1:3" x14ac:dyDescent="0.25">
      <c r="A417" t="s">
        <v>104</v>
      </c>
      <c r="B417" s="3">
        <v>46268</v>
      </c>
      <c r="C417" s="2" t="s">
        <v>20</v>
      </c>
    </row>
    <row r="418" spans="1:3" x14ac:dyDescent="0.25">
      <c r="A418" t="s">
        <v>104</v>
      </c>
      <c r="B418" s="3">
        <v>46269</v>
      </c>
      <c r="C418" s="2" t="s">
        <v>20</v>
      </c>
    </row>
    <row r="419" spans="1:3" x14ac:dyDescent="0.25">
      <c r="A419" t="s">
        <v>104</v>
      </c>
      <c r="B419" s="3">
        <v>46270</v>
      </c>
      <c r="C419" s="2" t="s">
        <v>20</v>
      </c>
    </row>
    <row r="420" spans="1:3" x14ac:dyDescent="0.25">
      <c r="A420" t="s">
        <v>104</v>
      </c>
      <c r="B420" s="3">
        <v>46271</v>
      </c>
      <c r="C420" s="2" t="s">
        <v>20</v>
      </c>
    </row>
    <row r="421" spans="1:3" x14ac:dyDescent="0.25">
      <c r="A421" t="s">
        <v>104</v>
      </c>
      <c r="B421" s="3">
        <v>46272</v>
      </c>
      <c r="C421" s="2" t="s">
        <v>20</v>
      </c>
    </row>
    <row r="422" spans="1:3" x14ac:dyDescent="0.25">
      <c r="A422" t="s">
        <v>104</v>
      </c>
      <c r="B422" s="3">
        <v>46273</v>
      </c>
      <c r="C422" s="2" t="s">
        <v>20</v>
      </c>
    </row>
    <row r="423" spans="1:3" x14ac:dyDescent="0.25">
      <c r="A423" t="s">
        <v>104</v>
      </c>
      <c r="B423" s="3">
        <v>46274</v>
      </c>
      <c r="C423" s="2" t="s">
        <v>20</v>
      </c>
    </row>
    <row r="424" spans="1:3" x14ac:dyDescent="0.25">
      <c r="A424" t="s">
        <v>104</v>
      </c>
      <c r="B424" s="3">
        <v>46275</v>
      </c>
      <c r="C424" s="2" t="s">
        <v>20</v>
      </c>
    </row>
    <row r="425" spans="1:3" x14ac:dyDescent="0.25">
      <c r="A425" t="s">
        <v>104</v>
      </c>
      <c r="B425" s="3">
        <v>46276</v>
      </c>
      <c r="C425" s="2" t="s">
        <v>20</v>
      </c>
    </row>
    <row r="426" spans="1:3" x14ac:dyDescent="0.25">
      <c r="A426" t="s">
        <v>104</v>
      </c>
      <c r="B426" s="3">
        <v>46277</v>
      </c>
      <c r="C426" s="2" t="s">
        <v>20</v>
      </c>
    </row>
    <row r="427" spans="1:3" x14ac:dyDescent="0.25">
      <c r="A427" t="s">
        <v>104</v>
      </c>
      <c r="B427" s="3">
        <v>46278</v>
      </c>
      <c r="C427" s="2" t="s">
        <v>20</v>
      </c>
    </row>
    <row r="428" spans="1:3" x14ac:dyDescent="0.25">
      <c r="A428" t="s">
        <v>104</v>
      </c>
      <c r="B428" s="3">
        <v>46279</v>
      </c>
      <c r="C428" s="2" t="s">
        <v>21</v>
      </c>
    </row>
    <row r="429" spans="1:3" x14ac:dyDescent="0.25">
      <c r="A429" t="s">
        <v>104</v>
      </c>
      <c r="B429" s="3">
        <v>46280</v>
      </c>
      <c r="C429" s="2" t="s">
        <v>21</v>
      </c>
    </row>
    <row r="430" spans="1:3" x14ac:dyDescent="0.25">
      <c r="A430" t="s">
        <v>104</v>
      </c>
      <c r="B430" s="3">
        <v>46281</v>
      </c>
      <c r="C430" s="2" t="s">
        <v>21</v>
      </c>
    </row>
    <row r="431" spans="1:3" x14ac:dyDescent="0.25">
      <c r="A431" t="s">
        <v>104</v>
      </c>
      <c r="B431" s="3">
        <v>46282</v>
      </c>
      <c r="C431" s="2" t="s">
        <v>21</v>
      </c>
    </row>
    <row r="432" spans="1:3" x14ac:dyDescent="0.25">
      <c r="A432" t="s">
        <v>104</v>
      </c>
      <c r="B432" s="3">
        <v>46283</v>
      </c>
      <c r="C432" s="2" t="s">
        <v>21</v>
      </c>
    </row>
    <row r="433" spans="1:3" x14ac:dyDescent="0.25">
      <c r="A433" t="s">
        <v>104</v>
      </c>
      <c r="B433" s="3">
        <v>46284</v>
      </c>
      <c r="C433" s="2" t="s">
        <v>21</v>
      </c>
    </row>
    <row r="434" spans="1:3" x14ac:dyDescent="0.25">
      <c r="A434" t="s">
        <v>104</v>
      </c>
      <c r="B434" s="3">
        <v>46285</v>
      </c>
      <c r="C434" s="2" t="s">
        <v>21</v>
      </c>
    </row>
    <row r="435" spans="1:3" x14ac:dyDescent="0.25">
      <c r="A435" t="s">
        <v>104</v>
      </c>
      <c r="B435" s="3">
        <v>46286</v>
      </c>
      <c r="C435" s="2" t="s">
        <v>21</v>
      </c>
    </row>
    <row r="436" spans="1:3" x14ac:dyDescent="0.25">
      <c r="A436" t="s">
        <v>104</v>
      </c>
      <c r="B436" s="3">
        <v>46287</v>
      </c>
      <c r="C436" s="2" t="s">
        <v>21</v>
      </c>
    </row>
    <row r="437" spans="1:3" x14ac:dyDescent="0.25">
      <c r="A437" t="s">
        <v>104</v>
      </c>
      <c r="B437" s="3">
        <v>46288</v>
      </c>
      <c r="C437" s="2" t="s">
        <v>21</v>
      </c>
    </row>
    <row r="438" spans="1:3" x14ac:dyDescent="0.25">
      <c r="A438" t="s">
        <v>104</v>
      </c>
      <c r="B438" s="3">
        <v>46289</v>
      </c>
      <c r="C438" s="2" t="s">
        <v>21</v>
      </c>
    </row>
    <row r="439" spans="1:3" x14ac:dyDescent="0.25">
      <c r="A439" t="s">
        <v>104</v>
      </c>
      <c r="B439" s="3">
        <v>46290</v>
      </c>
      <c r="C439" s="2" t="s">
        <v>21</v>
      </c>
    </row>
    <row r="440" spans="1:3" x14ac:dyDescent="0.25">
      <c r="A440" t="s">
        <v>104</v>
      </c>
      <c r="B440" s="3">
        <v>46291</v>
      </c>
      <c r="C440" s="2" t="s">
        <v>21</v>
      </c>
    </row>
    <row r="441" spans="1:3" x14ac:dyDescent="0.25">
      <c r="A441" t="s">
        <v>104</v>
      </c>
      <c r="B441" s="3">
        <v>46292</v>
      </c>
      <c r="C441" s="2" t="s">
        <v>21</v>
      </c>
    </row>
    <row r="442" spans="1:3" x14ac:dyDescent="0.25">
      <c r="A442" t="s">
        <v>104</v>
      </c>
      <c r="B442" s="3">
        <v>46296</v>
      </c>
      <c r="C442" s="2" t="s">
        <v>20</v>
      </c>
    </row>
    <row r="443" spans="1:3" x14ac:dyDescent="0.25">
      <c r="A443" t="s">
        <v>104</v>
      </c>
      <c r="B443" s="3">
        <v>46297</v>
      </c>
      <c r="C443" s="2" t="s">
        <v>20</v>
      </c>
    </row>
    <row r="444" spans="1:3" x14ac:dyDescent="0.25">
      <c r="A444" t="s">
        <v>104</v>
      </c>
      <c r="B444" s="3">
        <v>46298</v>
      </c>
      <c r="C444" s="2" t="s">
        <v>20</v>
      </c>
    </row>
    <row r="445" spans="1:3" x14ac:dyDescent="0.25">
      <c r="A445" t="s">
        <v>104</v>
      </c>
      <c r="B445" s="3">
        <v>46299</v>
      </c>
      <c r="C445" s="2" t="s">
        <v>20</v>
      </c>
    </row>
    <row r="446" spans="1:3" x14ac:dyDescent="0.25">
      <c r="A446" t="s">
        <v>104</v>
      </c>
      <c r="B446" s="3">
        <v>46300</v>
      </c>
      <c r="C446" s="2" t="s">
        <v>20</v>
      </c>
    </row>
    <row r="447" spans="1:3" x14ac:dyDescent="0.25">
      <c r="A447" t="s">
        <v>104</v>
      </c>
      <c r="B447" s="3">
        <v>46301</v>
      </c>
      <c r="C447" s="2" t="s">
        <v>20</v>
      </c>
    </row>
    <row r="448" spans="1:3" x14ac:dyDescent="0.25">
      <c r="A448" t="s">
        <v>104</v>
      </c>
      <c r="B448" s="3">
        <v>46302</v>
      </c>
      <c r="C448" s="2" t="s">
        <v>20</v>
      </c>
    </row>
    <row r="449" spans="1:3" x14ac:dyDescent="0.25">
      <c r="A449" t="s">
        <v>104</v>
      </c>
      <c r="B449" s="3">
        <v>46303</v>
      </c>
      <c r="C449" s="2" t="s">
        <v>20</v>
      </c>
    </row>
    <row r="450" spans="1:3" x14ac:dyDescent="0.25">
      <c r="A450" t="s">
        <v>104</v>
      </c>
      <c r="B450" s="3">
        <v>46304</v>
      </c>
      <c r="C450" s="2" t="s">
        <v>20</v>
      </c>
    </row>
    <row r="451" spans="1:3" x14ac:dyDescent="0.25">
      <c r="A451" t="s">
        <v>104</v>
      </c>
      <c r="B451" s="3">
        <v>46305</v>
      </c>
      <c r="C451" s="2" t="s">
        <v>20</v>
      </c>
    </row>
    <row r="452" spans="1:3" x14ac:dyDescent="0.25">
      <c r="A452" t="s">
        <v>104</v>
      </c>
      <c r="B452" s="3">
        <v>46306</v>
      </c>
      <c r="C452" s="2" t="s">
        <v>20</v>
      </c>
    </row>
    <row r="453" spans="1:3" x14ac:dyDescent="0.25">
      <c r="A453" t="s">
        <v>104</v>
      </c>
      <c r="B453" s="3">
        <v>46307</v>
      </c>
      <c r="C453" s="2" t="s">
        <v>20</v>
      </c>
    </row>
    <row r="454" spans="1:3" x14ac:dyDescent="0.25">
      <c r="A454" t="s">
        <v>104</v>
      </c>
      <c r="B454" s="3">
        <v>46308</v>
      </c>
      <c r="C454" s="2" t="s">
        <v>21</v>
      </c>
    </row>
    <row r="455" spans="1:3" x14ac:dyDescent="0.25">
      <c r="A455" t="s">
        <v>104</v>
      </c>
      <c r="B455" s="3">
        <v>46309</v>
      </c>
      <c r="C455" s="2" t="s">
        <v>21</v>
      </c>
    </row>
    <row r="456" spans="1:3" x14ac:dyDescent="0.25">
      <c r="A456" t="s">
        <v>104</v>
      </c>
      <c r="B456" s="3">
        <v>46310</v>
      </c>
      <c r="C456" s="2" t="s">
        <v>21</v>
      </c>
    </row>
    <row r="457" spans="1:3" x14ac:dyDescent="0.25">
      <c r="A457" t="s">
        <v>104</v>
      </c>
      <c r="B457" s="3">
        <v>46311</v>
      </c>
      <c r="C457" s="2" t="s">
        <v>21</v>
      </c>
    </row>
    <row r="458" spans="1:3" x14ac:dyDescent="0.25">
      <c r="A458" t="s">
        <v>104</v>
      </c>
      <c r="B458" s="3">
        <v>46312</v>
      </c>
      <c r="C458" s="2" t="s">
        <v>21</v>
      </c>
    </row>
    <row r="459" spans="1:3" x14ac:dyDescent="0.25">
      <c r="A459" t="s">
        <v>104</v>
      </c>
      <c r="B459" s="3">
        <v>46313</v>
      </c>
      <c r="C459" s="2" t="s">
        <v>21</v>
      </c>
    </row>
    <row r="460" spans="1:3" x14ac:dyDescent="0.25">
      <c r="A460" t="s">
        <v>104</v>
      </c>
      <c r="B460" s="3">
        <v>46314</v>
      </c>
      <c r="C460" s="2" t="s">
        <v>21</v>
      </c>
    </row>
    <row r="461" spans="1:3" x14ac:dyDescent="0.25">
      <c r="A461" t="s">
        <v>104</v>
      </c>
      <c r="B461" s="3">
        <v>46315</v>
      </c>
      <c r="C461" s="2" t="s">
        <v>21</v>
      </c>
    </row>
    <row r="462" spans="1:3" x14ac:dyDescent="0.25">
      <c r="A462" t="s">
        <v>104</v>
      </c>
      <c r="B462" s="3">
        <v>46316</v>
      </c>
      <c r="C462" s="2" t="s">
        <v>21</v>
      </c>
    </row>
    <row r="463" spans="1:3" x14ac:dyDescent="0.25">
      <c r="A463" t="s">
        <v>104</v>
      </c>
      <c r="B463" s="3">
        <v>46317</v>
      </c>
      <c r="C463" s="2" t="s">
        <v>21</v>
      </c>
    </row>
    <row r="464" spans="1:3" x14ac:dyDescent="0.25">
      <c r="A464" t="s">
        <v>104</v>
      </c>
      <c r="B464" s="3">
        <v>46318</v>
      </c>
      <c r="C464" s="2" t="s">
        <v>21</v>
      </c>
    </row>
    <row r="465" spans="1:3" x14ac:dyDescent="0.25">
      <c r="A465" t="s">
        <v>104</v>
      </c>
      <c r="B465" s="3">
        <v>46319</v>
      </c>
      <c r="C465" s="2" t="s">
        <v>21</v>
      </c>
    </row>
    <row r="466" spans="1:3" x14ac:dyDescent="0.25">
      <c r="A466" t="s">
        <v>104</v>
      </c>
      <c r="B466" s="3">
        <v>46320</v>
      </c>
      <c r="C466" s="2" t="s">
        <v>21</v>
      </c>
    </row>
    <row r="467" spans="1:3" x14ac:dyDescent="0.25">
      <c r="A467" t="s">
        <v>127</v>
      </c>
      <c r="B467" s="3">
        <v>46296</v>
      </c>
      <c r="C467" s="2" t="s">
        <v>20</v>
      </c>
    </row>
    <row r="468" spans="1:3" x14ac:dyDescent="0.25">
      <c r="A468" t="s">
        <v>127</v>
      </c>
      <c r="B468" s="3">
        <v>46297</v>
      </c>
      <c r="C468" s="2" t="s">
        <v>20</v>
      </c>
    </row>
    <row r="469" spans="1:3" x14ac:dyDescent="0.25">
      <c r="A469" t="s">
        <v>127</v>
      </c>
      <c r="B469" s="3">
        <v>46298</v>
      </c>
      <c r="C469" s="2" t="s">
        <v>20</v>
      </c>
    </row>
    <row r="470" spans="1:3" x14ac:dyDescent="0.25">
      <c r="A470" t="s">
        <v>127</v>
      </c>
      <c r="B470" s="3">
        <v>46299</v>
      </c>
      <c r="C470" s="2" t="s">
        <v>20</v>
      </c>
    </row>
    <row r="471" spans="1:3" x14ac:dyDescent="0.25">
      <c r="A471" t="s">
        <v>127</v>
      </c>
      <c r="B471" s="3">
        <v>46300</v>
      </c>
      <c r="C471" s="2" t="s">
        <v>20</v>
      </c>
    </row>
    <row r="472" spans="1:3" x14ac:dyDescent="0.25">
      <c r="A472" t="s">
        <v>127</v>
      </c>
      <c r="B472" s="3">
        <v>46301</v>
      </c>
      <c r="C472" s="2" t="s">
        <v>20</v>
      </c>
    </row>
    <row r="473" spans="1:3" x14ac:dyDescent="0.25">
      <c r="A473" t="s">
        <v>127</v>
      </c>
      <c r="B473" s="3">
        <v>46302</v>
      </c>
      <c r="C473" s="2" t="s">
        <v>20</v>
      </c>
    </row>
    <row r="474" spans="1:3" x14ac:dyDescent="0.25">
      <c r="A474" t="s">
        <v>127</v>
      </c>
      <c r="B474" s="3">
        <v>46303</v>
      </c>
      <c r="C474" s="2" t="s">
        <v>20</v>
      </c>
    </row>
    <row r="475" spans="1:3" x14ac:dyDescent="0.25">
      <c r="A475" t="s">
        <v>127</v>
      </c>
      <c r="B475" s="3">
        <v>46304</v>
      </c>
      <c r="C475" s="2" t="s">
        <v>20</v>
      </c>
    </row>
    <row r="476" spans="1:3" x14ac:dyDescent="0.25">
      <c r="A476" t="s">
        <v>127</v>
      </c>
      <c r="B476" s="3">
        <v>46305</v>
      </c>
      <c r="C476" s="2" t="s">
        <v>20</v>
      </c>
    </row>
    <row r="477" spans="1:3" x14ac:dyDescent="0.25">
      <c r="A477" t="s">
        <v>127</v>
      </c>
      <c r="B477" s="3">
        <v>46306</v>
      </c>
      <c r="C477" s="2" t="s">
        <v>20</v>
      </c>
    </row>
    <row r="478" spans="1:3" x14ac:dyDescent="0.25">
      <c r="A478" t="s">
        <v>127</v>
      </c>
      <c r="B478" s="3">
        <v>46307</v>
      </c>
      <c r="C478" s="2" t="s">
        <v>20</v>
      </c>
    </row>
    <row r="479" spans="1:3" x14ac:dyDescent="0.25">
      <c r="A479" t="s">
        <v>127</v>
      </c>
      <c r="B479" s="3">
        <v>46308</v>
      </c>
      <c r="C479" s="2" t="s">
        <v>21</v>
      </c>
    </row>
    <row r="480" spans="1:3" x14ac:dyDescent="0.25">
      <c r="A480" t="s">
        <v>127</v>
      </c>
      <c r="B480" s="3">
        <v>46309</v>
      </c>
      <c r="C480" s="2" t="s">
        <v>21</v>
      </c>
    </row>
    <row r="481" spans="1:3" x14ac:dyDescent="0.25">
      <c r="A481" t="s">
        <v>127</v>
      </c>
      <c r="B481" s="3">
        <v>46310</v>
      </c>
      <c r="C481" s="2" t="s">
        <v>21</v>
      </c>
    </row>
    <row r="482" spans="1:3" x14ac:dyDescent="0.25">
      <c r="A482" t="s">
        <v>127</v>
      </c>
      <c r="B482" s="3">
        <v>46311</v>
      </c>
      <c r="C482" s="2" t="s">
        <v>21</v>
      </c>
    </row>
    <row r="483" spans="1:3" x14ac:dyDescent="0.25">
      <c r="A483" t="s">
        <v>127</v>
      </c>
      <c r="B483" s="3">
        <v>46312</v>
      </c>
      <c r="C483" s="2" t="s">
        <v>21</v>
      </c>
    </row>
    <row r="484" spans="1:3" x14ac:dyDescent="0.25">
      <c r="A484" t="s">
        <v>127</v>
      </c>
      <c r="B484" s="3">
        <v>46313</v>
      </c>
      <c r="C484" s="2" t="s">
        <v>21</v>
      </c>
    </row>
    <row r="485" spans="1:3" x14ac:dyDescent="0.25">
      <c r="A485" t="s">
        <v>127</v>
      </c>
      <c r="B485" s="3">
        <v>46314</v>
      </c>
      <c r="C485" s="2" t="s">
        <v>21</v>
      </c>
    </row>
    <row r="486" spans="1:3" x14ac:dyDescent="0.25">
      <c r="A486" t="s">
        <v>127</v>
      </c>
      <c r="B486" s="3">
        <v>46315</v>
      </c>
      <c r="C486" s="2" t="s">
        <v>21</v>
      </c>
    </row>
    <row r="487" spans="1:3" x14ac:dyDescent="0.25">
      <c r="A487" t="s">
        <v>127</v>
      </c>
      <c r="B487" s="3">
        <v>46316</v>
      </c>
      <c r="C487" s="2" t="s">
        <v>21</v>
      </c>
    </row>
    <row r="488" spans="1:3" x14ac:dyDescent="0.25">
      <c r="A488" t="s">
        <v>127</v>
      </c>
      <c r="B488" s="3">
        <v>46317</v>
      </c>
      <c r="C488" s="2" t="s">
        <v>21</v>
      </c>
    </row>
    <row r="489" spans="1:3" x14ac:dyDescent="0.25">
      <c r="A489" t="s">
        <v>127</v>
      </c>
      <c r="B489" s="3">
        <v>46318</v>
      </c>
      <c r="C489" s="2" t="s">
        <v>21</v>
      </c>
    </row>
    <row r="490" spans="1:3" x14ac:dyDescent="0.25">
      <c r="A490" t="s">
        <v>127</v>
      </c>
      <c r="B490" s="3">
        <v>46319</v>
      </c>
      <c r="C490" s="2" t="s">
        <v>21</v>
      </c>
    </row>
    <row r="491" spans="1:3" x14ac:dyDescent="0.25">
      <c r="A491" t="s">
        <v>127</v>
      </c>
      <c r="B491" s="3">
        <v>46320</v>
      </c>
      <c r="C491" s="2" t="s">
        <v>21</v>
      </c>
    </row>
    <row r="492" spans="1:3" x14ac:dyDescent="0.25">
      <c r="A492" t="s">
        <v>127</v>
      </c>
      <c r="B492" s="5">
        <v>46321</v>
      </c>
      <c r="C492" s="2" t="s">
        <v>21</v>
      </c>
    </row>
    <row r="493" spans="1:3" x14ac:dyDescent="0.25">
      <c r="A493" t="s">
        <v>127</v>
      </c>
      <c r="B493" s="5">
        <v>46322</v>
      </c>
      <c r="C493" s="2" t="s">
        <v>21</v>
      </c>
    </row>
    <row r="494" spans="1:3" x14ac:dyDescent="0.25">
      <c r="A494" t="s">
        <v>127</v>
      </c>
      <c r="B494" s="5">
        <v>46323</v>
      </c>
      <c r="C494" s="2" t="s">
        <v>21</v>
      </c>
    </row>
    <row r="495" spans="1:3" x14ac:dyDescent="0.25">
      <c r="A495" t="s">
        <v>127</v>
      </c>
      <c r="B495" s="5">
        <v>46324</v>
      </c>
      <c r="C495" s="2" t="s">
        <v>21</v>
      </c>
    </row>
    <row r="496" spans="1:3" x14ac:dyDescent="0.25">
      <c r="A496" t="s">
        <v>127</v>
      </c>
      <c r="B496" s="5">
        <v>46325</v>
      </c>
      <c r="C496" s="2" t="s">
        <v>21</v>
      </c>
    </row>
    <row r="497" spans="1:3" x14ac:dyDescent="0.25">
      <c r="A497" t="s">
        <v>127</v>
      </c>
      <c r="B497" s="5">
        <v>46326</v>
      </c>
      <c r="C497" s="2" t="s">
        <v>21</v>
      </c>
    </row>
    <row r="498" spans="1:3" x14ac:dyDescent="0.25">
      <c r="A498" t="s">
        <v>62</v>
      </c>
      <c r="B498" s="3">
        <v>46327</v>
      </c>
      <c r="C498" t="s">
        <v>20</v>
      </c>
    </row>
    <row r="499" spans="1:3" x14ac:dyDescent="0.25">
      <c r="A499" t="s">
        <v>62</v>
      </c>
      <c r="B499" s="3">
        <f>B498+1</f>
        <v>46328</v>
      </c>
      <c r="C499" t="s">
        <v>20</v>
      </c>
    </row>
    <row r="500" spans="1:3" x14ac:dyDescent="0.25">
      <c r="A500" t="s">
        <v>62</v>
      </c>
      <c r="B500" s="3">
        <f t="shared" ref="B500:B526" si="0">B499+1</f>
        <v>46329</v>
      </c>
      <c r="C500" t="s">
        <v>20</v>
      </c>
    </row>
    <row r="501" spans="1:3" x14ac:dyDescent="0.25">
      <c r="A501" t="s">
        <v>62</v>
      </c>
      <c r="B501" s="3">
        <f t="shared" si="0"/>
        <v>46330</v>
      </c>
      <c r="C501" t="s">
        <v>20</v>
      </c>
    </row>
    <row r="502" spans="1:3" x14ac:dyDescent="0.25">
      <c r="A502" t="s">
        <v>62</v>
      </c>
      <c r="B502" s="3">
        <f t="shared" si="0"/>
        <v>46331</v>
      </c>
      <c r="C502" t="s">
        <v>20</v>
      </c>
    </row>
    <row r="503" spans="1:3" x14ac:dyDescent="0.25">
      <c r="A503" t="s">
        <v>62</v>
      </c>
      <c r="B503" s="3">
        <f t="shared" si="0"/>
        <v>46332</v>
      </c>
      <c r="C503" t="s">
        <v>20</v>
      </c>
    </row>
    <row r="504" spans="1:3" x14ac:dyDescent="0.25">
      <c r="A504" t="s">
        <v>62</v>
      </c>
      <c r="B504" s="3">
        <f t="shared" si="0"/>
        <v>46333</v>
      </c>
      <c r="C504" t="s">
        <v>20</v>
      </c>
    </row>
    <row r="505" spans="1:3" x14ac:dyDescent="0.25">
      <c r="A505" t="s">
        <v>62</v>
      </c>
      <c r="B505" s="3">
        <f t="shared" si="0"/>
        <v>46334</v>
      </c>
      <c r="C505" t="s">
        <v>20</v>
      </c>
    </row>
    <row r="506" spans="1:3" x14ac:dyDescent="0.25">
      <c r="A506" t="s">
        <v>62</v>
      </c>
      <c r="B506" s="3">
        <f t="shared" si="0"/>
        <v>46335</v>
      </c>
      <c r="C506" t="s">
        <v>20</v>
      </c>
    </row>
    <row r="507" spans="1:3" x14ac:dyDescent="0.25">
      <c r="A507" t="s">
        <v>62</v>
      </c>
      <c r="B507" s="3">
        <f t="shared" si="0"/>
        <v>46336</v>
      </c>
      <c r="C507" t="s">
        <v>20</v>
      </c>
    </row>
    <row r="508" spans="1:3" x14ac:dyDescent="0.25">
      <c r="A508" t="s">
        <v>62</v>
      </c>
      <c r="B508" s="3">
        <f t="shared" si="0"/>
        <v>46337</v>
      </c>
      <c r="C508" t="s">
        <v>20</v>
      </c>
    </row>
    <row r="509" spans="1:3" x14ac:dyDescent="0.25">
      <c r="A509" t="s">
        <v>62</v>
      </c>
      <c r="B509" s="3">
        <f t="shared" si="0"/>
        <v>46338</v>
      </c>
      <c r="C509" t="s">
        <v>20</v>
      </c>
    </row>
    <row r="510" spans="1:3" x14ac:dyDescent="0.25">
      <c r="A510" t="s">
        <v>62</v>
      </c>
      <c r="B510" s="3">
        <f t="shared" si="0"/>
        <v>46339</v>
      </c>
      <c r="C510" t="s">
        <v>20</v>
      </c>
    </row>
    <row r="511" spans="1:3" x14ac:dyDescent="0.25">
      <c r="A511" t="s">
        <v>62</v>
      </c>
      <c r="B511" s="3">
        <f t="shared" si="0"/>
        <v>46340</v>
      </c>
      <c r="C511" t="s">
        <v>20</v>
      </c>
    </row>
    <row r="512" spans="1:3" x14ac:dyDescent="0.25">
      <c r="A512" t="s">
        <v>62</v>
      </c>
      <c r="B512" s="3">
        <f t="shared" si="0"/>
        <v>46341</v>
      </c>
      <c r="C512" t="s">
        <v>20</v>
      </c>
    </row>
    <row r="513" spans="1:3" x14ac:dyDescent="0.25">
      <c r="A513" t="s">
        <v>62</v>
      </c>
      <c r="B513" s="3">
        <f t="shared" si="0"/>
        <v>46342</v>
      </c>
      <c r="C513" t="s">
        <v>21</v>
      </c>
    </row>
    <row r="514" spans="1:3" x14ac:dyDescent="0.25">
      <c r="A514" t="s">
        <v>62</v>
      </c>
      <c r="B514" s="3">
        <f t="shared" si="0"/>
        <v>46343</v>
      </c>
      <c r="C514" t="s">
        <v>21</v>
      </c>
    </row>
    <row r="515" spans="1:3" x14ac:dyDescent="0.25">
      <c r="A515" t="s">
        <v>62</v>
      </c>
      <c r="B515" s="3">
        <f t="shared" si="0"/>
        <v>46344</v>
      </c>
      <c r="C515" t="s">
        <v>21</v>
      </c>
    </row>
    <row r="516" spans="1:3" x14ac:dyDescent="0.25">
      <c r="A516" t="s">
        <v>62</v>
      </c>
      <c r="B516" s="3">
        <f t="shared" si="0"/>
        <v>46345</v>
      </c>
      <c r="C516" t="s">
        <v>21</v>
      </c>
    </row>
    <row r="517" spans="1:3" x14ac:dyDescent="0.25">
      <c r="A517" t="s">
        <v>62</v>
      </c>
      <c r="B517" s="3">
        <f t="shared" si="0"/>
        <v>46346</v>
      </c>
      <c r="C517" t="s">
        <v>21</v>
      </c>
    </row>
    <row r="518" spans="1:3" x14ac:dyDescent="0.25">
      <c r="A518" t="s">
        <v>62</v>
      </c>
      <c r="B518" s="3">
        <f t="shared" si="0"/>
        <v>46347</v>
      </c>
      <c r="C518" t="s">
        <v>21</v>
      </c>
    </row>
    <row r="519" spans="1:3" x14ac:dyDescent="0.25">
      <c r="A519" t="s">
        <v>62</v>
      </c>
      <c r="B519" s="3">
        <f t="shared" si="0"/>
        <v>46348</v>
      </c>
      <c r="C519" t="s">
        <v>21</v>
      </c>
    </row>
    <row r="520" spans="1:3" x14ac:dyDescent="0.25">
      <c r="A520" t="s">
        <v>62</v>
      </c>
      <c r="B520" s="3">
        <f t="shared" si="0"/>
        <v>46349</v>
      </c>
      <c r="C520" t="s">
        <v>21</v>
      </c>
    </row>
    <row r="521" spans="1:3" x14ac:dyDescent="0.25">
      <c r="A521" t="s">
        <v>62</v>
      </c>
      <c r="B521" s="3">
        <f t="shared" si="0"/>
        <v>46350</v>
      </c>
      <c r="C521" t="s">
        <v>21</v>
      </c>
    </row>
    <row r="522" spans="1:3" x14ac:dyDescent="0.25">
      <c r="A522" t="s">
        <v>62</v>
      </c>
      <c r="B522" s="3">
        <f t="shared" si="0"/>
        <v>46351</v>
      </c>
      <c r="C522" t="s">
        <v>21</v>
      </c>
    </row>
    <row r="523" spans="1:3" x14ac:dyDescent="0.25">
      <c r="A523" t="s">
        <v>62</v>
      </c>
      <c r="B523" s="3">
        <f t="shared" si="0"/>
        <v>46352</v>
      </c>
      <c r="C523" t="s">
        <v>21</v>
      </c>
    </row>
    <row r="524" spans="1:3" x14ac:dyDescent="0.25">
      <c r="A524" t="s">
        <v>62</v>
      </c>
      <c r="B524" s="3">
        <f t="shared" si="0"/>
        <v>46353</v>
      </c>
      <c r="C524" t="s">
        <v>21</v>
      </c>
    </row>
    <row r="525" spans="1:3" x14ac:dyDescent="0.25">
      <c r="A525" t="s">
        <v>62</v>
      </c>
      <c r="B525" s="3">
        <f t="shared" si="0"/>
        <v>46354</v>
      </c>
      <c r="C525" t="s">
        <v>21</v>
      </c>
    </row>
    <row r="526" spans="1:3" x14ac:dyDescent="0.25">
      <c r="A526" t="s">
        <v>62</v>
      </c>
      <c r="B526" s="3">
        <f t="shared" si="0"/>
        <v>46355</v>
      </c>
      <c r="C526" t="s">
        <v>21</v>
      </c>
    </row>
    <row r="527" spans="1:3" x14ac:dyDescent="0.25">
      <c r="A527" t="s">
        <v>61</v>
      </c>
      <c r="B527" s="3">
        <v>46327</v>
      </c>
      <c r="C527" s="2" t="s">
        <v>20</v>
      </c>
    </row>
    <row r="528" spans="1:3" x14ac:dyDescent="0.25">
      <c r="A528" t="s">
        <v>61</v>
      </c>
      <c r="B528" s="3">
        <f>B527+1</f>
        <v>46328</v>
      </c>
      <c r="C528" s="2" t="s">
        <v>20</v>
      </c>
    </row>
    <row r="529" spans="1:3" x14ac:dyDescent="0.25">
      <c r="A529" t="s">
        <v>61</v>
      </c>
      <c r="B529" s="3">
        <f t="shared" ref="B529:B552" si="1">B528+1</f>
        <v>46329</v>
      </c>
      <c r="C529" s="2" t="s">
        <v>20</v>
      </c>
    </row>
    <row r="530" spans="1:3" x14ac:dyDescent="0.25">
      <c r="A530" t="s">
        <v>61</v>
      </c>
      <c r="B530" s="3">
        <f t="shared" si="1"/>
        <v>46330</v>
      </c>
      <c r="C530" s="2" t="s">
        <v>20</v>
      </c>
    </row>
    <row r="531" spans="1:3" x14ac:dyDescent="0.25">
      <c r="A531" t="s">
        <v>61</v>
      </c>
      <c r="B531" s="3">
        <f t="shared" si="1"/>
        <v>46331</v>
      </c>
      <c r="C531" s="2" t="s">
        <v>20</v>
      </c>
    </row>
    <row r="532" spans="1:3" x14ac:dyDescent="0.25">
      <c r="A532" t="s">
        <v>61</v>
      </c>
      <c r="B532" s="3">
        <f t="shared" si="1"/>
        <v>46332</v>
      </c>
      <c r="C532" s="2" t="s">
        <v>20</v>
      </c>
    </row>
    <row r="533" spans="1:3" x14ac:dyDescent="0.25">
      <c r="A533" t="s">
        <v>61</v>
      </c>
      <c r="B533" s="3">
        <f t="shared" si="1"/>
        <v>46333</v>
      </c>
      <c r="C533" s="2" t="s">
        <v>20</v>
      </c>
    </row>
    <row r="534" spans="1:3" x14ac:dyDescent="0.25">
      <c r="A534" t="s">
        <v>61</v>
      </c>
      <c r="B534" s="3">
        <f t="shared" si="1"/>
        <v>46334</v>
      </c>
      <c r="C534" s="2" t="s">
        <v>20</v>
      </c>
    </row>
    <row r="535" spans="1:3" x14ac:dyDescent="0.25">
      <c r="A535" t="s">
        <v>61</v>
      </c>
      <c r="B535" s="3">
        <v>46338</v>
      </c>
      <c r="C535" s="2" t="s">
        <v>21</v>
      </c>
    </row>
    <row r="536" spans="1:3" x14ac:dyDescent="0.25">
      <c r="A536" t="s">
        <v>61</v>
      </c>
      <c r="B536" s="3">
        <f t="shared" si="1"/>
        <v>46339</v>
      </c>
      <c r="C536" s="2" t="s">
        <v>21</v>
      </c>
    </row>
    <row r="537" spans="1:3" x14ac:dyDescent="0.25">
      <c r="A537" t="s">
        <v>61</v>
      </c>
      <c r="B537" s="3">
        <f t="shared" si="1"/>
        <v>46340</v>
      </c>
      <c r="C537" s="2" t="s">
        <v>21</v>
      </c>
    </row>
    <row r="538" spans="1:3" x14ac:dyDescent="0.25">
      <c r="A538" t="s">
        <v>61</v>
      </c>
      <c r="B538" s="3">
        <f t="shared" si="1"/>
        <v>46341</v>
      </c>
      <c r="C538" s="2" t="s">
        <v>21</v>
      </c>
    </row>
    <row r="539" spans="1:3" x14ac:dyDescent="0.25">
      <c r="A539" t="s">
        <v>61</v>
      </c>
      <c r="B539" s="3">
        <f t="shared" si="1"/>
        <v>46342</v>
      </c>
      <c r="C539" s="2" t="s">
        <v>21</v>
      </c>
    </row>
    <row r="540" spans="1:3" x14ac:dyDescent="0.25">
      <c r="A540" t="s">
        <v>61</v>
      </c>
      <c r="B540" s="3">
        <f t="shared" si="1"/>
        <v>46343</v>
      </c>
      <c r="C540" s="2" t="s">
        <v>21</v>
      </c>
    </row>
    <row r="541" spans="1:3" x14ac:dyDescent="0.25">
      <c r="A541" t="s">
        <v>61</v>
      </c>
      <c r="B541" s="3">
        <f t="shared" si="1"/>
        <v>46344</v>
      </c>
      <c r="C541" s="2" t="s">
        <v>21</v>
      </c>
    </row>
    <row r="542" spans="1:3" x14ac:dyDescent="0.25">
      <c r="A542" t="s">
        <v>61</v>
      </c>
      <c r="B542" s="3">
        <f t="shared" si="1"/>
        <v>46345</v>
      </c>
      <c r="C542" s="2" t="s">
        <v>21</v>
      </c>
    </row>
    <row r="543" spans="1:3" x14ac:dyDescent="0.25">
      <c r="A543" t="s">
        <v>61</v>
      </c>
      <c r="B543" s="3">
        <f t="shared" si="1"/>
        <v>46346</v>
      </c>
      <c r="C543" s="2" t="s">
        <v>21</v>
      </c>
    </row>
    <row r="544" spans="1:3" x14ac:dyDescent="0.25">
      <c r="A544" t="s">
        <v>61</v>
      </c>
      <c r="B544" s="3">
        <f t="shared" si="1"/>
        <v>46347</v>
      </c>
      <c r="C544" s="2" t="s">
        <v>21</v>
      </c>
    </row>
    <row r="545" spans="1:3" x14ac:dyDescent="0.25">
      <c r="A545" t="s">
        <v>61</v>
      </c>
      <c r="B545" s="3">
        <f t="shared" si="1"/>
        <v>46348</v>
      </c>
      <c r="C545" s="2" t="s">
        <v>21</v>
      </c>
    </row>
    <row r="546" spans="1:3" x14ac:dyDescent="0.25">
      <c r="A546" t="s">
        <v>61</v>
      </c>
      <c r="B546" s="3">
        <f t="shared" si="1"/>
        <v>46349</v>
      </c>
      <c r="C546" s="2" t="s">
        <v>21</v>
      </c>
    </row>
    <row r="547" spans="1:3" x14ac:dyDescent="0.25">
      <c r="A547" t="s">
        <v>61</v>
      </c>
      <c r="B547" s="3">
        <f t="shared" si="1"/>
        <v>46350</v>
      </c>
      <c r="C547" s="2" t="s">
        <v>21</v>
      </c>
    </row>
    <row r="548" spans="1:3" x14ac:dyDescent="0.25">
      <c r="A548" t="s">
        <v>61</v>
      </c>
      <c r="B548" s="3">
        <f t="shared" si="1"/>
        <v>46351</v>
      </c>
      <c r="C548" s="2" t="s">
        <v>21</v>
      </c>
    </row>
    <row r="549" spans="1:3" x14ac:dyDescent="0.25">
      <c r="A549" t="s">
        <v>61</v>
      </c>
      <c r="B549" s="3">
        <f t="shared" si="1"/>
        <v>46352</v>
      </c>
      <c r="C549" s="2" t="s">
        <v>21</v>
      </c>
    </row>
    <row r="550" spans="1:3" x14ac:dyDescent="0.25">
      <c r="A550" t="s">
        <v>61</v>
      </c>
      <c r="B550" s="3">
        <f t="shared" si="1"/>
        <v>46353</v>
      </c>
      <c r="C550" s="2" t="s">
        <v>21</v>
      </c>
    </row>
    <row r="551" spans="1:3" x14ac:dyDescent="0.25">
      <c r="A551" t="s">
        <v>61</v>
      </c>
      <c r="B551" s="3">
        <f t="shared" si="1"/>
        <v>46354</v>
      </c>
      <c r="C551" s="2" t="s">
        <v>21</v>
      </c>
    </row>
    <row r="552" spans="1:3" x14ac:dyDescent="0.25">
      <c r="A552" t="s">
        <v>61</v>
      </c>
      <c r="B552" s="3">
        <f t="shared" si="1"/>
        <v>46355</v>
      </c>
      <c r="C552" s="2" t="s">
        <v>21</v>
      </c>
    </row>
    <row r="553" spans="1:3" x14ac:dyDescent="0.25">
      <c r="A553" t="s">
        <v>104</v>
      </c>
      <c r="B553" s="3">
        <v>46327</v>
      </c>
      <c r="C553" s="2" t="s">
        <v>20</v>
      </c>
    </row>
    <row r="554" spans="1:3" x14ac:dyDescent="0.25">
      <c r="A554" t="s">
        <v>104</v>
      </c>
      <c r="B554" s="3">
        <v>46328</v>
      </c>
      <c r="C554" s="2" t="s">
        <v>20</v>
      </c>
    </row>
    <row r="555" spans="1:3" x14ac:dyDescent="0.25">
      <c r="A555" t="s">
        <v>104</v>
      </c>
      <c r="B555" s="3">
        <v>46329</v>
      </c>
      <c r="C555" s="2" t="s">
        <v>20</v>
      </c>
    </row>
    <row r="556" spans="1:3" x14ac:dyDescent="0.25">
      <c r="A556" t="s">
        <v>104</v>
      </c>
      <c r="B556" s="3">
        <v>46330</v>
      </c>
      <c r="C556" s="2" t="s">
        <v>20</v>
      </c>
    </row>
    <row r="557" spans="1:3" x14ac:dyDescent="0.25">
      <c r="A557" t="s">
        <v>104</v>
      </c>
      <c r="B557" s="3">
        <v>46331</v>
      </c>
      <c r="C557" s="2" t="s">
        <v>20</v>
      </c>
    </row>
    <row r="558" spans="1:3" x14ac:dyDescent="0.25">
      <c r="A558" t="s">
        <v>104</v>
      </c>
      <c r="B558" s="3">
        <v>46332</v>
      </c>
      <c r="C558" s="2" t="s">
        <v>20</v>
      </c>
    </row>
    <row r="559" spans="1:3" x14ac:dyDescent="0.25">
      <c r="A559" t="s">
        <v>104</v>
      </c>
      <c r="B559" s="3">
        <v>46333</v>
      </c>
      <c r="C559" s="2" t="s">
        <v>20</v>
      </c>
    </row>
    <row r="560" spans="1:3" x14ac:dyDescent="0.25">
      <c r="A560" t="s">
        <v>104</v>
      </c>
      <c r="B560" s="3">
        <v>46334</v>
      </c>
      <c r="C560" s="2" t="s">
        <v>20</v>
      </c>
    </row>
    <row r="561" spans="1:3" x14ac:dyDescent="0.25">
      <c r="A561" t="s">
        <v>104</v>
      </c>
      <c r="B561" s="3">
        <v>46338</v>
      </c>
      <c r="C561" s="2" t="s">
        <v>21</v>
      </c>
    </row>
    <row r="562" spans="1:3" x14ac:dyDescent="0.25">
      <c r="A562" t="s">
        <v>104</v>
      </c>
      <c r="B562" s="3">
        <v>46339</v>
      </c>
      <c r="C562" s="2" t="s">
        <v>21</v>
      </c>
    </row>
    <row r="563" spans="1:3" x14ac:dyDescent="0.25">
      <c r="A563" t="s">
        <v>104</v>
      </c>
      <c r="B563" s="3">
        <v>46340</v>
      </c>
      <c r="C563" s="2" t="s">
        <v>21</v>
      </c>
    </row>
    <row r="564" spans="1:3" x14ac:dyDescent="0.25">
      <c r="A564" t="s">
        <v>104</v>
      </c>
      <c r="B564" s="3">
        <v>46341</v>
      </c>
      <c r="C564" s="2" t="s">
        <v>21</v>
      </c>
    </row>
    <row r="565" spans="1:3" x14ac:dyDescent="0.25">
      <c r="A565" t="s">
        <v>104</v>
      </c>
      <c r="B565" s="3">
        <v>46342</v>
      </c>
      <c r="C565" s="2" t="s">
        <v>21</v>
      </c>
    </row>
    <row r="566" spans="1:3" x14ac:dyDescent="0.25">
      <c r="A566" t="s">
        <v>104</v>
      </c>
      <c r="B566" s="3">
        <v>46343</v>
      </c>
      <c r="C566" s="2" t="s">
        <v>21</v>
      </c>
    </row>
    <row r="567" spans="1:3" x14ac:dyDescent="0.25">
      <c r="A567" t="s">
        <v>104</v>
      </c>
      <c r="B567" s="3">
        <v>46344</v>
      </c>
      <c r="C567" s="2" t="s">
        <v>21</v>
      </c>
    </row>
    <row r="568" spans="1:3" x14ac:dyDescent="0.25">
      <c r="A568" t="s">
        <v>104</v>
      </c>
      <c r="B568" s="3">
        <v>46345</v>
      </c>
      <c r="C568" s="2" t="s">
        <v>21</v>
      </c>
    </row>
    <row r="569" spans="1:3" x14ac:dyDescent="0.25">
      <c r="A569" t="s">
        <v>104</v>
      </c>
      <c r="B569" s="3">
        <v>46346</v>
      </c>
      <c r="C569" s="2" t="s">
        <v>21</v>
      </c>
    </row>
    <row r="570" spans="1:3" x14ac:dyDescent="0.25">
      <c r="A570" t="s">
        <v>104</v>
      </c>
      <c r="B570" s="3">
        <v>46347</v>
      </c>
      <c r="C570" s="2" t="s">
        <v>21</v>
      </c>
    </row>
    <row r="571" spans="1:3" x14ac:dyDescent="0.25">
      <c r="A571" t="s">
        <v>104</v>
      </c>
      <c r="B571" s="3">
        <v>46348</v>
      </c>
      <c r="C571" s="2" t="s">
        <v>21</v>
      </c>
    </row>
    <row r="572" spans="1:3" x14ac:dyDescent="0.25">
      <c r="A572" t="s">
        <v>104</v>
      </c>
      <c r="B572" s="3">
        <v>46349</v>
      </c>
      <c r="C572" s="2" t="s">
        <v>21</v>
      </c>
    </row>
    <row r="573" spans="1:3" x14ac:dyDescent="0.25">
      <c r="A573" t="s">
        <v>104</v>
      </c>
      <c r="B573" s="3">
        <v>46350</v>
      </c>
      <c r="C573" s="2" t="s">
        <v>21</v>
      </c>
    </row>
    <row r="574" spans="1:3" x14ac:dyDescent="0.25">
      <c r="A574" t="s">
        <v>104</v>
      </c>
      <c r="B574" s="3">
        <v>46351</v>
      </c>
      <c r="C574" s="2" t="s">
        <v>21</v>
      </c>
    </row>
    <row r="575" spans="1:3" x14ac:dyDescent="0.25">
      <c r="A575" t="s">
        <v>104</v>
      </c>
      <c r="B575" s="3">
        <v>46352</v>
      </c>
      <c r="C575" s="2" t="s">
        <v>21</v>
      </c>
    </row>
    <row r="576" spans="1:3" x14ac:dyDescent="0.25">
      <c r="A576" t="s">
        <v>104</v>
      </c>
      <c r="B576" s="3">
        <v>46353</v>
      </c>
      <c r="C576" s="2" t="s">
        <v>21</v>
      </c>
    </row>
    <row r="577" spans="1:3" x14ac:dyDescent="0.25">
      <c r="A577" t="s">
        <v>104</v>
      </c>
      <c r="B577" s="3">
        <v>46354</v>
      </c>
      <c r="C577" s="2" t="s">
        <v>21</v>
      </c>
    </row>
    <row r="578" spans="1:3" x14ac:dyDescent="0.25">
      <c r="A578" t="s">
        <v>104</v>
      </c>
      <c r="B578" s="3">
        <v>46355</v>
      </c>
      <c r="C578" s="2" t="s">
        <v>21</v>
      </c>
    </row>
  </sheetData>
  <autoFilter ref="A1:C578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F4A5-E774-499A-A01D-1C21EEE25028}">
  <sheetPr codeName="Sheet3"/>
  <dimension ref="A1:D72"/>
  <sheetViews>
    <sheetView topLeftCell="A50" workbookViewId="0">
      <selection activeCell="D76" sqref="D76"/>
    </sheetView>
  </sheetViews>
  <sheetFormatPr defaultRowHeight="15" x14ac:dyDescent="0.25"/>
  <cols>
    <col min="4" max="4" width="47.5703125" bestFit="1" customWidth="1"/>
  </cols>
  <sheetData>
    <row r="1" spans="1:4" x14ac:dyDescent="0.25">
      <c r="A1" s="1" t="s">
        <v>5</v>
      </c>
      <c r="B1" s="1" t="s">
        <v>7</v>
      </c>
      <c r="C1" s="1" t="s">
        <v>1</v>
      </c>
      <c r="D1" s="1" t="s">
        <v>3</v>
      </c>
    </row>
    <row r="2" spans="1:4" x14ac:dyDescent="0.25">
      <c r="A2" s="2" t="s">
        <v>10</v>
      </c>
      <c r="B2" s="2" t="s">
        <v>61</v>
      </c>
      <c r="C2" s="2" t="s">
        <v>23</v>
      </c>
      <c r="D2" s="2" t="s">
        <v>57</v>
      </c>
    </row>
    <row r="3" spans="1:4" x14ac:dyDescent="0.25">
      <c r="A3" s="2" t="s">
        <v>10</v>
      </c>
      <c r="B3" s="2" t="s">
        <v>61</v>
      </c>
      <c r="C3" s="2" t="s">
        <v>23</v>
      </c>
      <c r="D3" s="2" t="s">
        <v>59</v>
      </c>
    </row>
    <row r="4" spans="1:4" x14ac:dyDescent="0.25">
      <c r="A4" s="2" t="s">
        <v>10</v>
      </c>
      <c r="B4" s="2" t="s">
        <v>61</v>
      </c>
      <c r="C4" s="2" t="s">
        <v>23</v>
      </c>
      <c r="D4" s="2" t="s">
        <v>58</v>
      </c>
    </row>
    <row r="5" spans="1:4" x14ac:dyDescent="0.25">
      <c r="A5" s="2" t="s">
        <v>10</v>
      </c>
      <c r="B5" s="2" t="s">
        <v>61</v>
      </c>
      <c r="C5" s="2" t="s">
        <v>23</v>
      </c>
      <c r="D5" s="2" t="s">
        <v>60</v>
      </c>
    </row>
    <row r="6" spans="1:4" x14ac:dyDescent="0.25">
      <c r="A6" s="2" t="s">
        <v>10</v>
      </c>
      <c r="B6" s="2" t="s">
        <v>61</v>
      </c>
      <c r="C6" s="2" t="s">
        <v>24</v>
      </c>
      <c r="D6" s="2" t="s">
        <v>57</v>
      </c>
    </row>
    <row r="7" spans="1:4" x14ac:dyDescent="0.25">
      <c r="A7" s="2" t="s">
        <v>10</v>
      </c>
      <c r="B7" s="2" t="s">
        <v>61</v>
      </c>
      <c r="C7" s="2" t="s">
        <v>24</v>
      </c>
      <c r="D7" s="2" t="s">
        <v>59</v>
      </c>
    </row>
    <row r="8" spans="1:4" x14ac:dyDescent="0.25">
      <c r="A8" s="2" t="s">
        <v>10</v>
      </c>
      <c r="B8" s="2" t="s">
        <v>61</v>
      </c>
      <c r="C8" s="2" t="s">
        <v>24</v>
      </c>
      <c r="D8" s="2" t="s">
        <v>120</v>
      </c>
    </row>
    <row r="9" spans="1:4" x14ac:dyDescent="0.25">
      <c r="A9" s="2" t="s">
        <v>10</v>
      </c>
      <c r="B9" s="2" t="s">
        <v>62</v>
      </c>
      <c r="C9" s="2" t="s">
        <v>23</v>
      </c>
      <c r="D9" s="2" t="s">
        <v>59</v>
      </c>
    </row>
    <row r="10" spans="1:4" x14ac:dyDescent="0.25">
      <c r="A10" s="2" t="s">
        <v>10</v>
      </c>
      <c r="B10" s="2" t="s">
        <v>62</v>
      </c>
      <c r="C10" s="2" t="s">
        <v>23</v>
      </c>
      <c r="D10" s="2" t="s">
        <v>95</v>
      </c>
    </row>
    <row r="11" spans="1:4" x14ac:dyDescent="0.25">
      <c r="A11" s="2" t="s">
        <v>10</v>
      </c>
      <c r="B11" s="2" t="s">
        <v>62</v>
      </c>
      <c r="C11" s="2" t="s">
        <v>23</v>
      </c>
      <c r="D11" s="2" t="s">
        <v>97</v>
      </c>
    </row>
    <row r="12" spans="1:4" x14ac:dyDescent="0.25">
      <c r="A12" s="2" t="s">
        <v>10</v>
      </c>
      <c r="B12" s="2" t="s">
        <v>62</v>
      </c>
      <c r="C12" s="2" t="s">
        <v>23</v>
      </c>
      <c r="D12" s="2" t="s">
        <v>114</v>
      </c>
    </row>
    <row r="13" spans="1:4" x14ac:dyDescent="0.25">
      <c r="A13" s="2" t="s">
        <v>10</v>
      </c>
      <c r="B13" s="2" t="s">
        <v>62</v>
      </c>
      <c r="C13" s="2" t="s">
        <v>24</v>
      </c>
      <c r="D13" s="2" t="s">
        <v>59</v>
      </c>
    </row>
    <row r="14" spans="1:4" x14ac:dyDescent="0.25">
      <c r="A14" s="2" t="s">
        <v>10</v>
      </c>
      <c r="B14" s="2" t="s">
        <v>62</v>
      </c>
      <c r="C14" s="2" t="s">
        <v>24</v>
      </c>
      <c r="D14" s="2" t="s">
        <v>96</v>
      </c>
    </row>
    <row r="15" spans="1:4" x14ac:dyDescent="0.25">
      <c r="A15" s="2" t="s">
        <v>98</v>
      </c>
      <c r="B15" s="2" t="s">
        <v>61</v>
      </c>
      <c r="C15" s="2" t="s">
        <v>23</v>
      </c>
      <c r="D15" s="2" t="s">
        <v>57</v>
      </c>
    </row>
    <row r="16" spans="1:4" x14ac:dyDescent="0.25">
      <c r="A16" s="2" t="s">
        <v>98</v>
      </c>
      <c r="B16" s="2" t="s">
        <v>61</v>
      </c>
      <c r="C16" s="2" t="s">
        <v>23</v>
      </c>
      <c r="D16" s="2" t="s">
        <v>59</v>
      </c>
    </row>
    <row r="17" spans="1:4" x14ac:dyDescent="0.25">
      <c r="A17" s="2" t="s">
        <v>98</v>
      </c>
      <c r="B17" s="2" t="s">
        <v>61</v>
      </c>
      <c r="C17" s="2" t="s">
        <v>23</v>
      </c>
      <c r="D17" s="2" t="s">
        <v>58</v>
      </c>
    </row>
    <row r="18" spans="1:4" x14ac:dyDescent="0.25">
      <c r="A18" s="2" t="s">
        <v>98</v>
      </c>
      <c r="B18" s="2" t="s">
        <v>61</v>
      </c>
      <c r="C18" s="2" t="s">
        <v>23</v>
      </c>
      <c r="D18" s="2" t="s">
        <v>60</v>
      </c>
    </row>
    <row r="19" spans="1:4" x14ac:dyDescent="0.25">
      <c r="A19" s="2" t="s">
        <v>98</v>
      </c>
      <c r="B19" s="2" t="s">
        <v>61</v>
      </c>
      <c r="C19" s="2" t="s">
        <v>24</v>
      </c>
      <c r="D19" s="2" t="s">
        <v>57</v>
      </c>
    </row>
    <row r="20" spans="1:4" x14ac:dyDescent="0.25">
      <c r="A20" s="2" t="s">
        <v>98</v>
      </c>
      <c r="B20" s="2" t="s">
        <v>61</v>
      </c>
      <c r="C20" s="2" t="s">
        <v>24</v>
      </c>
      <c r="D20" s="2" t="s">
        <v>59</v>
      </c>
    </row>
    <row r="21" spans="1:4" x14ac:dyDescent="0.25">
      <c r="A21" s="2" t="s">
        <v>98</v>
      </c>
      <c r="B21" s="2" t="s">
        <v>61</v>
      </c>
      <c r="C21" s="2" t="s">
        <v>24</v>
      </c>
      <c r="D21" s="2" t="s">
        <v>120</v>
      </c>
    </row>
    <row r="22" spans="1:4" x14ac:dyDescent="0.25">
      <c r="A22" s="2" t="s">
        <v>103</v>
      </c>
      <c r="B22" s="2" t="s">
        <v>62</v>
      </c>
      <c r="C22" s="2" t="s">
        <v>23</v>
      </c>
      <c r="D22" s="2" t="s">
        <v>59</v>
      </c>
    </row>
    <row r="23" spans="1:4" x14ac:dyDescent="0.25">
      <c r="A23" s="2" t="s">
        <v>103</v>
      </c>
      <c r="B23" s="2" t="s">
        <v>62</v>
      </c>
      <c r="C23" s="2" t="s">
        <v>23</v>
      </c>
      <c r="D23" s="2" t="s">
        <v>95</v>
      </c>
    </row>
    <row r="24" spans="1:4" x14ac:dyDescent="0.25">
      <c r="A24" s="2" t="s">
        <v>103</v>
      </c>
      <c r="B24" s="2" t="s">
        <v>62</v>
      </c>
      <c r="C24" s="2" t="s">
        <v>23</v>
      </c>
      <c r="D24" s="2" t="s">
        <v>97</v>
      </c>
    </row>
    <row r="25" spans="1:4" x14ac:dyDescent="0.25">
      <c r="A25" s="2" t="s">
        <v>103</v>
      </c>
      <c r="B25" s="2" t="s">
        <v>62</v>
      </c>
      <c r="C25" s="2" t="s">
        <v>23</v>
      </c>
      <c r="D25" s="2" t="s">
        <v>114</v>
      </c>
    </row>
    <row r="26" spans="1:4" x14ac:dyDescent="0.25">
      <c r="A26" s="2" t="s">
        <v>103</v>
      </c>
      <c r="B26" s="2" t="s">
        <v>62</v>
      </c>
      <c r="C26" s="2" t="s">
        <v>24</v>
      </c>
      <c r="D26" s="2" t="s">
        <v>59</v>
      </c>
    </row>
    <row r="27" spans="1:4" x14ac:dyDescent="0.25">
      <c r="A27" s="2" t="s">
        <v>103</v>
      </c>
      <c r="B27" s="2" t="s">
        <v>62</v>
      </c>
      <c r="C27" s="2" t="s">
        <v>24</v>
      </c>
      <c r="D27" s="2" t="s">
        <v>96</v>
      </c>
    </row>
    <row r="28" spans="1:4" x14ac:dyDescent="0.25">
      <c r="A28" s="2" t="s">
        <v>99</v>
      </c>
      <c r="B28" s="2" t="s">
        <v>62</v>
      </c>
      <c r="C28" s="2" t="s">
        <v>23</v>
      </c>
      <c r="D28" s="2" t="s">
        <v>59</v>
      </c>
    </row>
    <row r="29" spans="1:4" x14ac:dyDescent="0.25">
      <c r="A29" s="2" t="s">
        <v>99</v>
      </c>
      <c r="B29" s="2" t="s">
        <v>62</v>
      </c>
      <c r="C29" s="2" t="s">
        <v>23</v>
      </c>
      <c r="D29" s="2" t="s">
        <v>95</v>
      </c>
    </row>
    <row r="30" spans="1:4" x14ac:dyDescent="0.25">
      <c r="A30" s="2" t="s">
        <v>99</v>
      </c>
      <c r="B30" s="2" t="s">
        <v>62</v>
      </c>
      <c r="C30" s="2" t="s">
        <v>23</v>
      </c>
      <c r="D30" s="2" t="s">
        <v>97</v>
      </c>
    </row>
    <row r="31" spans="1:4" x14ac:dyDescent="0.25">
      <c r="A31" s="2" t="s">
        <v>99</v>
      </c>
      <c r="B31" s="2" t="s">
        <v>62</v>
      </c>
      <c r="C31" s="2" t="s">
        <v>23</v>
      </c>
      <c r="D31" s="2" t="s">
        <v>114</v>
      </c>
    </row>
    <row r="32" spans="1:4" x14ac:dyDescent="0.25">
      <c r="A32" s="2" t="s">
        <v>99</v>
      </c>
      <c r="B32" s="2" t="s">
        <v>62</v>
      </c>
      <c r="C32" s="2" t="s">
        <v>24</v>
      </c>
      <c r="D32" s="2" t="s">
        <v>59</v>
      </c>
    </row>
    <row r="33" spans="1:4" x14ac:dyDescent="0.25">
      <c r="A33" s="2" t="s">
        <v>99</v>
      </c>
      <c r="B33" s="2" t="s">
        <v>62</v>
      </c>
      <c r="C33" s="2" t="s">
        <v>24</v>
      </c>
      <c r="D33" s="2" t="s">
        <v>96</v>
      </c>
    </row>
    <row r="34" spans="1:4" x14ac:dyDescent="0.25">
      <c r="A34" s="2" t="s">
        <v>102</v>
      </c>
      <c r="B34" s="2" t="s">
        <v>62</v>
      </c>
      <c r="C34" s="2" t="s">
        <v>23</v>
      </c>
      <c r="D34" s="2" t="s">
        <v>59</v>
      </c>
    </row>
    <row r="35" spans="1:4" x14ac:dyDescent="0.25">
      <c r="A35" s="2" t="s">
        <v>102</v>
      </c>
      <c r="B35" s="2" t="s">
        <v>62</v>
      </c>
      <c r="C35" s="2" t="s">
        <v>23</v>
      </c>
      <c r="D35" s="2" t="s">
        <v>95</v>
      </c>
    </row>
    <row r="36" spans="1:4" x14ac:dyDescent="0.25">
      <c r="A36" s="2" t="s">
        <v>102</v>
      </c>
      <c r="B36" s="2" t="s">
        <v>62</v>
      </c>
      <c r="C36" s="2" t="s">
        <v>23</v>
      </c>
      <c r="D36" s="2" t="s">
        <v>97</v>
      </c>
    </row>
    <row r="37" spans="1:4" x14ac:dyDescent="0.25">
      <c r="A37" s="2" t="s">
        <v>102</v>
      </c>
      <c r="B37" s="2" t="s">
        <v>62</v>
      </c>
      <c r="C37" s="2" t="s">
        <v>23</v>
      </c>
      <c r="D37" s="2" t="s">
        <v>114</v>
      </c>
    </row>
    <row r="38" spans="1:4" x14ac:dyDescent="0.25">
      <c r="A38" s="2" t="s">
        <v>102</v>
      </c>
      <c r="B38" s="2" t="s">
        <v>62</v>
      </c>
      <c r="C38" s="2" t="s">
        <v>24</v>
      </c>
      <c r="D38" s="2" t="s">
        <v>59</v>
      </c>
    </row>
    <row r="39" spans="1:4" x14ac:dyDescent="0.25">
      <c r="A39" s="2" t="s">
        <v>102</v>
      </c>
      <c r="B39" s="2" t="s">
        <v>62</v>
      </c>
      <c r="C39" s="2" t="s">
        <v>24</v>
      </c>
      <c r="D39" s="2" t="s">
        <v>96</v>
      </c>
    </row>
    <row r="40" spans="1:4" x14ac:dyDescent="0.25">
      <c r="A40" s="2" t="s">
        <v>98</v>
      </c>
      <c r="B40" s="2" t="s">
        <v>104</v>
      </c>
      <c r="C40" s="2" t="s">
        <v>23</v>
      </c>
      <c r="D40" s="2" t="s">
        <v>59</v>
      </c>
    </row>
    <row r="41" spans="1:4" x14ac:dyDescent="0.25">
      <c r="A41" s="2" t="s">
        <v>98</v>
      </c>
      <c r="B41" s="2" t="s">
        <v>104</v>
      </c>
      <c r="C41" s="2" t="s">
        <v>23</v>
      </c>
      <c r="D41" s="2" t="s">
        <v>111</v>
      </c>
    </row>
    <row r="42" spans="1:4" x14ac:dyDescent="0.25">
      <c r="A42" s="2" t="s">
        <v>98</v>
      </c>
      <c r="B42" s="2" t="s">
        <v>104</v>
      </c>
      <c r="C42" s="2" t="s">
        <v>24</v>
      </c>
      <c r="D42" s="2" t="s">
        <v>59</v>
      </c>
    </row>
    <row r="43" spans="1:4" x14ac:dyDescent="0.25">
      <c r="A43" s="2" t="s">
        <v>98</v>
      </c>
      <c r="B43" s="2" t="s">
        <v>104</v>
      </c>
      <c r="C43" s="2" t="s">
        <v>24</v>
      </c>
      <c r="D43" s="2" t="s">
        <v>96</v>
      </c>
    </row>
    <row r="44" spans="1:4" x14ac:dyDescent="0.25">
      <c r="A44" s="2" t="s">
        <v>98</v>
      </c>
      <c r="B44" s="2" t="s">
        <v>62</v>
      </c>
      <c r="C44" s="2" t="s">
        <v>23</v>
      </c>
      <c r="D44" s="2" t="s">
        <v>59</v>
      </c>
    </row>
    <row r="45" spans="1:4" x14ac:dyDescent="0.25">
      <c r="A45" s="2" t="s">
        <v>98</v>
      </c>
      <c r="B45" s="2" t="s">
        <v>62</v>
      </c>
      <c r="C45" s="2" t="s">
        <v>23</v>
      </c>
      <c r="D45" s="2" t="s">
        <v>95</v>
      </c>
    </row>
    <row r="46" spans="1:4" x14ac:dyDescent="0.25">
      <c r="A46" s="2" t="s">
        <v>98</v>
      </c>
      <c r="B46" s="2" t="s">
        <v>62</v>
      </c>
      <c r="C46" s="2" t="s">
        <v>23</v>
      </c>
      <c r="D46" s="2" t="s">
        <v>97</v>
      </c>
    </row>
    <row r="47" spans="1:4" x14ac:dyDescent="0.25">
      <c r="A47" s="2" t="s">
        <v>98</v>
      </c>
      <c r="B47" s="2" t="s">
        <v>62</v>
      </c>
      <c r="C47" s="2" t="s">
        <v>23</v>
      </c>
      <c r="D47" s="2" t="s">
        <v>122</v>
      </c>
    </row>
    <row r="48" spans="1:4" x14ac:dyDescent="0.25">
      <c r="A48" s="2" t="s">
        <v>98</v>
      </c>
      <c r="B48" s="2" t="s">
        <v>62</v>
      </c>
      <c r="C48" s="2" t="s">
        <v>24</v>
      </c>
      <c r="D48" s="2" t="s">
        <v>59</v>
      </c>
    </row>
    <row r="49" spans="1:4" x14ac:dyDescent="0.25">
      <c r="A49" s="2" t="s">
        <v>98</v>
      </c>
      <c r="B49" s="2" t="s">
        <v>62</v>
      </c>
      <c r="C49" s="2" t="s">
        <v>24</v>
      </c>
      <c r="D49" s="2" t="s">
        <v>96</v>
      </c>
    </row>
    <row r="50" spans="1:4" x14ac:dyDescent="0.25">
      <c r="A50" s="2" t="s">
        <v>98</v>
      </c>
      <c r="B50" s="2" t="s">
        <v>127</v>
      </c>
      <c r="C50" s="2" t="s">
        <v>127</v>
      </c>
      <c r="D50" s="2" t="s">
        <v>128</v>
      </c>
    </row>
    <row r="51" spans="1:4" x14ac:dyDescent="0.25">
      <c r="A51" s="2" t="s">
        <v>98</v>
      </c>
      <c r="B51" s="2" t="s">
        <v>127</v>
      </c>
      <c r="C51" s="2" t="s">
        <v>127</v>
      </c>
      <c r="D51" s="2" t="s">
        <v>129</v>
      </c>
    </row>
    <row r="52" spans="1:4" x14ac:dyDescent="0.25">
      <c r="A52" s="2" t="s">
        <v>98</v>
      </c>
      <c r="B52" s="2" t="s">
        <v>127</v>
      </c>
      <c r="C52" s="2" t="s">
        <v>127</v>
      </c>
      <c r="D52" s="2" t="s">
        <v>130</v>
      </c>
    </row>
    <row r="53" spans="1:4" x14ac:dyDescent="0.25">
      <c r="A53" s="2" t="s">
        <v>155</v>
      </c>
      <c r="B53" s="2" t="s">
        <v>61</v>
      </c>
      <c r="C53" s="2" t="s">
        <v>23</v>
      </c>
      <c r="D53" s="2" t="s">
        <v>57</v>
      </c>
    </row>
    <row r="54" spans="1:4" x14ac:dyDescent="0.25">
      <c r="A54" s="2" t="s">
        <v>155</v>
      </c>
      <c r="B54" s="2" t="s">
        <v>61</v>
      </c>
      <c r="C54" s="2" t="s">
        <v>23</v>
      </c>
      <c r="D54" s="2" t="s">
        <v>59</v>
      </c>
    </row>
    <row r="55" spans="1:4" x14ac:dyDescent="0.25">
      <c r="A55" s="2" t="s">
        <v>155</v>
      </c>
      <c r="B55" s="2" t="s">
        <v>61</v>
      </c>
      <c r="C55" s="2" t="s">
        <v>23</v>
      </c>
      <c r="D55" s="2" t="s">
        <v>58</v>
      </c>
    </row>
    <row r="56" spans="1:4" x14ac:dyDescent="0.25">
      <c r="A56" s="2" t="s">
        <v>155</v>
      </c>
      <c r="B56" s="2" t="s">
        <v>61</v>
      </c>
      <c r="C56" s="2" t="s">
        <v>23</v>
      </c>
      <c r="D56" s="2" t="s">
        <v>60</v>
      </c>
    </row>
    <row r="57" spans="1:4" x14ac:dyDescent="0.25">
      <c r="A57" s="2" t="s">
        <v>155</v>
      </c>
      <c r="B57" s="2" t="s">
        <v>61</v>
      </c>
      <c r="C57" s="2" t="s">
        <v>24</v>
      </c>
      <c r="D57" s="2" t="s">
        <v>57</v>
      </c>
    </row>
    <row r="58" spans="1:4" x14ac:dyDescent="0.25">
      <c r="A58" s="2" t="s">
        <v>155</v>
      </c>
      <c r="B58" s="2" t="s">
        <v>61</v>
      </c>
      <c r="C58" s="2" t="s">
        <v>24</v>
      </c>
      <c r="D58" s="2" t="s">
        <v>59</v>
      </c>
    </row>
    <row r="59" spans="1:4" x14ac:dyDescent="0.25">
      <c r="A59" s="2" t="s">
        <v>155</v>
      </c>
      <c r="B59" s="2" t="s">
        <v>61</v>
      </c>
      <c r="C59" s="2" t="s">
        <v>24</v>
      </c>
      <c r="D59" s="2" t="s">
        <v>120</v>
      </c>
    </row>
    <row r="60" spans="1:4" x14ac:dyDescent="0.25">
      <c r="A60" s="2" t="s">
        <v>155</v>
      </c>
      <c r="B60" s="2" t="s">
        <v>104</v>
      </c>
      <c r="C60" s="2" t="s">
        <v>23</v>
      </c>
      <c r="D60" s="2" t="s">
        <v>59</v>
      </c>
    </row>
    <row r="61" spans="1:4" x14ac:dyDescent="0.25">
      <c r="A61" s="2" t="s">
        <v>155</v>
      </c>
      <c r="B61" s="2" t="s">
        <v>104</v>
      </c>
      <c r="C61" s="2" t="s">
        <v>23</v>
      </c>
      <c r="D61" s="2" t="s">
        <v>111</v>
      </c>
    </row>
    <row r="62" spans="1:4" x14ac:dyDescent="0.25">
      <c r="A62" s="2" t="s">
        <v>155</v>
      </c>
      <c r="B62" s="2" t="s">
        <v>104</v>
      </c>
      <c r="C62" s="2" t="s">
        <v>24</v>
      </c>
      <c r="D62" s="2" t="s">
        <v>59</v>
      </c>
    </row>
    <row r="63" spans="1:4" x14ac:dyDescent="0.25">
      <c r="A63" s="2" t="s">
        <v>155</v>
      </c>
      <c r="B63" s="2" t="s">
        <v>104</v>
      </c>
      <c r="C63" s="2" t="s">
        <v>24</v>
      </c>
      <c r="D63" s="2" t="s">
        <v>96</v>
      </c>
    </row>
    <row r="64" spans="1:4" x14ac:dyDescent="0.25">
      <c r="A64" s="2" t="s">
        <v>155</v>
      </c>
      <c r="B64" t="s">
        <v>62</v>
      </c>
      <c r="C64" t="s">
        <v>23</v>
      </c>
      <c r="D64" t="s">
        <v>59</v>
      </c>
    </row>
    <row r="65" spans="1:4" x14ac:dyDescent="0.25">
      <c r="A65" s="2" t="s">
        <v>155</v>
      </c>
      <c r="B65" t="s">
        <v>62</v>
      </c>
      <c r="C65" t="s">
        <v>23</v>
      </c>
      <c r="D65" t="s">
        <v>95</v>
      </c>
    </row>
    <row r="66" spans="1:4" x14ac:dyDescent="0.25">
      <c r="A66" s="2" t="s">
        <v>155</v>
      </c>
      <c r="B66" t="s">
        <v>62</v>
      </c>
      <c r="C66" t="s">
        <v>23</v>
      </c>
      <c r="D66" t="s">
        <v>97</v>
      </c>
    </row>
    <row r="67" spans="1:4" x14ac:dyDescent="0.25">
      <c r="A67" s="2" t="s">
        <v>155</v>
      </c>
      <c r="B67" t="s">
        <v>62</v>
      </c>
      <c r="C67" t="s">
        <v>23</v>
      </c>
      <c r="D67" t="s">
        <v>122</v>
      </c>
    </row>
    <row r="68" spans="1:4" x14ac:dyDescent="0.25">
      <c r="A68" s="2" t="s">
        <v>155</v>
      </c>
      <c r="B68" t="s">
        <v>62</v>
      </c>
      <c r="C68" t="s">
        <v>24</v>
      </c>
      <c r="D68" t="s">
        <v>59</v>
      </c>
    </row>
    <row r="69" spans="1:4" x14ac:dyDescent="0.25">
      <c r="A69" s="2" t="s">
        <v>155</v>
      </c>
      <c r="B69" t="s">
        <v>62</v>
      </c>
      <c r="C69" t="s">
        <v>24</v>
      </c>
      <c r="D69" t="s">
        <v>96</v>
      </c>
    </row>
    <row r="70" spans="1:4" x14ac:dyDescent="0.25">
      <c r="A70" s="2" t="s">
        <v>155</v>
      </c>
      <c r="B70" s="2" t="s">
        <v>127</v>
      </c>
      <c r="C70" s="2" t="s">
        <v>127</v>
      </c>
      <c r="D70" s="2" t="s">
        <v>128</v>
      </c>
    </row>
    <row r="71" spans="1:4" x14ac:dyDescent="0.25">
      <c r="A71" s="2" t="s">
        <v>155</v>
      </c>
      <c r="B71" s="2" t="s">
        <v>127</v>
      </c>
      <c r="C71" s="2" t="s">
        <v>127</v>
      </c>
      <c r="D71" s="2" t="s">
        <v>129</v>
      </c>
    </row>
    <row r="72" spans="1:4" x14ac:dyDescent="0.25">
      <c r="A72" s="2" t="s">
        <v>155</v>
      </c>
      <c r="B72" s="2" t="s">
        <v>127</v>
      </c>
      <c r="C72" s="2" t="s">
        <v>127</v>
      </c>
      <c r="D72" s="2" t="s">
        <v>130</v>
      </c>
    </row>
  </sheetData>
  <autoFilter ref="A1:D52" xr:uid="{6D40F4A5-E774-499A-A01D-1C21EEE25028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C8DF-4561-40B2-8E7C-6CD69559B9AE}">
  <sheetPr codeName="Sheet4"/>
  <dimension ref="A1:I2026"/>
  <sheetViews>
    <sheetView tabSelected="1" zoomScale="70" zoomScaleNormal="70" workbookViewId="0">
      <selection activeCell="B1" sqref="B1"/>
    </sheetView>
  </sheetViews>
  <sheetFormatPr defaultRowHeight="15" x14ac:dyDescent="0.25"/>
  <cols>
    <col min="2" max="2" width="16.85546875" customWidth="1"/>
    <col min="4" max="4" width="16.85546875" customWidth="1"/>
    <col min="6" max="6" width="20.85546875" customWidth="1"/>
    <col min="7" max="7" width="21.5703125" customWidth="1"/>
    <col min="8" max="8" width="15" customWidth="1"/>
    <col min="9" max="9" width="27.85546875" customWidth="1"/>
  </cols>
  <sheetData>
    <row r="1" spans="1:9" x14ac:dyDescent="0.25">
      <c r="A1" s="1" t="s">
        <v>5</v>
      </c>
      <c r="B1" s="1" t="s">
        <v>1</v>
      </c>
      <c r="C1" s="1" t="s">
        <v>2</v>
      </c>
      <c r="D1" s="1" t="s">
        <v>6</v>
      </c>
      <c r="E1" s="1" t="s">
        <v>22</v>
      </c>
      <c r="F1" s="1" t="s">
        <v>7</v>
      </c>
      <c r="G1" s="1" t="s">
        <v>8</v>
      </c>
      <c r="H1" s="1" t="s">
        <v>9</v>
      </c>
      <c r="I1" s="1" t="s">
        <v>110</v>
      </c>
    </row>
    <row r="2" spans="1:9" x14ac:dyDescent="0.25">
      <c r="A2" s="2" t="s">
        <v>10</v>
      </c>
      <c r="B2" s="2" t="s">
        <v>61</v>
      </c>
      <c r="C2" s="2" t="s">
        <v>4</v>
      </c>
      <c r="D2" s="2" t="s">
        <v>25</v>
      </c>
      <c r="E2" s="2">
        <v>1</v>
      </c>
      <c r="F2" s="2" t="s">
        <v>31</v>
      </c>
      <c r="G2" s="2">
        <v>4.99</v>
      </c>
      <c r="H2" s="2">
        <v>4.6900000000000004</v>
      </c>
      <c r="I2" s="2" t="str">
        <f>_xlfn.XLOOKUP(F2,DeparaIMG!D:D,DeparaIMG!F:F,,0)</f>
        <v>GCAP1.png</v>
      </c>
    </row>
    <row r="3" spans="1:9" x14ac:dyDescent="0.25">
      <c r="A3" s="2" t="s">
        <v>10</v>
      </c>
      <c r="B3" s="2" t="s">
        <v>61</v>
      </c>
      <c r="C3" s="2" t="s">
        <v>27</v>
      </c>
      <c r="D3" s="2" t="s">
        <v>25</v>
      </c>
      <c r="E3" s="2">
        <v>1</v>
      </c>
      <c r="F3" s="2" t="s">
        <v>32</v>
      </c>
      <c r="G3" s="2">
        <v>6.49</v>
      </c>
      <c r="H3" s="2">
        <v>6.19</v>
      </c>
      <c r="I3" s="2" t="str">
        <f>_xlfn.XLOOKUP(F3,DeparaIMG!D:D,DeparaIMG!F:F,,0)</f>
        <v>GCAP1,5.png</v>
      </c>
    </row>
    <row r="4" spans="1:9" x14ac:dyDescent="0.25">
      <c r="A4" s="2" t="s">
        <v>10</v>
      </c>
      <c r="B4" s="2" t="s">
        <v>61</v>
      </c>
      <c r="C4" s="2" t="s">
        <v>28</v>
      </c>
      <c r="D4" s="2" t="s">
        <v>25</v>
      </c>
      <c r="E4" s="2">
        <v>1</v>
      </c>
      <c r="F4" s="2" t="s">
        <v>32</v>
      </c>
      <c r="G4" s="2">
        <v>6.49</v>
      </c>
      <c r="H4" s="2">
        <v>6.19</v>
      </c>
      <c r="I4" s="2" t="str">
        <f>_xlfn.XLOOKUP(F4,DeparaIMG!D:D,DeparaIMG!F:F,,0)</f>
        <v>GCAP1,5.png</v>
      </c>
    </row>
    <row r="5" spans="1:9" x14ac:dyDescent="0.25">
      <c r="A5" s="2" t="s">
        <v>10</v>
      </c>
      <c r="B5" s="2" t="s">
        <v>61</v>
      </c>
      <c r="C5" s="2" t="s">
        <v>29</v>
      </c>
      <c r="D5" s="2" t="s">
        <v>25</v>
      </c>
      <c r="E5" s="2">
        <v>1</v>
      </c>
      <c r="F5" s="2" t="s">
        <v>32</v>
      </c>
      <c r="G5" s="2">
        <v>6.49</v>
      </c>
      <c r="H5" s="2">
        <v>6.19</v>
      </c>
      <c r="I5" s="2" t="str">
        <f>_xlfn.XLOOKUP(F5,DeparaIMG!D:D,DeparaIMG!F:F,,0)</f>
        <v>GCAP1,5.png</v>
      </c>
    </row>
    <row r="6" spans="1:9" x14ac:dyDescent="0.25">
      <c r="A6" s="2" t="s">
        <v>10</v>
      </c>
      <c r="B6" s="2" t="s">
        <v>61</v>
      </c>
      <c r="C6" s="2" t="s">
        <v>30</v>
      </c>
      <c r="D6" s="2" t="s">
        <v>25</v>
      </c>
      <c r="E6" s="2">
        <v>1</v>
      </c>
      <c r="F6" s="2" t="s">
        <v>32</v>
      </c>
      <c r="G6" s="2">
        <v>6.49</v>
      </c>
      <c r="H6" s="2">
        <v>6.19</v>
      </c>
      <c r="I6" s="2" t="str">
        <f>_xlfn.XLOOKUP(F6,DeparaIMG!D:D,DeparaIMG!F:F,,0)</f>
        <v>GCAP1,5.png</v>
      </c>
    </row>
    <row r="7" spans="1:9" x14ac:dyDescent="0.25">
      <c r="A7" s="2" t="s">
        <v>10</v>
      </c>
      <c r="B7" s="2" t="s">
        <v>61</v>
      </c>
      <c r="C7" t="s">
        <v>4</v>
      </c>
      <c r="D7" t="s">
        <v>25</v>
      </c>
      <c r="E7" s="2">
        <v>1</v>
      </c>
      <c r="F7" t="s">
        <v>33</v>
      </c>
      <c r="G7">
        <v>7.79</v>
      </c>
      <c r="H7">
        <v>7.29</v>
      </c>
      <c r="I7" s="2" t="str">
        <f>_xlfn.XLOOKUP(F7,DeparaIMG!D:D,DeparaIMG!F:F,,0)</f>
        <v>PCP2.png</v>
      </c>
    </row>
    <row r="8" spans="1:9" x14ac:dyDescent="0.25">
      <c r="A8" s="2" t="s">
        <v>10</v>
      </c>
      <c r="B8" s="2" t="s">
        <v>61</v>
      </c>
      <c r="C8" t="s">
        <v>27</v>
      </c>
      <c r="D8" t="s">
        <v>25</v>
      </c>
      <c r="E8" s="2">
        <v>1</v>
      </c>
      <c r="F8" t="s">
        <v>33</v>
      </c>
      <c r="G8">
        <v>8.49</v>
      </c>
      <c r="H8">
        <v>7.99</v>
      </c>
      <c r="I8" s="2" t="str">
        <f>_xlfn.XLOOKUP(F8,DeparaIMG!D:D,DeparaIMG!F:F,,0)</f>
        <v>PCP2.png</v>
      </c>
    </row>
    <row r="9" spans="1:9" x14ac:dyDescent="0.25">
      <c r="A9" s="2" t="s">
        <v>10</v>
      </c>
      <c r="B9" s="2" t="s">
        <v>61</v>
      </c>
      <c r="C9" t="s">
        <v>28</v>
      </c>
      <c r="D9" t="s">
        <v>25</v>
      </c>
      <c r="E9" s="2">
        <v>1</v>
      </c>
      <c r="F9" t="s">
        <v>33</v>
      </c>
      <c r="G9">
        <v>7.49</v>
      </c>
      <c r="H9">
        <v>6.99</v>
      </c>
      <c r="I9" s="2" t="str">
        <f>_xlfn.XLOOKUP(F9,DeparaIMG!D:D,DeparaIMG!F:F,,0)</f>
        <v>PCP2.png</v>
      </c>
    </row>
    <row r="10" spans="1:9" x14ac:dyDescent="0.25">
      <c r="A10" s="2" t="s">
        <v>10</v>
      </c>
      <c r="B10" s="2" t="s">
        <v>61</v>
      </c>
      <c r="C10" t="s">
        <v>29</v>
      </c>
      <c r="D10" t="s">
        <v>25</v>
      </c>
      <c r="E10" s="2">
        <v>1</v>
      </c>
      <c r="F10" t="s">
        <v>33</v>
      </c>
      <c r="G10">
        <v>7.49</v>
      </c>
      <c r="H10">
        <v>6.99</v>
      </c>
      <c r="I10" s="2" t="str">
        <f>_xlfn.XLOOKUP(F10,DeparaIMG!D:D,DeparaIMG!F:F,,0)</f>
        <v>PCP2.png</v>
      </c>
    </row>
    <row r="11" spans="1:9" x14ac:dyDescent="0.25">
      <c r="A11" s="2" t="s">
        <v>10</v>
      </c>
      <c r="B11" s="2" t="s">
        <v>61</v>
      </c>
      <c r="C11" t="s">
        <v>30</v>
      </c>
      <c r="D11" t="s">
        <v>25</v>
      </c>
      <c r="E11" s="2">
        <v>1</v>
      </c>
      <c r="F11" t="s">
        <v>33</v>
      </c>
      <c r="G11">
        <v>8.49</v>
      </c>
      <c r="H11">
        <v>7.99</v>
      </c>
      <c r="I11" s="2" t="str">
        <f>_xlfn.XLOOKUP(F11,DeparaIMG!D:D,DeparaIMG!F:F,,0)</f>
        <v>PCP2.png</v>
      </c>
    </row>
    <row r="12" spans="1:9" x14ac:dyDescent="0.25">
      <c r="A12" s="2" t="s">
        <v>10</v>
      </c>
      <c r="B12" s="2" t="s">
        <v>61</v>
      </c>
      <c r="C12" t="s">
        <v>4</v>
      </c>
      <c r="D12" t="s">
        <v>25</v>
      </c>
      <c r="E12" s="2">
        <v>1</v>
      </c>
      <c r="F12" t="s">
        <v>34</v>
      </c>
      <c r="G12">
        <v>5.49</v>
      </c>
      <c r="H12">
        <v>5.19</v>
      </c>
      <c r="I12" s="2" t="str">
        <f>_xlfn.XLOOKUP(F12,DeparaIMG!D:D,DeparaIMG!F:F,,0)</f>
        <v>BAREP2.png</v>
      </c>
    </row>
    <row r="13" spans="1:9" x14ac:dyDescent="0.25">
      <c r="A13" s="2" t="s">
        <v>10</v>
      </c>
      <c r="B13" s="2" t="s">
        <v>61</v>
      </c>
      <c r="C13" t="s">
        <v>27</v>
      </c>
      <c r="D13" t="s">
        <v>25</v>
      </c>
      <c r="E13" s="2">
        <v>1</v>
      </c>
      <c r="F13" t="s">
        <v>35</v>
      </c>
      <c r="G13">
        <v>5.29</v>
      </c>
      <c r="H13">
        <v>4.99</v>
      </c>
      <c r="I13" s="2" t="str">
        <f>_xlfn.XLOOKUP(F13,DeparaIMG!D:D,DeparaIMG!F:F,,0)</f>
        <v>H2OHP500.png</v>
      </c>
    </row>
    <row r="14" spans="1:9" x14ac:dyDescent="0.25">
      <c r="A14" s="2" t="s">
        <v>10</v>
      </c>
      <c r="B14" s="2" t="s">
        <v>61</v>
      </c>
      <c r="C14" t="s">
        <v>28</v>
      </c>
      <c r="D14" t="s">
        <v>25</v>
      </c>
      <c r="E14" s="2">
        <v>1</v>
      </c>
      <c r="F14" t="s">
        <v>35</v>
      </c>
      <c r="G14">
        <v>5.29</v>
      </c>
      <c r="H14">
        <v>4.99</v>
      </c>
      <c r="I14" s="2" t="str">
        <f>_xlfn.XLOOKUP(F14,DeparaIMG!D:D,DeparaIMG!F:F,,0)</f>
        <v>H2OHP500.png</v>
      </c>
    </row>
    <row r="15" spans="1:9" x14ac:dyDescent="0.25">
      <c r="A15" s="2" t="s">
        <v>10</v>
      </c>
      <c r="B15" s="2" t="s">
        <v>61</v>
      </c>
      <c r="C15" t="s">
        <v>29</v>
      </c>
      <c r="D15" t="s">
        <v>25</v>
      </c>
      <c r="E15" s="2">
        <v>1</v>
      </c>
      <c r="F15" t="s">
        <v>35</v>
      </c>
      <c r="G15">
        <v>5.29</v>
      </c>
      <c r="H15">
        <v>4.99</v>
      </c>
      <c r="I15" s="2" t="str">
        <f>_xlfn.XLOOKUP(F15,DeparaIMG!D:D,DeparaIMG!F:F,,0)</f>
        <v>H2OHP500.png</v>
      </c>
    </row>
    <row r="16" spans="1:9" x14ac:dyDescent="0.25">
      <c r="A16" s="2" t="s">
        <v>10</v>
      </c>
      <c r="B16" s="2" t="s">
        <v>61</v>
      </c>
      <c r="C16" t="s">
        <v>30</v>
      </c>
      <c r="D16" t="s">
        <v>25</v>
      </c>
      <c r="E16" s="2">
        <v>1</v>
      </c>
      <c r="F16" t="s">
        <v>35</v>
      </c>
      <c r="G16">
        <v>5.29</v>
      </c>
      <c r="H16">
        <v>4.99</v>
      </c>
      <c r="I16" s="2" t="str">
        <f>_xlfn.XLOOKUP(F16,DeparaIMG!D:D,DeparaIMG!F:F,,0)</f>
        <v>H2OHP500.png</v>
      </c>
    </row>
    <row r="17" spans="1:9" x14ac:dyDescent="0.25">
      <c r="A17" s="2" t="s">
        <v>10</v>
      </c>
      <c r="B17" s="2" t="s">
        <v>61</v>
      </c>
      <c r="C17" t="s">
        <v>4</v>
      </c>
      <c r="D17" t="s">
        <v>25</v>
      </c>
      <c r="E17" s="2">
        <v>1</v>
      </c>
      <c r="F17" t="s">
        <v>36</v>
      </c>
      <c r="G17">
        <v>6.79</v>
      </c>
      <c r="H17">
        <v>6.29</v>
      </c>
      <c r="I17" s="2" t="str">
        <f>_xlfn.XLOOKUP(F17,DeparaIMG!D:D,DeparaIMG!F:F,,0)</f>
        <v>SUKP2.png</v>
      </c>
    </row>
    <row r="18" spans="1:9" x14ac:dyDescent="0.25">
      <c r="A18" s="2" t="s">
        <v>10</v>
      </c>
      <c r="B18" s="2" t="s">
        <v>61</v>
      </c>
      <c r="C18" t="s">
        <v>27</v>
      </c>
      <c r="D18" t="s">
        <v>25</v>
      </c>
      <c r="E18" s="2">
        <v>1</v>
      </c>
      <c r="F18" t="s">
        <v>36</v>
      </c>
      <c r="G18">
        <v>6.79</v>
      </c>
      <c r="H18">
        <v>6.29</v>
      </c>
      <c r="I18" s="2" t="str">
        <f>_xlfn.XLOOKUP(F18,DeparaIMG!D:D,DeparaIMG!F:F,,0)</f>
        <v>SUKP2.png</v>
      </c>
    </row>
    <row r="19" spans="1:9" x14ac:dyDescent="0.25">
      <c r="A19" s="2" t="s">
        <v>10</v>
      </c>
      <c r="B19" s="2" t="s">
        <v>61</v>
      </c>
      <c r="C19" t="s">
        <v>28</v>
      </c>
      <c r="D19" t="s">
        <v>25</v>
      </c>
      <c r="E19" s="2">
        <v>1</v>
      </c>
      <c r="F19" t="s">
        <v>36</v>
      </c>
      <c r="G19">
        <v>6.79</v>
      </c>
      <c r="H19">
        <v>6.29</v>
      </c>
      <c r="I19" s="2" t="str">
        <f>_xlfn.XLOOKUP(F19,DeparaIMG!D:D,DeparaIMG!F:F,,0)</f>
        <v>SUKP2.png</v>
      </c>
    </row>
    <row r="20" spans="1:9" x14ac:dyDescent="0.25">
      <c r="A20" s="2" t="s">
        <v>10</v>
      </c>
      <c r="B20" s="2" t="s">
        <v>61</v>
      </c>
      <c r="C20" t="s">
        <v>29</v>
      </c>
      <c r="D20" t="s">
        <v>25</v>
      </c>
      <c r="E20" s="2">
        <v>1</v>
      </c>
      <c r="F20" t="s">
        <v>36</v>
      </c>
      <c r="G20">
        <v>6.79</v>
      </c>
      <c r="H20">
        <v>6.29</v>
      </c>
      <c r="I20" s="2" t="str">
        <f>_xlfn.XLOOKUP(F20,DeparaIMG!D:D,DeparaIMG!F:F,,0)</f>
        <v>SUKP2.png</v>
      </c>
    </row>
    <row r="21" spans="1:9" x14ac:dyDescent="0.25">
      <c r="A21" s="2" t="s">
        <v>10</v>
      </c>
      <c r="B21" s="2" t="s">
        <v>61</v>
      </c>
      <c r="C21" t="s">
        <v>30</v>
      </c>
      <c r="D21" t="s">
        <v>25</v>
      </c>
      <c r="E21" s="2">
        <v>1</v>
      </c>
      <c r="F21" t="s">
        <v>36</v>
      </c>
      <c r="G21">
        <v>7.29</v>
      </c>
      <c r="H21">
        <v>6.79</v>
      </c>
      <c r="I21" s="2" t="str">
        <f>_xlfn.XLOOKUP(F21,DeparaIMG!D:D,DeparaIMG!F:F,,0)</f>
        <v>SUKP2.png</v>
      </c>
    </row>
    <row r="22" spans="1:9" x14ac:dyDescent="0.25">
      <c r="A22" s="2" t="s">
        <v>10</v>
      </c>
      <c r="B22" s="2" t="s">
        <v>61</v>
      </c>
      <c r="C22" t="s">
        <v>4</v>
      </c>
      <c r="D22" t="s">
        <v>26</v>
      </c>
      <c r="E22" s="2">
        <v>1</v>
      </c>
      <c r="F22" t="s">
        <v>37</v>
      </c>
      <c r="G22">
        <v>8.99</v>
      </c>
      <c r="H22">
        <v>8.49</v>
      </c>
      <c r="I22" s="2" t="str">
        <f>_xlfn.XLOOKUP(F22,DeparaIMG!D:D,DeparaIMG!F:F,,0)</f>
        <v>GCAP2.png</v>
      </c>
    </row>
    <row r="23" spans="1:9" x14ac:dyDescent="0.25">
      <c r="A23" s="2" t="s">
        <v>10</v>
      </c>
      <c r="B23" s="2" t="s">
        <v>61</v>
      </c>
      <c r="C23" t="s">
        <v>27</v>
      </c>
      <c r="D23" t="s">
        <v>26</v>
      </c>
      <c r="E23" s="2">
        <v>1</v>
      </c>
      <c r="F23" t="s">
        <v>37</v>
      </c>
      <c r="G23">
        <v>8.99</v>
      </c>
      <c r="H23">
        <v>8.49</v>
      </c>
      <c r="I23" s="2" t="str">
        <f>_xlfn.XLOOKUP(F23,DeparaIMG!D:D,DeparaIMG!F:F,,0)</f>
        <v>GCAP2.png</v>
      </c>
    </row>
    <row r="24" spans="1:9" x14ac:dyDescent="0.25">
      <c r="A24" s="2" t="s">
        <v>10</v>
      </c>
      <c r="B24" s="2" t="s">
        <v>61</v>
      </c>
      <c r="C24" t="s">
        <v>28</v>
      </c>
      <c r="D24" t="s">
        <v>26</v>
      </c>
      <c r="E24" s="2">
        <v>1</v>
      </c>
      <c r="F24" t="s">
        <v>37</v>
      </c>
      <c r="G24">
        <v>8.2899999999999991</v>
      </c>
      <c r="H24">
        <v>7.79</v>
      </c>
      <c r="I24" s="2" t="str">
        <f>_xlfn.XLOOKUP(F24,DeparaIMG!D:D,DeparaIMG!F:F,,0)</f>
        <v>GCAP2.png</v>
      </c>
    </row>
    <row r="25" spans="1:9" x14ac:dyDescent="0.25">
      <c r="A25" s="2" t="s">
        <v>10</v>
      </c>
      <c r="B25" s="2" t="s">
        <v>61</v>
      </c>
      <c r="C25" t="s">
        <v>29</v>
      </c>
      <c r="D25" t="s">
        <v>26</v>
      </c>
      <c r="E25" s="2">
        <v>1</v>
      </c>
      <c r="F25" t="s">
        <v>37</v>
      </c>
      <c r="G25">
        <v>8.2899999999999991</v>
      </c>
      <c r="H25">
        <v>7.79</v>
      </c>
      <c r="I25" s="2" t="str">
        <f>_xlfn.XLOOKUP(F25,DeparaIMG!D:D,DeparaIMG!F:F,,0)</f>
        <v>GCAP2.png</v>
      </c>
    </row>
    <row r="26" spans="1:9" x14ac:dyDescent="0.25">
      <c r="A26" s="2" t="s">
        <v>10</v>
      </c>
      <c r="B26" s="2" t="s">
        <v>61</v>
      </c>
      <c r="C26" t="s">
        <v>30</v>
      </c>
      <c r="D26" t="s">
        <v>26</v>
      </c>
      <c r="E26" s="2">
        <v>1</v>
      </c>
      <c r="F26" t="s">
        <v>37</v>
      </c>
      <c r="G26">
        <v>9.49</v>
      </c>
      <c r="H26">
        <v>8.99</v>
      </c>
      <c r="I26" s="2" t="str">
        <f>_xlfn.XLOOKUP(F26,DeparaIMG!D:D,DeparaIMG!F:F,,0)</f>
        <v>GCAP2.png</v>
      </c>
    </row>
    <row r="27" spans="1:9" x14ac:dyDescent="0.25">
      <c r="A27" s="2" t="s">
        <v>10</v>
      </c>
      <c r="B27" s="2" t="s">
        <v>61</v>
      </c>
      <c r="C27" t="s">
        <v>4</v>
      </c>
      <c r="D27" t="s">
        <v>26</v>
      </c>
      <c r="E27" s="2">
        <v>1</v>
      </c>
      <c r="F27" t="s">
        <v>38</v>
      </c>
      <c r="G27">
        <v>3.49</v>
      </c>
      <c r="H27">
        <v>3.19</v>
      </c>
      <c r="I27" s="2" t="str">
        <f>_xlfn.XLOOKUP(F27,DeparaIMG!D:D,DeparaIMG!F:F,,0)</f>
        <v>GCA350.png</v>
      </c>
    </row>
    <row r="28" spans="1:9" x14ac:dyDescent="0.25">
      <c r="A28" s="2" t="s">
        <v>10</v>
      </c>
      <c r="B28" s="2" t="s">
        <v>61</v>
      </c>
      <c r="C28" t="s">
        <v>27</v>
      </c>
      <c r="D28" t="s">
        <v>26</v>
      </c>
      <c r="E28" s="2">
        <v>1</v>
      </c>
      <c r="F28" t="s">
        <v>38</v>
      </c>
      <c r="G28">
        <v>3.49</v>
      </c>
      <c r="H28">
        <v>3.19</v>
      </c>
      <c r="I28" s="2" t="str">
        <f>_xlfn.XLOOKUP(F28,DeparaIMG!D:D,DeparaIMG!F:F,,0)</f>
        <v>GCA350.png</v>
      </c>
    </row>
    <row r="29" spans="1:9" x14ac:dyDescent="0.25">
      <c r="A29" s="2" t="s">
        <v>10</v>
      </c>
      <c r="B29" s="2" t="s">
        <v>61</v>
      </c>
      <c r="C29" t="s">
        <v>28</v>
      </c>
      <c r="D29" t="s">
        <v>26</v>
      </c>
      <c r="E29" s="2">
        <v>1</v>
      </c>
      <c r="F29" t="s">
        <v>38</v>
      </c>
      <c r="G29">
        <v>3.49</v>
      </c>
      <c r="H29">
        <v>3.19</v>
      </c>
      <c r="I29" s="2" t="str">
        <f>_xlfn.XLOOKUP(F29,DeparaIMG!D:D,DeparaIMG!F:F,,0)</f>
        <v>GCA350.png</v>
      </c>
    </row>
    <row r="30" spans="1:9" x14ac:dyDescent="0.25">
      <c r="A30" s="2" t="s">
        <v>10</v>
      </c>
      <c r="B30" s="2" t="s">
        <v>61</v>
      </c>
      <c r="C30" t="s">
        <v>29</v>
      </c>
      <c r="D30" t="s">
        <v>26</v>
      </c>
      <c r="E30" s="2">
        <v>1</v>
      </c>
      <c r="F30" t="s">
        <v>38</v>
      </c>
      <c r="G30">
        <v>3.49</v>
      </c>
      <c r="H30">
        <v>3.19</v>
      </c>
      <c r="I30" s="2" t="str">
        <f>_xlfn.XLOOKUP(F30,DeparaIMG!D:D,DeparaIMG!F:F,,0)</f>
        <v>GCA350.png</v>
      </c>
    </row>
    <row r="31" spans="1:9" x14ac:dyDescent="0.25">
      <c r="A31" s="2" t="s">
        <v>10</v>
      </c>
      <c r="B31" s="2" t="s">
        <v>61</v>
      </c>
      <c r="C31" t="s">
        <v>30</v>
      </c>
      <c r="D31" t="s">
        <v>26</v>
      </c>
      <c r="E31" s="2">
        <v>1</v>
      </c>
      <c r="F31" t="s">
        <v>38</v>
      </c>
      <c r="G31">
        <v>3.49</v>
      </c>
      <c r="H31">
        <v>3.19</v>
      </c>
      <c r="I31" s="2" t="str">
        <f>_xlfn.XLOOKUP(F31,DeparaIMG!D:D,DeparaIMG!F:F,,0)</f>
        <v>GCA350.png</v>
      </c>
    </row>
    <row r="32" spans="1:9" x14ac:dyDescent="0.25">
      <c r="A32" s="2" t="s">
        <v>10</v>
      </c>
      <c r="B32" s="2" t="s">
        <v>61</v>
      </c>
      <c r="C32" t="s">
        <v>4</v>
      </c>
      <c r="D32" t="s">
        <v>26</v>
      </c>
      <c r="E32" s="2">
        <v>1</v>
      </c>
      <c r="F32" t="s">
        <v>34</v>
      </c>
      <c r="G32">
        <v>5.69</v>
      </c>
      <c r="H32">
        <v>5.19</v>
      </c>
      <c r="I32" s="2" t="str">
        <f>_xlfn.XLOOKUP(F32,DeparaIMG!D:D,DeparaIMG!F:F,,0)</f>
        <v>BAREP2.png</v>
      </c>
    </row>
    <row r="33" spans="1:9" x14ac:dyDescent="0.25">
      <c r="A33" s="2" t="s">
        <v>10</v>
      </c>
      <c r="B33" s="2" t="s">
        <v>61</v>
      </c>
      <c r="C33" t="s">
        <v>27</v>
      </c>
      <c r="D33" t="s">
        <v>26</v>
      </c>
      <c r="E33" s="2">
        <v>1</v>
      </c>
      <c r="F33" t="s">
        <v>35</v>
      </c>
      <c r="G33">
        <v>5.49</v>
      </c>
      <c r="H33">
        <v>5.19</v>
      </c>
      <c r="I33" s="2" t="str">
        <f>_xlfn.XLOOKUP(F33,DeparaIMG!D:D,DeparaIMG!F:F,,0)</f>
        <v>H2OHP500.png</v>
      </c>
    </row>
    <row r="34" spans="1:9" x14ac:dyDescent="0.25">
      <c r="A34" s="2" t="s">
        <v>10</v>
      </c>
      <c r="B34" s="2" t="s">
        <v>61</v>
      </c>
      <c r="C34" t="s">
        <v>28</v>
      </c>
      <c r="D34" t="s">
        <v>26</v>
      </c>
      <c r="E34" s="2">
        <v>1</v>
      </c>
      <c r="F34" t="s">
        <v>35</v>
      </c>
      <c r="G34">
        <v>5.49</v>
      </c>
      <c r="H34">
        <v>5.19</v>
      </c>
      <c r="I34" s="2" t="str">
        <f>_xlfn.XLOOKUP(F34,DeparaIMG!D:D,DeparaIMG!F:F,,0)</f>
        <v>H2OHP500.png</v>
      </c>
    </row>
    <row r="35" spans="1:9" x14ac:dyDescent="0.25">
      <c r="A35" s="2" t="s">
        <v>10</v>
      </c>
      <c r="B35" s="2" t="s">
        <v>61</v>
      </c>
      <c r="C35" t="s">
        <v>29</v>
      </c>
      <c r="D35" t="s">
        <v>26</v>
      </c>
      <c r="E35" s="2">
        <v>1</v>
      </c>
      <c r="F35" t="s">
        <v>35</v>
      </c>
      <c r="G35">
        <v>5.49</v>
      </c>
      <c r="H35">
        <v>5.19</v>
      </c>
      <c r="I35" s="2" t="str">
        <f>_xlfn.XLOOKUP(F35,DeparaIMG!D:D,DeparaIMG!F:F,,0)</f>
        <v>H2OHP500.png</v>
      </c>
    </row>
    <row r="36" spans="1:9" x14ac:dyDescent="0.25">
      <c r="A36" s="2" t="s">
        <v>10</v>
      </c>
      <c r="B36" s="2" t="s">
        <v>61</v>
      </c>
      <c r="C36" t="s">
        <v>30</v>
      </c>
      <c r="D36" t="s">
        <v>26</v>
      </c>
      <c r="E36" s="2">
        <v>1</v>
      </c>
      <c r="F36" t="s">
        <v>35</v>
      </c>
      <c r="G36">
        <v>5.49</v>
      </c>
      <c r="H36">
        <v>5.19</v>
      </c>
      <c r="I36" s="2" t="str">
        <f>_xlfn.XLOOKUP(F36,DeparaIMG!D:D,DeparaIMG!F:F,,0)</f>
        <v>H2OHP500.png</v>
      </c>
    </row>
    <row r="37" spans="1:9" x14ac:dyDescent="0.25">
      <c r="A37" s="2" t="s">
        <v>10</v>
      </c>
      <c r="B37" s="2" t="s">
        <v>61</v>
      </c>
      <c r="C37" t="s">
        <v>4</v>
      </c>
      <c r="D37" t="s">
        <v>26</v>
      </c>
      <c r="E37" s="2">
        <v>1</v>
      </c>
      <c r="F37" t="s">
        <v>39</v>
      </c>
      <c r="G37">
        <v>3.39</v>
      </c>
      <c r="H37">
        <v>2.99</v>
      </c>
      <c r="I37" s="2" t="str">
        <f>_xlfn.XLOOKUP(F37,DeparaIMG!D:D,DeparaIMG!F:F,,0)</f>
        <v>PCB350.png</v>
      </c>
    </row>
    <row r="38" spans="1:9" x14ac:dyDescent="0.25">
      <c r="A38" s="2" t="s">
        <v>10</v>
      </c>
      <c r="B38" s="2" t="s">
        <v>61</v>
      </c>
      <c r="C38" t="s">
        <v>27</v>
      </c>
      <c r="D38" t="s">
        <v>26</v>
      </c>
      <c r="E38" s="2">
        <v>1</v>
      </c>
      <c r="F38" t="s">
        <v>39</v>
      </c>
      <c r="G38">
        <v>3.39</v>
      </c>
      <c r="H38">
        <v>2.99</v>
      </c>
      <c r="I38" s="2" t="str">
        <f>_xlfn.XLOOKUP(F38,DeparaIMG!D:D,DeparaIMG!F:F,,0)</f>
        <v>PCB350.png</v>
      </c>
    </row>
    <row r="39" spans="1:9" x14ac:dyDescent="0.25">
      <c r="A39" s="2" t="s">
        <v>10</v>
      </c>
      <c r="B39" s="2" t="s">
        <v>61</v>
      </c>
      <c r="C39" t="s">
        <v>28</v>
      </c>
      <c r="D39" t="s">
        <v>26</v>
      </c>
      <c r="E39" s="2">
        <v>1</v>
      </c>
      <c r="F39" t="s">
        <v>39</v>
      </c>
      <c r="G39">
        <v>3.39</v>
      </c>
      <c r="H39">
        <v>2.99</v>
      </c>
      <c r="I39" s="2" t="str">
        <f>_xlfn.XLOOKUP(F39,DeparaIMG!D:D,DeparaIMG!F:F,,0)</f>
        <v>PCB350.png</v>
      </c>
    </row>
    <row r="40" spans="1:9" x14ac:dyDescent="0.25">
      <c r="A40" s="2" t="s">
        <v>10</v>
      </c>
      <c r="B40" s="2" t="s">
        <v>61</v>
      </c>
      <c r="C40" t="s">
        <v>29</v>
      </c>
      <c r="D40" t="s">
        <v>26</v>
      </c>
      <c r="E40" s="2">
        <v>1</v>
      </c>
      <c r="F40" t="s">
        <v>39</v>
      </c>
      <c r="G40">
        <v>3.39</v>
      </c>
      <c r="H40">
        <v>2.99</v>
      </c>
      <c r="I40" s="2" t="str">
        <f>_xlfn.XLOOKUP(F40,DeparaIMG!D:D,DeparaIMG!F:F,,0)</f>
        <v>PCB350.png</v>
      </c>
    </row>
    <row r="41" spans="1:9" x14ac:dyDescent="0.25">
      <c r="A41" s="2" t="s">
        <v>10</v>
      </c>
      <c r="B41" s="2" t="s">
        <v>61</v>
      </c>
      <c r="C41" t="s">
        <v>30</v>
      </c>
      <c r="D41" t="s">
        <v>26</v>
      </c>
      <c r="E41" s="2">
        <v>1</v>
      </c>
      <c r="F41" t="s">
        <v>39</v>
      </c>
      <c r="G41">
        <v>3.39</v>
      </c>
      <c r="H41">
        <v>2.99</v>
      </c>
      <c r="I41" s="2" t="str">
        <f>_xlfn.XLOOKUP(F41,DeparaIMG!D:D,DeparaIMG!F:F,,0)</f>
        <v>PCB350.png</v>
      </c>
    </row>
    <row r="42" spans="1:9" x14ac:dyDescent="0.25">
      <c r="A42" s="2" t="s">
        <v>10</v>
      </c>
      <c r="B42" s="2" t="s">
        <v>61</v>
      </c>
      <c r="C42" t="s">
        <v>4</v>
      </c>
      <c r="D42" t="s">
        <v>25</v>
      </c>
      <c r="E42" s="2">
        <v>2</v>
      </c>
      <c r="F42" t="s">
        <v>37</v>
      </c>
      <c r="G42">
        <v>8.7899999999999991</v>
      </c>
      <c r="H42">
        <v>8.2899999999999991</v>
      </c>
      <c r="I42" s="2" t="str">
        <f>_xlfn.XLOOKUP(F42,DeparaIMG!D:D,DeparaIMG!F:F,,0)</f>
        <v>GCAP2.png</v>
      </c>
    </row>
    <row r="43" spans="1:9" x14ac:dyDescent="0.25">
      <c r="A43" s="2" t="s">
        <v>10</v>
      </c>
      <c r="B43" s="2" t="s">
        <v>61</v>
      </c>
      <c r="C43" t="s">
        <v>27</v>
      </c>
      <c r="D43" t="s">
        <v>25</v>
      </c>
      <c r="E43" s="2">
        <v>2</v>
      </c>
      <c r="F43" t="s">
        <v>37</v>
      </c>
      <c r="G43">
        <v>8.7899999999999991</v>
      </c>
      <c r="H43">
        <v>8.2899999999999991</v>
      </c>
      <c r="I43" s="2" t="str">
        <f>_xlfn.XLOOKUP(F43,DeparaIMG!D:D,DeparaIMG!F:F,,0)</f>
        <v>GCAP2.png</v>
      </c>
    </row>
    <row r="44" spans="1:9" x14ac:dyDescent="0.25">
      <c r="A44" s="2" t="s">
        <v>10</v>
      </c>
      <c r="B44" s="2" t="s">
        <v>61</v>
      </c>
      <c r="C44" t="s">
        <v>28</v>
      </c>
      <c r="D44" t="s">
        <v>25</v>
      </c>
      <c r="E44" s="2">
        <v>2</v>
      </c>
      <c r="F44" t="s">
        <v>37</v>
      </c>
      <c r="G44">
        <v>7.99</v>
      </c>
      <c r="H44">
        <v>7.49</v>
      </c>
      <c r="I44" s="2" t="str">
        <f>_xlfn.XLOOKUP(F44,DeparaIMG!D:D,DeparaIMG!F:F,,0)</f>
        <v>GCAP2.png</v>
      </c>
    </row>
    <row r="45" spans="1:9" x14ac:dyDescent="0.25">
      <c r="A45" s="2" t="s">
        <v>10</v>
      </c>
      <c r="B45" s="2" t="s">
        <v>61</v>
      </c>
      <c r="C45" t="s">
        <v>29</v>
      </c>
      <c r="D45" t="s">
        <v>25</v>
      </c>
      <c r="E45" s="2">
        <v>2</v>
      </c>
      <c r="F45" t="s">
        <v>37</v>
      </c>
      <c r="G45">
        <v>7.99</v>
      </c>
      <c r="H45">
        <v>7.49</v>
      </c>
      <c r="I45" s="2" t="str">
        <f>_xlfn.XLOOKUP(F45,DeparaIMG!D:D,DeparaIMG!F:F,,0)</f>
        <v>GCAP2.png</v>
      </c>
    </row>
    <row r="46" spans="1:9" x14ac:dyDescent="0.25">
      <c r="A46" s="2" t="s">
        <v>10</v>
      </c>
      <c r="B46" s="2" t="s">
        <v>61</v>
      </c>
      <c r="C46" t="s">
        <v>30</v>
      </c>
      <c r="D46" t="s">
        <v>25</v>
      </c>
      <c r="E46" s="2">
        <v>2</v>
      </c>
      <c r="F46" t="s">
        <v>37</v>
      </c>
      <c r="G46">
        <v>9.2899999999999991</v>
      </c>
      <c r="H46">
        <v>8.7899999999999991</v>
      </c>
      <c r="I46" s="2" t="str">
        <f>_xlfn.XLOOKUP(F46,DeparaIMG!D:D,DeparaIMG!F:F,,0)</f>
        <v>GCAP2.png</v>
      </c>
    </row>
    <row r="47" spans="1:9" x14ac:dyDescent="0.25">
      <c r="A47" s="2" t="s">
        <v>10</v>
      </c>
      <c r="B47" s="2" t="s">
        <v>61</v>
      </c>
      <c r="C47" t="s">
        <v>4</v>
      </c>
      <c r="D47" t="s">
        <v>25</v>
      </c>
      <c r="E47" s="2">
        <v>2</v>
      </c>
      <c r="F47" t="s">
        <v>40</v>
      </c>
      <c r="G47">
        <v>2.39</v>
      </c>
      <c r="H47">
        <v>2.19</v>
      </c>
      <c r="I47" s="2" t="str">
        <f>_xlfn.XLOOKUP(F47,DeparaIMG!D:D,DeparaIMG!F:F,,0)</f>
        <v>GCA269.png</v>
      </c>
    </row>
    <row r="48" spans="1:9" x14ac:dyDescent="0.25">
      <c r="A48" s="2" t="s">
        <v>10</v>
      </c>
      <c r="B48" s="2" t="s">
        <v>61</v>
      </c>
      <c r="C48" t="s">
        <v>27</v>
      </c>
      <c r="D48" t="s">
        <v>25</v>
      </c>
      <c r="E48" s="2">
        <v>2</v>
      </c>
      <c r="F48" t="s">
        <v>40</v>
      </c>
      <c r="G48">
        <v>2.39</v>
      </c>
      <c r="H48">
        <v>2.19</v>
      </c>
      <c r="I48" s="2" t="str">
        <f>_xlfn.XLOOKUP(F48,DeparaIMG!D:D,DeparaIMG!F:F,,0)</f>
        <v>GCA269.png</v>
      </c>
    </row>
    <row r="49" spans="1:9" x14ac:dyDescent="0.25">
      <c r="A49" s="2" t="s">
        <v>10</v>
      </c>
      <c r="B49" s="2" t="s">
        <v>61</v>
      </c>
      <c r="C49" t="s">
        <v>28</v>
      </c>
      <c r="D49" t="s">
        <v>25</v>
      </c>
      <c r="E49" s="2">
        <v>2</v>
      </c>
      <c r="F49" t="s">
        <v>40</v>
      </c>
      <c r="G49">
        <v>2.39</v>
      </c>
      <c r="H49">
        <v>2.19</v>
      </c>
      <c r="I49" s="2" t="str">
        <f>_xlfn.XLOOKUP(F49,DeparaIMG!D:D,DeparaIMG!F:F,,0)</f>
        <v>GCA269.png</v>
      </c>
    </row>
    <row r="50" spans="1:9" x14ac:dyDescent="0.25">
      <c r="A50" s="2" t="s">
        <v>10</v>
      </c>
      <c r="B50" s="2" t="s">
        <v>61</v>
      </c>
      <c r="C50" t="s">
        <v>29</v>
      </c>
      <c r="D50" t="s">
        <v>25</v>
      </c>
      <c r="E50" s="2">
        <v>2</v>
      </c>
      <c r="F50" t="s">
        <v>40</v>
      </c>
      <c r="G50">
        <v>2.39</v>
      </c>
      <c r="H50">
        <v>2.19</v>
      </c>
      <c r="I50" s="2" t="str">
        <f>_xlfn.XLOOKUP(F50,DeparaIMG!D:D,DeparaIMG!F:F,,0)</f>
        <v>GCA269.png</v>
      </c>
    </row>
    <row r="51" spans="1:9" x14ac:dyDescent="0.25">
      <c r="A51" s="2" t="s">
        <v>10</v>
      </c>
      <c r="B51" s="2" t="s">
        <v>61</v>
      </c>
      <c r="C51" t="s">
        <v>30</v>
      </c>
      <c r="D51" t="s">
        <v>25</v>
      </c>
      <c r="E51" s="2">
        <v>2</v>
      </c>
      <c r="F51" t="s">
        <v>40</v>
      </c>
      <c r="G51">
        <v>2.39</v>
      </c>
      <c r="H51">
        <v>2.19</v>
      </c>
      <c r="I51" s="2" t="str">
        <f>_xlfn.XLOOKUP(F51,DeparaIMG!D:D,DeparaIMG!F:F,,0)</f>
        <v>GCA269.png</v>
      </c>
    </row>
    <row r="52" spans="1:9" x14ac:dyDescent="0.25">
      <c r="A52" s="2" t="s">
        <v>10</v>
      </c>
      <c r="B52" s="2" t="s">
        <v>61</v>
      </c>
      <c r="C52" t="s">
        <v>4</v>
      </c>
      <c r="D52" t="s">
        <v>25</v>
      </c>
      <c r="E52" s="2">
        <v>2</v>
      </c>
      <c r="F52" t="s">
        <v>41</v>
      </c>
      <c r="G52">
        <v>2.29</v>
      </c>
      <c r="H52">
        <v>2.09</v>
      </c>
      <c r="I52" s="2" t="str">
        <f>_xlfn.XLOOKUP(F52,DeparaIMG!D:D,DeparaIMG!F:F,,0)</f>
        <v>PC269.png</v>
      </c>
    </row>
    <row r="53" spans="1:9" x14ac:dyDescent="0.25">
      <c r="A53" s="2" t="s">
        <v>10</v>
      </c>
      <c r="B53" s="2" t="s">
        <v>61</v>
      </c>
      <c r="C53" t="s">
        <v>27</v>
      </c>
      <c r="D53" t="s">
        <v>25</v>
      </c>
      <c r="E53" s="2">
        <v>2</v>
      </c>
      <c r="F53" t="s">
        <v>41</v>
      </c>
      <c r="G53">
        <v>2.29</v>
      </c>
      <c r="H53">
        <v>2.09</v>
      </c>
      <c r="I53" s="2" t="str">
        <f>_xlfn.XLOOKUP(F53,DeparaIMG!D:D,DeparaIMG!F:F,,0)</f>
        <v>PC269.png</v>
      </c>
    </row>
    <row r="54" spans="1:9" x14ac:dyDescent="0.25">
      <c r="A54" s="2" t="s">
        <v>10</v>
      </c>
      <c r="B54" s="2" t="s">
        <v>61</v>
      </c>
      <c r="C54" t="s">
        <v>28</v>
      </c>
      <c r="D54" t="s">
        <v>25</v>
      </c>
      <c r="E54" s="2">
        <v>2</v>
      </c>
      <c r="F54" t="s">
        <v>41</v>
      </c>
      <c r="G54">
        <v>2.29</v>
      </c>
      <c r="H54">
        <v>2.09</v>
      </c>
      <c r="I54" s="2" t="str">
        <f>_xlfn.XLOOKUP(F54,DeparaIMG!D:D,DeparaIMG!F:F,,0)</f>
        <v>PC269.png</v>
      </c>
    </row>
    <row r="55" spans="1:9" x14ac:dyDescent="0.25">
      <c r="A55" s="2" t="s">
        <v>10</v>
      </c>
      <c r="B55" s="2" t="s">
        <v>61</v>
      </c>
      <c r="C55" t="s">
        <v>29</v>
      </c>
      <c r="D55" t="s">
        <v>25</v>
      </c>
      <c r="E55" s="2">
        <v>2</v>
      </c>
      <c r="F55" t="s">
        <v>41</v>
      </c>
      <c r="G55">
        <v>2.29</v>
      </c>
      <c r="H55">
        <v>2.09</v>
      </c>
      <c r="I55" s="2" t="str">
        <f>_xlfn.XLOOKUP(F55,DeparaIMG!D:D,DeparaIMG!F:F,,0)</f>
        <v>PC269.png</v>
      </c>
    </row>
    <row r="56" spans="1:9" x14ac:dyDescent="0.25">
      <c r="A56" s="2" t="s">
        <v>10</v>
      </c>
      <c r="B56" s="2" t="s">
        <v>61</v>
      </c>
      <c r="C56" t="s">
        <v>30</v>
      </c>
      <c r="D56" t="s">
        <v>25</v>
      </c>
      <c r="E56" s="2">
        <v>2</v>
      </c>
      <c r="F56" t="s">
        <v>41</v>
      </c>
      <c r="G56">
        <v>2.29</v>
      </c>
      <c r="H56">
        <v>2.09</v>
      </c>
      <c r="I56" s="2" t="str">
        <f>_xlfn.XLOOKUP(F56,DeparaIMG!D:D,DeparaIMG!F:F,,0)</f>
        <v>PC269.png</v>
      </c>
    </row>
    <row r="57" spans="1:9" x14ac:dyDescent="0.25">
      <c r="A57" s="2" t="s">
        <v>10</v>
      </c>
      <c r="B57" s="2" t="s">
        <v>61</v>
      </c>
      <c r="C57" t="s">
        <v>4</v>
      </c>
      <c r="D57" t="s">
        <v>26</v>
      </c>
      <c r="E57" s="2">
        <v>2</v>
      </c>
      <c r="F57" t="s">
        <v>31</v>
      </c>
      <c r="G57">
        <v>5.29</v>
      </c>
      <c r="H57">
        <v>4.99</v>
      </c>
      <c r="I57" s="2" t="str">
        <f>_xlfn.XLOOKUP(F57,DeparaIMG!D:D,DeparaIMG!F:F,,0)</f>
        <v>GCAP1.png</v>
      </c>
    </row>
    <row r="58" spans="1:9" x14ac:dyDescent="0.25">
      <c r="A58" s="2" t="s">
        <v>10</v>
      </c>
      <c r="B58" s="2" t="s">
        <v>61</v>
      </c>
      <c r="C58" t="s">
        <v>27</v>
      </c>
      <c r="D58" t="s">
        <v>26</v>
      </c>
      <c r="E58" s="2">
        <v>2</v>
      </c>
      <c r="F58" t="s">
        <v>32</v>
      </c>
      <c r="G58">
        <v>6.99</v>
      </c>
      <c r="H58">
        <v>6.69</v>
      </c>
      <c r="I58" s="2" t="str">
        <f>_xlfn.XLOOKUP(F58,DeparaIMG!D:D,DeparaIMG!F:F,,0)</f>
        <v>GCAP1,5.png</v>
      </c>
    </row>
    <row r="59" spans="1:9" x14ac:dyDescent="0.25">
      <c r="A59" s="2" t="s">
        <v>10</v>
      </c>
      <c r="B59" s="2" t="s">
        <v>61</v>
      </c>
      <c r="C59" t="s">
        <v>28</v>
      </c>
      <c r="D59" t="s">
        <v>26</v>
      </c>
      <c r="E59" s="2">
        <v>2</v>
      </c>
      <c r="F59" t="s">
        <v>32</v>
      </c>
      <c r="G59">
        <v>6.99</v>
      </c>
      <c r="H59">
        <v>6.69</v>
      </c>
      <c r="I59" s="2" t="str">
        <f>_xlfn.XLOOKUP(F59,DeparaIMG!D:D,DeparaIMG!F:F,,0)</f>
        <v>GCAP1,5.png</v>
      </c>
    </row>
    <row r="60" spans="1:9" x14ac:dyDescent="0.25">
      <c r="A60" s="2" t="s">
        <v>10</v>
      </c>
      <c r="B60" s="2" t="s">
        <v>61</v>
      </c>
      <c r="C60" t="s">
        <v>29</v>
      </c>
      <c r="D60" t="s">
        <v>26</v>
      </c>
      <c r="E60" s="2">
        <v>2</v>
      </c>
      <c r="F60" t="s">
        <v>32</v>
      </c>
      <c r="G60">
        <v>6.99</v>
      </c>
      <c r="H60">
        <v>6.69</v>
      </c>
      <c r="I60" s="2" t="str">
        <f>_xlfn.XLOOKUP(F60,DeparaIMG!D:D,DeparaIMG!F:F,,0)</f>
        <v>GCAP1,5.png</v>
      </c>
    </row>
    <row r="61" spans="1:9" x14ac:dyDescent="0.25">
      <c r="A61" s="2" t="s">
        <v>10</v>
      </c>
      <c r="B61" s="2" t="s">
        <v>61</v>
      </c>
      <c r="C61" t="s">
        <v>30</v>
      </c>
      <c r="D61" t="s">
        <v>26</v>
      </c>
      <c r="E61" s="2">
        <v>2</v>
      </c>
      <c r="F61" t="s">
        <v>32</v>
      </c>
      <c r="G61">
        <v>6.99</v>
      </c>
      <c r="H61">
        <v>6.69</v>
      </c>
      <c r="I61" s="2" t="str">
        <f>_xlfn.XLOOKUP(F61,DeparaIMG!D:D,DeparaIMG!F:F,,0)</f>
        <v>GCAP1,5.png</v>
      </c>
    </row>
    <row r="62" spans="1:9" x14ac:dyDescent="0.25">
      <c r="A62" s="2" t="s">
        <v>10</v>
      </c>
      <c r="B62" s="2" t="s">
        <v>61</v>
      </c>
      <c r="C62" t="s">
        <v>4</v>
      </c>
      <c r="D62" t="s">
        <v>26</v>
      </c>
      <c r="E62" s="2">
        <v>2</v>
      </c>
      <c r="F62" t="s">
        <v>33</v>
      </c>
      <c r="G62">
        <v>7.99</v>
      </c>
      <c r="H62">
        <v>7.49</v>
      </c>
      <c r="I62" s="2" t="str">
        <f>_xlfn.XLOOKUP(F62,DeparaIMG!D:D,DeparaIMG!F:F,,0)</f>
        <v>PCP2.png</v>
      </c>
    </row>
    <row r="63" spans="1:9" x14ac:dyDescent="0.25">
      <c r="A63" s="2" t="s">
        <v>10</v>
      </c>
      <c r="B63" s="2" t="s">
        <v>61</v>
      </c>
      <c r="C63" t="s">
        <v>27</v>
      </c>
      <c r="D63" t="s">
        <v>26</v>
      </c>
      <c r="E63" s="2">
        <v>2</v>
      </c>
      <c r="F63" t="s">
        <v>33</v>
      </c>
      <c r="G63">
        <v>8.49</v>
      </c>
      <c r="H63">
        <v>7.99</v>
      </c>
      <c r="I63" s="2" t="str">
        <f>_xlfn.XLOOKUP(F63,DeparaIMG!D:D,DeparaIMG!F:F,,0)</f>
        <v>PCP2.png</v>
      </c>
    </row>
    <row r="64" spans="1:9" x14ac:dyDescent="0.25">
      <c r="A64" s="2" t="s">
        <v>10</v>
      </c>
      <c r="B64" s="2" t="s">
        <v>61</v>
      </c>
      <c r="C64" t="s">
        <v>28</v>
      </c>
      <c r="D64" t="s">
        <v>26</v>
      </c>
      <c r="E64" s="2">
        <v>2</v>
      </c>
      <c r="F64" t="s">
        <v>33</v>
      </c>
      <c r="G64">
        <v>7.69</v>
      </c>
      <c r="H64">
        <v>7.19</v>
      </c>
      <c r="I64" s="2" t="str">
        <f>_xlfn.XLOOKUP(F64,DeparaIMG!D:D,DeparaIMG!F:F,,0)</f>
        <v>PCP2.png</v>
      </c>
    </row>
    <row r="65" spans="1:9" x14ac:dyDescent="0.25">
      <c r="A65" s="2" t="s">
        <v>10</v>
      </c>
      <c r="B65" s="2" t="s">
        <v>61</v>
      </c>
      <c r="C65" t="s">
        <v>29</v>
      </c>
      <c r="D65" t="s">
        <v>26</v>
      </c>
      <c r="E65" s="2">
        <v>2</v>
      </c>
      <c r="F65" t="s">
        <v>33</v>
      </c>
      <c r="G65">
        <v>7.69</v>
      </c>
      <c r="H65">
        <v>7.19</v>
      </c>
      <c r="I65" s="2" t="str">
        <f>_xlfn.XLOOKUP(F65,DeparaIMG!D:D,DeparaIMG!F:F,,0)</f>
        <v>PCP2.png</v>
      </c>
    </row>
    <row r="66" spans="1:9" x14ac:dyDescent="0.25">
      <c r="A66" s="2" t="s">
        <v>10</v>
      </c>
      <c r="B66" s="2" t="s">
        <v>61</v>
      </c>
      <c r="C66" t="s">
        <v>30</v>
      </c>
      <c r="D66" t="s">
        <v>26</v>
      </c>
      <c r="E66" s="2">
        <v>2</v>
      </c>
      <c r="F66" t="s">
        <v>33</v>
      </c>
      <c r="G66">
        <v>8.49</v>
      </c>
      <c r="H66">
        <v>7.99</v>
      </c>
      <c r="I66" s="2" t="str">
        <f>_xlfn.XLOOKUP(F66,DeparaIMG!D:D,DeparaIMG!F:F,,0)</f>
        <v>PCP2.png</v>
      </c>
    </row>
    <row r="67" spans="1:9" x14ac:dyDescent="0.25">
      <c r="A67" s="2" t="s">
        <v>10</v>
      </c>
      <c r="B67" s="2" t="s">
        <v>61</v>
      </c>
      <c r="C67" t="s">
        <v>27</v>
      </c>
      <c r="D67" t="s">
        <v>26</v>
      </c>
      <c r="E67" s="2">
        <v>2</v>
      </c>
      <c r="F67" t="s">
        <v>42</v>
      </c>
      <c r="G67">
        <v>8.49</v>
      </c>
      <c r="H67">
        <v>7.99</v>
      </c>
      <c r="I67" s="2" t="str">
        <f>_xlfn.XLOOKUP(F67,DeparaIMG!D:D,DeparaIMG!F:F,,0)</f>
        <v>H2OHP1,5.png</v>
      </c>
    </row>
    <row r="68" spans="1:9" x14ac:dyDescent="0.25">
      <c r="A68" s="2" t="s">
        <v>10</v>
      </c>
      <c r="B68" s="2" t="s">
        <v>61</v>
      </c>
      <c r="C68" t="s">
        <v>28</v>
      </c>
      <c r="D68" t="s">
        <v>26</v>
      </c>
      <c r="E68" s="2">
        <v>2</v>
      </c>
      <c r="F68" t="s">
        <v>42</v>
      </c>
      <c r="G68">
        <v>7.99</v>
      </c>
      <c r="H68">
        <v>7.49</v>
      </c>
      <c r="I68" s="2" t="str">
        <f>_xlfn.XLOOKUP(F68,DeparaIMG!D:D,DeparaIMG!F:F,,0)</f>
        <v>H2OHP1,5.png</v>
      </c>
    </row>
    <row r="69" spans="1:9" x14ac:dyDescent="0.25">
      <c r="A69" s="2" t="s">
        <v>10</v>
      </c>
      <c r="B69" s="2" t="s">
        <v>61</v>
      </c>
      <c r="C69" t="s">
        <v>29</v>
      </c>
      <c r="D69" t="s">
        <v>26</v>
      </c>
      <c r="E69" s="2">
        <v>2</v>
      </c>
      <c r="F69" t="s">
        <v>42</v>
      </c>
      <c r="G69">
        <v>7.99</v>
      </c>
      <c r="H69">
        <v>7.49</v>
      </c>
      <c r="I69" s="2" t="str">
        <f>_xlfn.XLOOKUP(F69,DeparaIMG!D:D,DeparaIMG!F:F,,0)</f>
        <v>H2OHP1,5.png</v>
      </c>
    </row>
    <row r="70" spans="1:9" x14ac:dyDescent="0.25">
      <c r="A70" s="2" t="s">
        <v>10</v>
      </c>
      <c r="B70" s="2" t="s">
        <v>61</v>
      </c>
      <c r="C70" t="s">
        <v>30</v>
      </c>
      <c r="D70" t="s">
        <v>26</v>
      </c>
      <c r="E70" s="2">
        <v>2</v>
      </c>
      <c r="F70" t="s">
        <v>42</v>
      </c>
      <c r="G70">
        <v>8.49</v>
      </c>
      <c r="H70">
        <v>7.99</v>
      </c>
      <c r="I70" s="2" t="str">
        <f>_xlfn.XLOOKUP(F70,DeparaIMG!D:D,DeparaIMG!F:F,,0)</f>
        <v>H2OHP1,5.png</v>
      </c>
    </row>
    <row r="71" spans="1:9" x14ac:dyDescent="0.25">
      <c r="A71" s="2" t="s">
        <v>10</v>
      </c>
      <c r="B71" s="2" t="s">
        <v>61</v>
      </c>
      <c r="C71" t="s">
        <v>4</v>
      </c>
      <c r="D71" t="s">
        <v>26</v>
      </c>
      <c r="E71" s="2">
        <v>2</v>
      </c>
      <c r="F71" t="s">
        <v>36</v>
      </c>
      <c r="G71">
        <v>6.99</v>
      </c>
      <c r="H71">
        <v>6.49</v>
      </c>
      <c r="I71" s="2" t="str">
        <f>_xlfn.XLOOKUP(F71,DeparaIMG!D:D,DeparaIMG!F:F,,0)</f>
        <v>SUKP2.png</v>
      </c>
    </row>
    <row r="72" spans="1:9" x14ac:dyDescent="0.25">
      <c r="A72" s="2" t="s">
        <v>10</v>
      </c>
      <c r="B72" s="2" t="s">
        <v>61</v>
      </c>
      <c r="C72" t="s">
        <v>27</v>
      </c>
      <c r="D72" t="s">
        <v>26</v>
      </c>
      <c r="E72" s="2">
        <v>2</v>
      </c>
      <c r="F72" t="s">
        <v>36</v>
      </c>
      <c r="G72">
        <v>6.99</v>
      </c>
      <c r="H72">
        <v>6.49</v>
      </c>
      <c r="I72" s="2" t="str">
        <f>_xlfn.XLOOKUP(F72,DeparaIMG!D:D,DeparaIMG!F:F,,0)</f>
        <v>SUKP2.png</v>
      </c>
    </row>
    <row r="73" spans="1:9" x14ac:dyDescent="0.25">
      <c r="A73" s="2" t="s">
        <v>10</v>
      </c>
      <c r="B73" s="2" t="s">
        <v>61</v>
      </c>
      <c r="C73" t="s">
        <v>28</v>
      </c>
      <c r="D73" t="s">
        <v>26</v>
      </c>
      <c r="E73" s="2">
        <v>2</v>
      </c>
      <c r="F73" t="s">
        <v>36</v>
      </c>
      <c r="G73">
        <v>6.99</v>
      </c>
      <c r="H73">
        <v>6.49</v>
      </c>
      <c r="I73" s="2" t="str">
        <f>_xlfn.XLOOKUP(F73,DeparaIMG!D:D,DeparaIMG!F:F,,0)</f>
        <v>SUKP2.png</v>
      </c>
    </row>
    <row r="74" spans="1:9" x14ac:dyDescent="0.25">
      <c r="A74" s="2" t="s">
        <v>10</v>
      </c>
      <c r="B74" s="2" t="s">
        <v>61</v>
      </c>
      <c r="C74" t="s">
        <v>29</v>
      </c>
      <c r="D74" t="s">
        <v>26</v>
      </c>
      <c r="E74" s="2">
        <v>2</v>
      </c>
      <c r="F74" t="s">
        <v>36</v>
      </c>
      <c r="G74">
        <v>6.99</v>
      </c>
      <c r="H74">
        <v>6.49</v>
      </c>
      <c r="I74" s="2" t="str">
        <f>_xlfn.XLOOKUP(F74,DeparaIMG!D:D,DeparaIMG!F:F,,0)</f>
        <v>SUKP2.png</v>
      </c>
    </row>
    <row r="75" spans="1:9" x14ac:dyDescent="0.25">
      <c r="A75" s="2" t="s">
        <v>10</v>
      </c>
      <c r="B75" s="2" t="s">
        <v>61</v>
      </c>
      <c r="C75" t="s">
        <v>30</v>
      </c>
      <c r="D75" t="s">
        <v>26</v>
      </c>
      <c r="E75" s="2">
        <v>2</v>
      </c>
      <c r="F75" t="s">
        <v>36</v>
      </c>
      <c r="G75">
        <v>7.49</v>
      </c>
      <c r="H75">
        <v>6.99</v>
      </c>
      <c r="I75" s="2" t="str">
        <f>_xlfn.XLOOKUP(F75,DeparaIMG!D:D,DeparaIMG!F:F,,0)</f>
        <v>SUKP2.png</v>
      </c>
    </row>
    <row r="76" spans="1:9" x14ac:dyDescent="0.25">
      <c r="A76" s="2" t="s">
        <v>10</v>
      </c>
      <c r="B76" s="2" t="s">
        <v>62</v>
      </c>
      <c r="C76" t="s">
        <v>87</v>
      </c>
      <c r="D76" t="s">
        <v>25</v>
      </c>
      <c r="E76" s="2">
        <v>2</v>
      </c>
      <c r="F76" t="s">
        <v>66</v>
      </c>
      <c r="G76">
        <v>3.09</v>
      </c>
      <c r="H76">
        <v>2.89</v>
      </c>
      <c r="I76" s="2" t="str">
        <f>_xlfn.XLOOKUP(F76,DeparaIMG!D:D,DeparaIMG!F:F,,0)</f>
        <v>SK269.png</v>
      </c>
    </row>
    <row r="77" spans="1:9" x14ac:dyDescent="0.25">
      <c r="A77" s="2" t="s">
        <v>10</v>
      </c>
      <c r="B77" s="2" t="s">
        <v>62</v>
      </c>
      <c r="C77" t="s">
        <v>87</v>
      </c>
      <c r="D77" t="s">
        <v>26</v>
      </c>
      <c r="E77" s="2">
        <v>2</v>
      </c>
      <c r="F77" t="s">
        <v>66</v>
      </c>
      <c r="G77">
        <v>3.09</v>
      </c>
      <c r="H77">
        <v>2.89</v>
      </c>
      <c r="I77" s="2" t="str">
        <f>_xlfn.XLOOKUP(F77,DeparaIMG!D:D,DeparaIMG!F:F,,0)</f>
        <v>SK269.png</v>
      </c>
    </row>
    <row r="78" spans="1:9" x14ac:dyDescent="0.25">
      <c r="A78" s="2" t="s">
        <v>10</v>
      </c>
      <c r="B78" s="2" t="s">
        <v>62</v>
      </c>
      <c r="C78" t="s">
        <v>113</v>
      </c>
      <c r="D78" t="s">
        <v>26</v>
      </c>
      <c r="E78" s="2">
        <v>2</v>
      </c>
      <c r="F78" t="s">
        <v>63</v>
      </c>
      <c r="G78">
        <v>3.19</v>
      </c>
      <c r="H78">
        <v>2.99</v>
      </c>
      <c r="I78" s="2" t="str">
        <f>_xlfn.XLOOKUP(F78,DeparaIMG!D:D,DeparaIMG!F:F,,0)</f>
        <v>SKZERO269.png</v>
      </c>
    </row>
    <row r="79" spans="1:9" x14ac:dyDescent="0.25">
      <c r="A79" s="2" t="s">
        <v>10</v>
      </c>
      <c r="B79" s="2" t="s">
        <v>62</v>
      </c>
      <c r="C79" t="s">
        <v>113</v>
      </c>
      <c r="D79" t="s">
        <v>25</v>
      </c>
      <c r="E79" s="2">
        <v>2</v>
      </c>
      <c r="F79" t="s">
        <v>63</v>
      </c>
      <c r="G79">
        <v>3.19</v>
      </c>
      <c r="H79">
        <v>2.99</v>
      </c>
      <c r="I79" s="2" t="str">
        <f>_xlfn.XLOOKUP(F79,DeparaIMG!D:D,DeparaIMG!F:F,,0)</f>
        <v>SKZERO269.png</v>
      </c>
    </row>
    <row r="80" spans="1:9" x14ac:dyDescent="0.25">
      <c r="A80" s="2" t="s">
        <v>10</v>
      </c>
      <c r="B80" s="2" t="s">
        <v>62</v>
      </c>
      <c r="C80" t="s">
        <v>112</v>
      </c>
      <c r="D80" t="s">
        <v>25</v>
      </c>
      <c r="E80" s="2">
        <v>2</v>
      </c>
      <c r="F80" t="s">
        <v>67</v>
      </c>
      <c r="G80">
        <v>3.19</v>
      </c>
      <c r="H80">
        <v>2.99</v>
      </c>
      <c r="I80" s="2" t="str">
        <f>_xlfn.XLOOKUP(F80,DeparaIMG!D:D,DeparaIMG!F:F,,0)</f>
        <v>AP269.png</v>
      </c>
    </row>
    <row r="81" spans="1:9" x14ac:dyDescent="0.25">
      <c r="A81" s="2" t="s">
        <v>10</v>
      </c>
      <c r="B81" s="2" t="s">
        <v>62</v>
      </c>
      <c r="C81" t="s">
        <v>29</v>
      </c>
      <c r="D81" t="s">
        <v>25</v>
      </c>
      <c r="E81" s="2">
        <v>2</v>
      </c>
      <c r="F81" t="s">
        <v>67</v>
      </c>
      <c r="G81">
        <v>3.19</v>
      </c>
      <c r="H81">
        <v>2.99</v>
      </c>
      <c r="I81" s="2" t="str">
        <f>_xlfn.XLOOKUP(F81,DeparaIMG!D:D,DeparaIMG!F:F,,0)</f>
        <v>AP269.png</v>
      </c>
    </row>
    <row r="82" spans="1:9" x14ac:dyDescent="0.25">
      <c r="A82" s="2" t="s">
        <v>10</v>
      </c>
      <c r="B82" s="2" t="s">
        <v>62</v>
      </c>
      <c r="C82" t="s">
        <v>87</v>
      </c>
      <c r="D82" t="s">
        <v>26</v>
      </c>
      <c r="E82" s="2">
        <v>2</v>
      </c>
      <c r="F82" t="s">
        <v>63</v>
      </c>
      <c r="G82">
        <v>3.19</v>
      </c>
      <c r="H82">
        <v>2.99</v>
      </c>
      <c r="I82" s="2" t="str">
        <f>_xlfn.XLOOKUP(F82,DeparaIMG!D:D,DeparaIMG!F:F,,0)</f>
        <v>SKZERO269.png</v>
      </c>
    </row>
    <row r="83" spans="1:9" x14ac:dyDescent="0.25">
      <c r="A83" s="2" t="s">
        <v>10</v>
      </c>
      <c r="B83" s="2" t="s">
        <v>62</v>
      </c>
      <c r="C83" t="s">
        <v>87</v>
      </c>
      <c r="D83" t="s">
        <v>25</v>
      </c>
      <c r="E83" s="2">
        <v>2</v>
      </c>
      <c r="F83" t="s">
        <v>63</v>
      </c>
      <c r="G83">
        <v>3.19</v>
      </c>
      <c r="H83">
        <v>2.99</v>
      </c>
      <c r="I83" s="2" t="str">
        <f>_xlfn.XLOOKUP(F83,DeparaIMG!D:D,DeparaIMG!F:F,,0)</f>
        <v>SKZERO269.png</v>
      </c>
    </row>
    <row r="84" spans="1:9" x14ac:dyDescent="0.25">
      <c r="A84" s="2" t="s">
        <v>10</v>
      </c>
      <c r="B84" s="2" t="s">
        <v>62</v>
      </c>
      <c r="C84" t="s">
        <v>88</v>
      </c>
      <c r="D84" t="s">
        <v>26</v>
      </c>
      <c r="E84" s="2">
        <v>2</v>
      </c>
      <c r="F84" t="s">
        <v>63</v>
      </c>
      <c r="G84">
        <v>3.19</v>
      </c>
      <c r="H84">
        <v>2.99</v>
      </c>
      <c r="I84" s="2" t="str">
        <f>_xlfn.XLOOKUP(F84,DeparaIMG!D:D,DeparaIMG!F:F,,0)</f>
        <v>SKZERO269.png</v>
      </c>
    </row>
    <row r="85" spans="1:9" x14ac:dyDescent="0.25">
      <c r="A85" s="2" t="s">
        <v>10</v>
      </c>
      <c r="B85" s="2" t="s">
        <v>62</v>
      </c>
      <c r="C85" t="s">
        <v>88</v>
      </c>
      <c r="D85" t="s">
        <v>25</v>
      </c>
      <c r="E85" s="2">
        <v>2</v>
      </c>
      <c r="F85" t="s">
        <v>63</v>
      </c>
      <c r="G85">
        <v>3.19</v>
      </c>
      <c r="H85">
        <v>2.99</v>
      </c>
      <c r="I85" s="2" t="str">
        <f>_xlfn.XLOOKUP(F85,DeparaIMG!D:D,DeparaIMG!F:F,,0)</f>
        <v>SKZERO269.png</v>
      </c>
    </row>
    <row r="86" spans="1:9" x14ac:dyDescent="0.25">
      <c r="A86" s="2" t="s">
        <v>10</v>
      </c>
      <c r="B86" s="2" t="s">
        <v>62</v>
      </c>
      <c r="C86" t="s">
        <v>89</v>
      </c>
      <c r="D86" t="s">
        <v>26</v>
      </c>
      <c r="E86" s="2">
        <v>2</v>
      </c>
      <c r="F86" t="s">
        <v>63</v>
      </c>
      <c r="G86">
        <v>3.19</v>
      </c>
      <c r="H86">
        <v>3.09</v>
      </c>
      <c r="I86" s="2" t="str">
        <f>_xlfn.XLOOKUP(F86,DeparaIMG!D:D,DeparaIMG!F:F,,0)</f>
        <v>SKZERO269.png</v>
      </c>
    </row>
    <row r="87" spans="1:9" x14ac:dyDescent="0.25">
      <c r="A87" s="2" t="s">
        <v>10</v>
      </c>
      <c r="B87" s="2" t="s">
        <v>62</v>
      </c>
      <c r="C87" t="s">
        <v>89</v>
      </c>
      <c r="D87" t="s">
        <v>25</v>
      </c>
      <c r="E87" s="2">
        <v>2</v>
      </c>
      <c r="F87" t="s">
        <v>63</v>
      </c>
      <c r="G87">
        <v>3.19</v>
      </c>
      <c r="H87">
        <v>3.09</v>
      </c>
      <c r="I87" s="2" t="str">
        <f>_xlfn.XLOOKUP(F87,DeparaIMG!D:D,DeparaIMG!F:F,,0)</f>
        <v>SKZERO269.png</v>
      </c>
    </row>
    <row r="88" spans="1:9" x14ac:dyDescent="0.25">
      <c r="A88" s="2" t="s">
        <v>10</v>
      </c>
      <c r="B88" s="2" t="s">
        <v>62</v>
      </c>
      <c r="C88" t="s">
        <v>90</v>
      </c>
      <c r="D88" t="s">
        <v>26</v>
      </c>
      <c r="E88" s="2">
        <v>2</v>
      </c>
      <c r="F88" t="s">
        <v>63</v>
      </c>
      <c r="G88">
        <v>3.19</v>
      </c>
      <c r="H88">
        <v>2.99</v>
      </c>
      <c r="I88" s="2" t="str">
        <f>_xlfn.XLOOKUP(F88,DeparaIMG!D:D,DeparaIMG!F:F,,0)</f>
        <v>SKZERO269.png</v>
      </c>
    </row>
    <row r="89" spans="1:9" x14ac:dyDescent="0.25">
      <c r="A89" s="2" t="s">
        <v>10</v>
      </c>
      <c r="B89" s="2" t="s">
        <v>62</v>
      </c>
      <c r="C89" t="s">
        <v>90</v>
      </c>
      <c r="D89" t="s">
        <v>25</v>
      </c>
      <c r="E89" s="2">
        <v>2</v>
      </c>
      <c r="F89" t="s">
        <v>63</v>
      </c>
      <c r="G89">
        <v>3.19</v>
      </c>
      <c r="H89">
        <v>2.99</v>
      </c>
      <c r="I89" s="2" t="str">
        <f>_xlfn.XLOOKUP(F89,DeparaIMG!D:D,DeparaIMG!F:F,,0)</f>
        <v>SKZERO269.png</v>
      </c>
    </row>
    <row r="90" spans="1:9" x14ac:dyDescent="0.25">
      <c r="A90" s="2" t="s">
        <v>10</v>
      </c>
      <c r="B90" s="2" t="s">
        <v>62</v>
      </c>
      <c r="C90" t="s">
        <v>112</v>
      </c>
      <c r="D90" t="s">
        <v>26</v>
      </c>
      <c r="E90" s="2">
        <v>2</v>
      </c>
      <c r="F90" t="s">
        <v>63</v>
      </c>
      <c r="G90">
        <v>3.19</v>
      </c>
      <c r="H90">
        <v>2.99</v>
      </c>
      <c r="I90" s="2" t="str">
        <f>_xlfn.XLOOKUP(F90,DeparaIMG!D:D,DeparaIMG!F:F,,0)</f>
        <v>SKZERO269.png</v>
      </c>
    </row>
    <row r="91" spans="1:9" x14ac:dyDescent="0.25">
      <c r="A91" s="2" t="s">
        <v>10</v>
      </c>
      <c r="B91" s="2" t="s">
        <v>62</v>
      </c>
      <c r="C91" t="s">
        <v>112</v>
      </c>
      <c r="D91" t="s">
        <v>25</v>
      </c>
      <c r="E91" s="2">
        <v>2</v>
      </c>
      <c r="F91" t="s">
        <v>63</v>
      </c>
      <c r="G91">
        <v>3.19</v>
      </c>
      <c r="H91">
        <v>2.99</v>
      </c>
      <c r="I91" s="2" t="str">
        <f>_xlfn.XLOOKUP(F91,DeparaIMG!D:D,DeparaIMG!F:F,,0)</f>
        <v>SKZERO269.png</v>
      </c>
    </row>
    <row r="92" spans="1:9" x14ac:dyDescent="0.25">
      <c r="A92" s="2" t="s">
        <v>10</v>
      </c>
      <c r="B92" s="2" t="s">
        <v>62</v>
      </c>
      <c r="C92" t="s">
        <v>29</v>
      </c>
      <c r="D92" t="s">
        <v>26</v>
      </c>
      <c r="E92" s="2">
        <v>2</v>
      </c>
      <c r="F92" t="s">
        <v>63</v>
      </c>
      <c r="G92">
        <v>3.19</v>
      </c>
      <c r="H92">
        <v>2.99</v>
      </c>
      <c r="I92" s="2" t="str">
        <f>_xlfn.XLOOKUP(F92,DeparaIMG!D:D,DeparaIMG!F:F,,0)</f>
        <v>SKZERO269.png</v>
      </c>
    </row>
    <row r="93" spans="1:9" x14ac:dyDescent="0.25">
      <c r="A93" s="2" t="s">
        <v>10</v>
      </c>
      <c r="B93" s="2" t="s">
        <v>62</v>
      </c>
      <c r="C93" t="s">
        <v>29</v>
      </c>
      <c r="D93" t="s">
        <v>25</v>
      </c>
      <c r="E93" s="2">
        <v>2</v>
      </c>
      <c r="F93" t="s">
        <v>63</v>
      </c>
      <c r="G93">
        <v>3.19</v>
      </c>
      <c r="H93">
        <v>2.99</v>
      </c>
      <c r="I93" s="2" t="str">
        <f>_xlfn.XLOOKUP(F93,DeparaIMG!D:D,DeparaIMG!F:F,,0)</f>
        <v>SKZERO269.png</v>
      </c>
    </row>
    <row r="94" spans="1:9" x14ac:dyDescent="0.25">
      <c r="A94" s="2" t="s">
        <v>10</v>
      </c>
      <c r="B94" s="2" t="s">
        <v>62</v>
      </c>
      <c r="C94" t="s">
        <v>29</v>
      </c>
      <c r="D94" t="s">
        <v>25</v>
      </c>
      <c r="E94" s="2">
        <v>1</v>
      </c>
      <c r="F94" t="s">
        <v>68</v>
      </c>
      <c r="G94">
        <v>3.19</v>
      </c>
      <c r="H94">
        <v>2.99</v>
      </c>
      <c r="I94" s="2" t="str">
        <f>_xlfn.XLOOKUP(F94,DeparaIMG!D:D,DeparaIMG!F:F,,0)</f>
        <v>BC269.png</v>
      </c>
    </row>
    <row r="95" spans="1:9" x14ac:dyDescent="0.25">
      <c r="A95" s="2" t="s">
        <v>10</v>
      </c>
      <c r="B95" s="2" t="s">
        <v>62</v>
      </c>
      <c r="C95" t="s">
        <v>112</v>
      </c>
      <c r="D95" t="s">
        <v>25</v>
      </c>
      <c r="E95" s="2">
        <v>1</v>
      </c>
      <c r="F95" t="s">
        <v>68</v>
      </c>
      <c r="G95">
        <v>3.19</v>
      </c>
      <c r="H95">
        <v>2.99</v>
      </c>
      <c r="I95" s="2" t="str">
        <f>_xlfn.XLOOKUP(F95,DeparaIMG!D:D,DeparaIMG!F:F,,0)</f>
        <v>BC269.png</v>
      </c>
    </row>
    <row r="96" spans="1:9" x14ac:dyDescent="0.25">
      <c r="A96" s="2" t="s">
        <v>10</v>
      </c>
      <c r="B96" s="2" t="s">
        <v>62</v>
      </c>
      <c r="C96" t="s">
        <v>112</v>
      </c>
      <c r="D96" t="s">
        <v>26</v>
      </c>
      <c r="E96" s="2">
        <v>1</v>
      </c>
      <c r="F96" t="s">
        <v>68</v>
      </c>
      <c r="G96">
        <v>3.19</v>
      </c>
      <c r="H96">
        <v>2.99</v>
      </c>
      <c r="I96" s="2" t="str">
        <f>_xlfn.XLOOKUP(F96,DeparaIMG!D:D,DeparaIMG!F:F,,0)</f>
        <v>BC269.png</v>
      </c>
    </row>
    <row r="97" spans="1:9" x14ac:dyDescent="0.25">
      <c r="A97" s="2" t="s">
        <v>10</v>
      </c>
      <c r="B97" s="2" t="s">
        <v>62</v>
      </c>
      <c r="C97" t="s">
        <v>87</v>
      </c>
      <c r="D97" t="s">
        <v>25</v>
      </c>
      <c r="E97" s="2">
        <v>1</v>
      </c>
      <c r="F97" t="s">
        <v>68</v>
      </c>
      <c r="G97">
        <v>3.19</v>
      </c>
      <c r="H97">
        <v>2.99</v>
      </c>
      <c r="I97" s="2" t="str">
        <f>_xlfn.XLOOKUP(F97,DeparaIMG!D:D,DeparaIMG!F:F,,0)</f>
        <v>BC269.png</v>
      </c>
    </row>
    <row r="98" spans="1:9" x14ac:dyDescent="0.25">
      <c r="A98" s="2" t="s">
        <v>10</v>
      </c>
      <c r="B98" s="2" t="s">
        <v>62</v>
      </c>
      <c r="C98" t="s">
        <v>87</v>
      </c>
      <c r="D98" t="s">
        <v>26</v>
      </c>
      <c r="E98" s="2">
        <v>1</v>
      </c>
      <c r="F98" t="s">
        <v>68</v>
      </c>
      <c r="G98">
        <v>3.19</v>
      </c>
      <c r="H98">
        <v>2.99</v>
      </c>
      <c r="I98" s="2" t="str">
        <f>_xlfn.XLOOKUP(F98,DeparaIMG!D:D,DeparaIMG!F:F,,0)</f>
        <v>BC269.png</v>
      </c>
    </row>
    <row r="99" spans="1:9" x14ac:dyDescent="0.25">
      <c r="A99" s="2" t="s">
        <v>10</v>
      </c>
      <c r="B99" s="2" t="s">
        <v>62</v>
      </c>
      <c r="C99" t="s">
        <v>113</v>
      </c>
      <c r="D99" t="s">
        <v>25</v>
      </c>
      <c r="E99" s="2">
        <v>1</v>
      </c>
      <c r="F99" t="s">
        <v>68</v>
      </c>
      <c r="G99">
        <v>3.19</v>
      </c>
      <c r="H99">
        <v>2.99</v>
      </c>
      <c r="I99" s="2" t="str">
        <f>_xlfn.XLOOKUP(F99,DeparaIMG!D:D,DeparaIMG!F:F,,0)</f>
        <v>BC269.png</v>
      </c>
    </row>
    <row r="100" spans="1:9" x14ac:dyDescent="0.25">
      <c r="A100" s="2" t="s">
        <v>10</v>
      </c>
      <c r="B100" s="2" t="s">
        <v>62</v>
      </c>
      <c r="C100" t="s">
        <v>113</v>
      </c>
      <c r="D100" t="s">
        <v>25</v>
      </c>
      <c r="E100" s="2">
        <v>2</v>
      </c>
      <c r="F100" t="s">
        <v>66</v>
      </c>
      <c r="G100">
        <v>3.29</v>
      </c>
      <c r="H100">
        <v>3.09</v>
      </c>
      <c r="I100" s="2" t="str">
        <f>_xlfn.XLOOKUP(F100,DeparaIMG!D:D,DeparaIMG!F:F,,0)</f>
        <v>SK269.png</v>
      </c>
    </row>
    <row r="101" spans="1:9" x14ac:dyDescent="0.25">
      <c r="A101" s="2" t="s">
        <v>10</v>
      </c>
      <c r="B101" s="2" t="s">
        <v>62</v>
      </c>
      <c r="C101" t="s">
        <v>113</v>
      </c>
      <c r="D101" t="s">
        <v>26</v>
      </c>
      <c r="E101" s="2">
        <v>2</v>
      </c>
      <c r="F101" t="s">
        <v>66</v>
      </c>
      <c r="G101">
        <v>3.29</v>
      </c>
      <c r="H101">
        <v>3.09</v>
      </c>
      <c r="I101" s="2" t="str">
        <f>_xlfn.XLOOKUP(F101,DeparaIMG!D:D,DeparaIMG!F:F,,0)</f>
        <v>SK269.png</v>
      </c>
    </row>
    <row r="102" spans="1:9" x14ac:dyDescent="0.25">
      <c r="A102" s="2" t="s">
        <v>10</v>
      </c>
      <c r="B102" s="2" t="s">
        <v>62</v>
      </c>
      <c r="C102" t="s">
        <v>88</v>
      </c>
      <c r="D102" t="s">
        <v>25</v>
      </c>
      <c r="E102" s="2">
        <v>2</v>
      </c>
      <c r="F102" t="s">
        <v>66</v>
      </c>
      <c r="G102">
        <v>3.29</v>
      </c>
      <c r="H102">
        <v>3.09</v>
      </c>
      <c r="I102" s="2" t="str">
        <f>_xlfn.XLOOKUP(F102,DeparaIMG!D:D,DeparaIMG!F:F,,0)</f>
        <v>SK269.png</v>
      </c>
    </row>
    <row r="103" spans="1:9" x14ac:dyDescent="0.25">
      <c r="A103" s="2" t="s">
        <v>10</v>
      </c>
      <c r="B103" s="2" t="s">
        <v>62</v>
      </c>
      <c r="C103" t="s">
        <v>89</v>
      </c>
      <c r="D103" t="s">
        <v>25</v>
      </c>
      <c r="E103" s="2">
        <v>2</v>
      </c>
      <c r="F103" t="s">
        <v>66</v>
      </c>
      <c r="G103">
        <v>3.29</v>
      </c>
      <c r="H103">
        <v>3.19</v>
      </c>
      <c r="I103" s="2" t="str">
        <f>_xlfn.XLOOKUP(F103,DeparaIMG!D:D,DeparaIMG!F:F,,0)</f>
        <v>SK269.png</v>
      </c>
    </row>
    <row r="104" spans="1:9" x14ac:dyDescent="0.25">
      <c r="A104" s="2" t="s">
        <v>10</v>
      </c>
      <c r="B104" s="2" t="s">
        <v>62</v>
      </c>
      <c r="C104" t="s">
        <v>90</v>
      </c>
      <c r="D104" t="s">
        <v>25</v>
      </c>
      <c r="E104" s="2">
        <v>2</v>
      </c>
      <c r="F104" t="s">
        <v>67</v>
      </c>
      <c r="G104">
        <v>3.29</v>
      </c>
      <c r="H104">
        <v>3.19</v>
      </c>
      <c r="I104" s="2" t="str">
        <f>_xlfn.XLOOKUP(F104,DeparaIMG!D:D,DeparaIMG!F:F,,0)</f>
        <v>AP269.png</v>
      </c>
    </row>
    <row r="105" spans="1:9" x14ac:dyDescent="0.25">
      <c r="A105" s="2" t="s">
        <v>10</v>
      </c>
      <c r="B105" s="2" t="s">
        <v>62</v>
      </c>
      <c r="C105" t="s">
        <v>89</v>
      </c>
      <c r="D105" t="s">
        <v>25</v>
      </c>
      <c r="E105" s="2">
        <v>1</v>
      </c>
      <c r="F105" t="s">
        <v>68</v>
      </c>
      <c r="G105">
        <v>3.29</v>
      </c>
      <c r="H105">
        <v>2.99</v>
      </c>
      <c r="I105" s="2" t="str">
        <f>_xlfn.XLOOKUP(F105,DeparaIMG!D:D,DeparaIMG!F:F,,0)</f>
        <v>BC269.png</v>
      </c>
    </row>
    <row r="106" spans="1:9" x14ac:dyDescent="0.25">
      <c r="A106" s="2" t="s">
        <v>10</v>
      </c>
      <c r="B106" s="2" t="s">
        <v>62</v>
      </c>
      <c r="C106" t="s">
        <v>89</v>
      </c>
      <c r="D106" t="s">
        <v>26</v>
      </c>
      <c r="E106" s="2">
        <v>1</v>
      </c>
      <c r="F106" t="s">
        <v>68</v>
      </c>
      <c r="G106">
        <v>3.29</v>
      </c>
      <c r="H106">
        <v>2.99</v>
      </c>
      <c r="I106" s="2" t="str">
        <f>_xlfn.XLOOKUP(F106,DeparaIMG!D:D,DeparaIMG!F:F,,0)</f>
        <v>BC269.png</v>
      </c>
    </row>
    <row r="107" spans="1:9" x14ac:dyDescent="0.25">
      <c r="A107" s="2" t="s">
        <v>10</v>
      </c>
      <c r="B107" s="2" t="s">
        <v>62</v>
      </c>
      <c r="C107" t="s">
        <v>88</v>
      </c>
      <c r="D107" t="s">
        <v>25</v>
      </c>
      <c r="E107" s="2">
        <v>1</v>
      </c>
      <c r="F107" t="s">
        <v>68</v>
      </c>
      <c r="G107">
        <v>3.29</v>
      </c>
      <c r="H107">
        <v>2.99</v>
      </c>
      <c r="I107" s="2" t="str">
        <f>_xlfn.XLOOKUP(F107,DeparaIMG!D:D,DeparaIMG!F:F,,0)</f>
        <v>BC269.png</v>
      </c>
    </row>
    <row r="108" spans="1:9" x14ac:dyDescent="0.25">
      <c r="A108" s="2" t="s">
        <v>10</v>
      </c>
      <c r="B108" s="2" t="s">
        <v>62</v>
      </c>
      <c r="C108" t="s">
        <v>88</v>
      </c>
      <c r="D108" t="s">
        <v>26</v>
      </c>
      <c r="E108" s="2">
        <v>1</v>
      </c>
      <c r="F108" t="s">
        <v>68</v>
      </c>
      <c r="G108">
        <v>3.29</v>
      </c>
      <c r="H108">
        <v>2.99</v>
      </c>
      <c r="I108" s="2" t="str">
        <f>_xlfn.XLOOKUP(F108,DeparaIMG!D:D,DeparaIMG!F:F,,0)</f>
        <v>BC269.png</v>
      </c>
    </row>
    <row r="109" spans="1:9" x14ac:dyDescent="0.25">
      <c r="A109" s="2" t="s">
        <v>10</v>
      </c>
      <c r="B109" s="2" t="s">
        <v>62</v>
      </c>
      <c r="C109" t="s">
        <v>90</v>
      </c>
      <c r="D109" t="s">
        <v>25</v>
      </c>
      <c r="E109" s="2">
        <v>1</v>
      </c>
      <c r="F109" t="s">
        <v>68</v>
      </c>
      <c r="G109">
        <v>3.29</v>
      </c>
      <c r="H109">
        <v>2.99</v>
      </c>
      <c r="I109" s="2" t="str">
        <f>_xlfn.XLOOKUP(F109,DeparaIMG!D:D,DeparaIMG!F:F,,0)</f>
        <v>BC269.png</v>
      </c>
    </row>
    <row r="110" spans="1:9" x14ac:dyDescent="0.25">
      <c r="A110" s="2" t="s">
        <v>10</v>
      </c>
      <c r="B110" s="2" t="s">
        <v>62</v>
      </c>
      <c r="C110" t="s">
        <v>90</v>
      </c>
      <c r="D110" t="s">
        <v>26</v>
      </c>
      <c r="E110" s="2">
        <v>2</v>
      </c>
      <c r="F110" t="s">
        <v>67</v>
      </c>
      <c r="G110">
        <v>3.29</v>
      </c>
      <c r="H110">
        <v>3.19</v>
      </c>
      <c r="I110" s="2" t="str">
        <f>_xlfn.XLOOKUP(F110,DeparaIMG!D:D,DeparaIMG!F:F,,0)</f>
        <v>AP269.png</v>
      </c>
    </row>
    <row r="111" spans="1:9" x14ac:dyDescent="0.25">
      <c r="A111" s="2" t="s">
        <v>10</v>
      </c>
      <c r="B111" s="2" t="s">
        <v>62</v>
      </c>
      <c r="C111" t="s">
        <v>90</v>
      </c>
      <c r="D111" t="s">
        <v>26</v>
      </c>
      <c r="E111" s="2">
        <v>1</v>
      </c>
      <c r="F111" t="s">
        <v>68</v>
      </c>
      <c r="G111">
        <v>3.29</v>
      </c>
      <c r="H111">
        <v>2.99</v>
      </c>
      <c r="I111" s="2" t="str">
        <f>_xlfn.XLOOKUP(F111,DeparaIMG!D:D,DeparaIMG!F:F,,0)</f>
        <v>BC269.png</v>
      </c>
    </row>
    <row r="112" spans="1:9" x14ac:dyDescent="0.25">
      <c r="A112" s="2" t="s">
        <v>10</v>
      </c>
      <c r="B112" s="2" t="s">
        <v>62</v>
      </c>
      <c r="C112" t="s">
        <v>88</v>
      </c>
      <c r="D112" t="s">
        <v>26</v>
      </c>
      <c r="E112" s="2">
        <v>2</v>
      </c>
      <c r="F112" t="s">
        <v>66</v>
      </c>
      <c r="G112">
        <v>3.29</v>
      </c>
      <c r="H112">
        <v>3.09</v>
      </c>
      <c r="I112" s="2" t="str">
        <f>_xlfn.XLOOKUP(F112,DeparaIMG!D:D,DeparaIMG!F:F,,0)</f>
        <v>SK269.png</v>
      </c>
    </row>
    <row r="113" spans="1:9" x14ac:dyDescent="0.25">
      <c r="A113" s="2" t="s">
        <v>10</v>
      </c>
      <c r="B113" s="2" t="s">
        <v>62</v>
      </c>
      <c r="C113" t="s">
        <v>89</v>
      </c>
      <c r="D113" t="s">
        <v>26</v>
      </c>
      <c r="E113" s="2">
        <v>2</v>
      </c>
      <c r="F113" t="s">
        <v>66</v>
      </c>
      <c r="G113">
        <v>3.29</v>
      </c>
      <c r="H113">
        <v>3.19</v>
      </c>
      <c r="I113" s="2" t="str">
        <f>_xlfn.XLOOKUP(F113,DeparaIMG!D:D,DeparaIMG!F:F,,0)</f>
        <v>SK269.png</v>
      </c>
    </row>
    <row r="114" spans="1:9" x14ac:dyDescent="0.25">
      <c r="A114" s="2" t="s">
        <v>10</v>
      </c>
      <c r="B114" s="2" t="s">
        <v>62</v>
      </c>
      <c r="C114" t="s">
        <v>113</v>
      </c>
      <c r="D114" t="s">
        <v>25</v>
      </c>
      <c r="E114" s="2">
        <v>1</v>
      </c>
      <c r="F114" t="s">
        <v>69</v>
      </c>
      <c r="G114">
        <v>3.39</v>
      </c>
      <c r="H114">
        <v>2.99</v>
      </c>
      <c r="I114" s="2" t="str">
        <f>_xlfn.XLOOKUP(F114,DeparaIMG!D:D,DeparaIMG!F:F,,0)</f>
        <v>BUD269.png</v>
      </c>
    </row>
    <row r="115" spans="1:9" x14ac:dyDescent="0.25">
      <c r="A115" s="2" t="s">
        <v>10</v>
      </c>
      <c r="B115" s="2" t="s">
        <v>62</v>
      </c>
      <c r="C115" t="s">
        <v>88</v>
      </c>
      <c r="D115" t="s">
        <v>26</v>
      </c>
      <c r="E115" s="2">
        <v>1</v>
      </c>
      <c r="F115" t="s">
        <v>69</v>
      </c>
      <c r="G115">
        <v>3.49</v>
      </c>
      <c r="H115">
        <v>3.09</v>
      </c>
      <c r="I115" s="2" t="str">
        <f>_xlfn.XLOOKUP(F115,DeparaIMG!D:D,DeparaIMG!F:F,,0)</f>
        <v>BUD269.png</v>
      </c>
    </row>
    <row r="116" spans="1:9" x14ac:dyDescent="0.25">
      <c r="A116" s="2" t="s">
        <v>10</v>
      </c>
      <c r="B116" s="2" t="s">
        <v>62</v>
      </c>
      <c r="C116" t="s">
        <v>89</v>
      </c>
      <c r="D116" t="s">
        <v>25</v>
      </c>
      <c r="E116" s="2">
        <v>1</v>
      </c>
      <c r="F116" t="s">
        <v>69</v>
      </c>
      <c r="G116">
        <v>3.49</v>
      </c>
      <c r="H116">
        <v>3.09</v>
      </c>
      <c r="I116" s="2" t="str">
        <f>_xlfn.XLOOKUP(F116,DeparaIMG!D:D,DeparaIMG!F:F,,0)</f>
        <v>BUD269.png</v>
      </c>
    </row>
    <row r="117" spans="1:9" x14ac:dyDescent="0.25">
      <c r="A117" s="2" t="s">
        <v>10</v>
      </c>
      <c r="B117" s="2" t="s">
        <v>62</v>
      </c>
      <c r="C117" t="s">
        <v>89</v>
      </c>
      <c r="D117" t="s">
        <v>26</v>
      </c>
      <c r="E117" s="2">
        <v>1</v>
      </c>
      <c r="F117" t="s">
        <v>69</v>
      </c>
      <c r="G117">
        <v>3.49</v>
      </c>
      <c r="H117">
        <v>3.09</v>
      </c>
      <c r="I117" s="2" t="str">
        <f>_xlfn.XLOOKUP(F117,DeparaIMG!D:D,DeparaIMG!F:F,,0)</f>
        <v>BUD269.png</v>
      </c>
    </row>
    <row r="118" spans="1:9" x14ac:dyDescent="0.25">
      <c r="A118" s="2" t="s">
        <v>10</v>
      </c>
      <c r="B118" s="2" t="s">
        <v>62</v>
      </c>
      <c r="C118" t="s">
        <v>90</v>
      </c>
      <c r="D118" t="s">
        <v>26</v>
      </c>
      <c r="E118" s="2">
        <v>1</v>
      </c>
      <c r="F118" t="s">
        <v>69</v>
      </c>
      <c r="G118">
        <v>3.49</v>
      </c>
      <c r="H118">
        <v>3.09</v>
      </c>
      <c r="I118" s="2" t="str">
        <f>_xlfn.XLOOKUP(F118,DeparaIMG!D:D,DeparaIMG!F:F,,0)</f>
        <v>BUD269.png</v>
      </c>
    </row>
    <row r="119" spans="1:9" x14ac:dyDescent="0.25">
      <c r="A119" s="2" t="s">
        <v>10</v>
      </c>
      <c r="B119" s="2" t="s">
        <v>62</v>
      </c>
      <c r="C119" t="s">
        <v>90</v>
      </c>
      <c r="D119" t="s">
        <v>25</v>
      </c>
      <c r="E119" s="2">
        <v>1</v>
      </c>
      <c r="F119" t="s">
        <v>69</v>
      </c>
      <c r="G119">
        <v>3.49</v>
      </c>
      <c r="H119">
        <v>3.09</v>
      </c>
      <c r="I119" s="2" t="str">
        <f>_xlfn.XLOOKUP(F119,DeparaIMG!D:D,DeparaIMG!F:F,,0)</f>
        <v>BUD269.png</v>
      </c>
    </row>
    <row r="120" spans="1:9" x14ac:dyDescent="0.25">
      <c r="A120" s="2" t="s">
        <v>10</v>
      </c>
      <c r="B120" s="2" t="s">
        <v>62</v>
      </c>
      <c r="C120" t="s">
        <v>112</v>
      </c>
      <c r="D120" t="s">
        <v>25</v>
      </c>
      <c r="E120" s="2">
        <v>1</v>
      </c>
      <c r="F120" t="s">
        <v>69</v>
      </c>
      <c r="G120">
        <v>3.49</v>
      </c>
      <c r="H120">
        <v>3.09</v>
      </c>
      <c r="I120" s="2" t="str">
        <f>_xlfn.XLOOKUP(F120,DeparaIMG!D:D,DeparaIMG!F:F,,0)</f>
        <v>BUD269.png</v>
      </c>
    </row>
    <row r="121" spans="1:9" x14ac:dyDescent="0.25">
      <c r="A121" s="2" t="s">
        <v>10</v>
      </c>
      <c r="B121" s="2" t="s">
        <v>62</v>
      </c>
      <c r="C121" t="s">
        <v>29</v>
      </c>
      <c r="D121" t="s">
        <v>25</v>
      </c>
      <c r="E121" s="2">
        <v>1</v>
      </c>
      <c r="F121" t="s">
        <v>69</v>
      </c>
      <c r="G121">
        <v>3.49</v>
      </c>
      <c r="H121">
        <v>3.09</v>
      </c>
      <c r="I121" s="2" t="str">
        <f>_xlfn.XLOOKUP(F121,DeparaIMG!D:D,DeparaIMG!F:F,,0)</f>
        <v>BUD269.png</v>
      </c>
    </row>
    <row r="122" spans="1:9" x14ac:dyDescent="0.25">
      <c r="A122" s="2" t="s">
        <v>10</v>
      </c>
      <c r="B122" s="2" t="s">
        <v>62</v>
      </c>
      <c r="C122" t="s">
        <v>87</v>
      </c>
      <c r="D122" t="s">
        <v>26</v>
      </c>
      <c r="E122" s="2">
        <v>1</v>
      </c>
      <c r="F122" t="s">
        <v>69</v>
      </c>
      <c r="G122">
        <v>3.49</v>
      </c>
      <c r="H122">
        <v>3.09</v>
      </c>
      <c r="I122" s="2" t="str">
        <f>_xlfn.XLOOKUP(F122,DeparaIMG!D:D,DeparaIMG!F:F,,0)</f>
        <v>BUD269.png</v>
      </c>
    </row>
    <row r="123" spans="1:9" x14ac:dyDescent="0.25">
      <c r="A123" s="2" t="s">
        <v>10</v>
      </c>
      <c r="B123" s="2" t="s">
        <v>62</v>
      </c>
      <c r="C123" t="s">
        <v>112</v>
      </c>
      <c r="D123" t="s">
        <v>25</v>
      </c>
      <c r="E123" s="2">
        <v>1</v>
      </c>
      <c r="F123" t="s">
        <v>70</v>
      </c>
      <c r="G123">
        <v>3.69</v>
      </c>
      <c r="H123">
        <v>3.19</v>
      </c>
      <c r="I123" s="2" t="str">
        <f>_xlfn.XLOOKUP(F123,DeparaIMG!D:D,DeparaIMG!F:F,,0)</f>
        <v>BC0350.png</v>
      </c>
    </row>
    <row r="124" spans="1:9" x14ac:dyDescent="0.25">
      <c r="A124" s="2" t="s">
        <v>10</v>
      </c>
      <c r="B124" s="2" t="s">
        <v>62</v>
      </c>
      <c r="C124" t="s">
        <v>112</v>
      </c>
      <c r="D124" t="s">
        <v>25</v>
      </c>
      <c r="E124" s="2">
        <v>2</v>
      </c>
      <c r="F124" t="s">
        <v>70</v>
      </c>
      <c r="G124">
        <v>3.69</v>
      </c>
      <c r="H124">
        <v>3.19</v>
      </c>
      <c r="I124" s="2" t="str">
        <f>_xlfn.XLOOKUP(F124,DeparaIMG!D:D,DeparaIMG!F:F,,0)</f>
        <v>BC0350.png</v>
      </c>
    </row>
    <row r="125" spans="1:9" x14ac:dyDescent="0.25">
      <c r="A125" s="2" t="s">
        <v>10</v>
      </c>
      <c r="B125" s="2" t="s">
        <v>62</v>
      </c>
      <c r="C125" t="s">
        <v>29</v>
      </c>
      <c r="D125" t="s">
        <v>25</v>
      </c>
      <c r="E125" s="2">
        <v>1</v>
      </c>
      <c r="F125" t="s">
        <v>70</v>
      </c>
      <c r="G125">
        <v>3.69</v>
      </c>
      <c r="H125">
        <v>3.19</v>
      </c>
      <c r="I125" s="2" t="str">
        <f>_xlfn.XLOOKUP(F125,DeparaIMG!D:D,DeparaIMG!F:F,,0)</f>
        <v>BC0350.png</v>
      </c>
    </row>
    <row r="126" spans="1:9" x14ac:dyDescent="0.25">
      <c r="A126" s="2" t="s">
        <v>10</v>
      </c>
      <c r="B126" s="2" t="s">
        <v>62</v>
      </c>
      <c r="C126" t="s">
        <v>29</v>
      </c>
      <c r="D126" t="s">
        <v>25</v>
      </c>
      <c r="E126" s="2">
        <v>2</v>
      </c>
      <c r="F126" t="s">
        <v>70</v>
      </c>
      <c r="G126">
        <v>3.69</v>
      </c>
      <c r="H126">
        <v>3.19</v>
      </c>
      <c r="I126" s="2" t="str">
        <f>_xlfn.XLOOKUP(F126,DeparaIMG!D:D,DeparaIMG!F:F,,0)</f>
        <v>BC0350.png</v>
      </c>
    </row>
    <row r="127" spans="1:9" x14ac:dyDescent="0.25">
      <c r="A127" s="2" t="s">
        <v>10</v>
      </c>
      <c r="B127" s="2" t="s">
        <v>62</v>
      </c>
      <c r="C127" t="s">
        <v>88</v>
      </c>
      <c r="D127" t="s">
        <v>25</v>
      </c>
      <c r="E127" s="2">
        <v>1</v>
      </c>
      <c r="F127" t="s">
        <v>70</v>
      </c>
      <c r="G127">
        <v>3.69</v>
      </c>
      <c r="H127">
        <v>3.19</v>
      </c>
      <c r="I127" s="2" t="str">
        <f>_xlfn.XLOOKUP(F127,DeparaIMG!D:D,DeparaIMG!F:F,,0)</f>
        <v>BC0350.png</v>
      </c>
    </row>
    <row r="128" spans="1:9" x14ac:dyDescent="0.25">
      <c r="A128" s="2" t="s">
        <v>10</v>
      </c>
      <c r="B128" s="2" t="s">
        <v>62</v>
      </c>
      <c r="C128" t="s">
        <v>88</v>
      </c>
      <c r="D128" t="s">
        <v>25</v>
      </c>
      <c r="E128" s="2">
        <v>2</v>
      </c>
      <c r="F128" t="s">
        <v>70</v>
      </c>
      <c r="G128">
        <v>3.69</v>
      </c>
      <c r="H128">
        <v>3.19</v>
      </c>
      <c r="I128" s="2" t="str">
        <f>_xlfn.XLOOKUP(F128,DeparaIMG!D:D,DeparaIMG!F:F,,0)</f>
        <v>BC0350.png</v>
      </c>
    </row>
    <row r="129" spans="1:9" x14ac:dyDescent="0.25">
      <c r="A129" s="2" t="s">
        <v>10</v>
      </c>
      <c r="B129" s="2" t="s">
        <v>62</v>
      </c>
      <c r="C129" t="s">
        <v>113</v>
      </c>
      <c r="D129" t="s">
        <v>25</v>
      </c>
      <c r="E129" s="2">
        <v>1</v>
      </c>
      <c r="F129" t="s">
        <v>70</v>
      </c>
      <c r="G129">
        <v>3.69</v>
      </c>
      <c r="H129">
        <v>3.19</v>
      </c>
      <c r="I129" s="2" t="str">
        <f>_xlfn.XLOOKUP(F129,DeparaIMG!D:D,DeparaIMG!F:F,,0)</f>
        <v>BC0350.png</v>
      </c>
    </row>
    <row r="130" spans="1:9" x14ac:dyDescent="0.25">
      <c r="A130" s="2" t="s">
        <v>10</v>
      </c>
      <c r="B130" s="2" t="s">
        <v>62</v>
      </c>
      <c r="C130" t="s">
        <v>113</v>
      </c>
      <c r="D130" t="s">
        <v>25</v>
      </c>
      <c r="E130" s="2">
        <v>2</v>
      </c>
      <c r="F130" t="s">
        <v>70</v>
      </c>
      <c r="G130">
        <v>3.69</v>
      </c>
      <c r="H130">
        <v>3.19</v>
      </c>
      <c r="I130" s="2" t="str">
        <f>_xlfn.XLOOKUP(F130,DeparaIMG!D:D,DeparaIMG!F:F,,0)</f>
        <v>BC0350.png</v>
      </c>
    </row>
    <row r="131" spans="1:9" x14ac:dyDescent="0.25">
      <c r="A131" s="2" t="s">
        <v>10</v>
      </c>
      <c r="B131" s="2" t="s">
        <v>62</v>
      </c>
      <c r="C131" t="s">
        <v>89</v>
      </c>
      <c r="D131" t="s">
        <v>25</v>
      </c>
      <c r="E131" s="2">
        <v>1</v>
      </c>
      <c r="F131" t="s">
        <v>70</v>
      </c>
      <c r="G131">
        <v>3.69</v>
      </c>
      <c r="H131">
        <v>3.19</v>
      </c>
      <c r="I131" s="2" t="str">
        <f>_xlfn.XLOOKUP(F131,DeparaIMG!D:D,DeparaIMG!F:F,,0)</f>
        <v>BC0350.png</v>
      </c>
    </row>
    <row r="132" spans="1:9" x14ac:dyDescent="0.25">
      <c r="A132" s="2" t="s">
        <v>10</v>
      </c>
      <c r="B132" s="2" t="s">
        <v>62</v>
      </c>
      <c r="C132" t="s">
        <v>89</v>
      </c>
      <c r="D132" t="s">
        <v>25</v>
      </c>
      <c r="E132" s="2">
        <v>2</v>
      </c>
      <c r="F132" t="s">
        <v>70</v>
      </c>
      <c r="G132">
        <v>3.69</v>
      </c>
      <c r="H132">
        <v>3.19</v>
      </c>
      <c r="I132" s="2" t="str">
        <f>_xlfn.XLOOKUP(F132,DeparaIMG!D:D,DeparaIMG!F:F,,0)</f>
        <v>BC0350.png</v>
      </c>
    </row>
    <row r="133" spans="1:9" x14ac:dyDescent="0.25">
      <c r="A133" s="2" t="s">
        <v>10</v>
      </c>
      <c r="B133" s="2" t="s">
        <v>62</v>
      </c>
      <c r="C133" t="s">
        <v>90</v>
      </c>
      <c r="D133" t="s">
        <v>25</v>
      </c>
      <c r="E133" s="2">
        <v>1</v>
      </c>
      <c r="F133" t="s">
        <v>70</v>
      </c>
      <c r="G133">
        <v>3.69</v>
      </c>
      <c r="H133">
        <v>3.19</v>
      </c>
      <c r="I133" s="2" t="str">
        <f>_xlfn.XLOOKUP(F133,DeparaIMG!D:D,DeparaIMG!F:F,,0)</f>
        <v>BC0350.png</v>
      </c>
    </row>
    <row r="134" spans="1:9" x14ac:dyDescent="0.25">
      <c r="A134" s="2" t="s">
        <v>10</v>
      </c>
      <c r="B134" s="2" t="s">
        <v>62</v>
      </c>
      <c r="C134" t="s">
        <v>90</v>
      </c>
      <c r="D134" t="s">
        <v>25</v>
      </c>
      <c r="E134" s="2">
        <v>2</v>
      </c>
      <c r="F134" t="s">
        <v>70</v>
      </c>
      <c r="G134">
        <v>3.69</v>
      </c>
      <c r="H134">
        <v>3.19</v>
      </c>
      <c r="I134" s="2" t="str">
        <f>_xlfn.XLOOKUP(F134,DeparaIMG!D:D,DeparaIMG!F:F,,0)</f>
        <v>BC0350.png</v>
      </c>
    </row>
    <row r="135" spans="1:9" x14ac:dyDescent="0.25">
      <c r="A135" s="2" t="s">
        <v>10</v>
      </c>
      <c r="B135" s="2" t="s">
        <v>62</v>
      </c>
      <c r="C135" t="s">
        <v>87</v>
      </c>
      <c r="D135" t="s">
        <v>25</v>
      </c>
      <c r="E135" s="2">
        <v>1</v>
      </c>
      <c r="F135" t="s">
        <v>70</v>
      </c>
      <c r="G135">
        <v>3.69</v>
      </c>
      <c r="H135">
        <v>3.19</v>
      </c>
      <c r="I135" s="2" t="str">
        <f>_xlfn.XLOOKUP(F135,DeparaIMG!D:D,DeparaIMG!F:F,,0)</f>
        <v>BC0350.png</v>
      </c>
    </row>
    <row r="136" spans="1:9" x14ac:dyDescent="0.25">
      <c r="A136" s="2" t="s">
        <v>10</v>
      </c>
      <c r="B136" s="2" t="s">
        <v>62</v>
      </c>
      <c r="C136" t="s">
        <v>87</v>
      </c>
      <c r="D136" t="s">
        <v>25</v>
      </c>
      <c r="E136" s="2">
        <v>2</v>
      </c>
      <c r="F136" t="s">
        <v>70</v>
      </c>
      <c r="G136">
        <v>3.69</v>
      </c>
      <c r="H136">
        <v>3.19</v>
      </c>
      <c r="I136" s="2" t="str">
        <f>_xlfn.XLOOKUP(F136,DeparaIMG!D:D,DeparaIMG!F:F,,0)</f>
        <v>BC0350.png</v>
      </c>
    </row>
    <row r="137" spans="1:9" x14ac:dyDescent="0.25">
      <c r="A137" s="2" t="s">
        <v>10</v>
      </c>
      <c r="B137" s="2" t="s">
        <v>62</v>
      </c>
      <c r="C137" t="s">
        <v>113</v>
      </c>
      <c r="D137" t="s">
        <v>26</v>
      </c>
      <c r="E137" s="2">
        <v>1</v>
      </c>
      <c r="F137" t="s">
        <v>71</v>
      </c>
      <c r="G137">
        <v>3.79</v>
      </c>
      <c r="H137">
        <v>3.49</v>
      </c>
      <c r="I137" s="2" t="str">
        <f>_xlfn.XLOOKUP(F137,DeparaIMG!D:D,DeparaIMG!F:F,,0)</f>
        <v>BC350.png</v>
      </c>
    </row>
    <row r="138" spans="1:9" x14ac:dyDescent="0.25">
      <c r="A138" s="2" t="s">
        <v>10</v>
      </c>
      <c r="B138" s="2" t="s">
        <v>62</v>
      </c>
      <c r="C138" t="s">
        <v>29</v>
      </c>
      <c r="D138" t="s">
        <v>26</v>
      </c>
      <c r="E138" s="2">
        <v>1</v>
      </c>
      <c r="F138" t="s">
        <v>71</v>
      </c>
      <c r="G138">
        <v>3.79</v>
      </c>
      <c r="H138">
        <v>3.49</v>
      </c>
      <c r="I138" s="2" t="str">
        <f>_xlfn.XLOOKUP(F138,DeparaIMG!D:D,DeparaIMG!F:F,,0)</f>
        <v>BC350.png</v>
      </c>
    </row>
    <row r="139" spans="1:9" x14ac:dyDescent="0.25">
      <c r="A139" s="2" t="s">
        <v>10</v>
      </c>
      <c r="B139" s="2" t="s">
        <v>62</v>
      </c>
      <c r="C139" t="s">
        <v>87</v>
      </c>
      <c r="D139" t="s">
        <v>25</v>
      </c>
      <c r="E139" s="2">
        <v>2</v>
      </c>
      <c r="F139" t="s">
        <v>64</v>
      </c>
      <c r="G139">
        <v>3.89</v>
      </c>
      <c r="H139">
        <v>3.69</v>
      </c>
      <c r="I139" s="2" t="str">
        <f>_xlfn.XLOOKUP(F139,DeparaIMG!D:D,DeparaIMG!F:F,,0)</f>
        <v>SKZERO350.png</v>
      </c>
    </row>
    <row r="140" spans="1:9" x14ac:dyDescent="0.25">
      <c r="A140" s="2" t="s">
        <v>10</v>
      </c>
      <c r="B140" s="2" t="s">
        <v>62</v>
      </c>
      <c r="C140" t="s">
        <v>88</v>
      </c>
      <c r="D140" t="s">
        <v>25</v>
      </c>
      <c r="E140" s="2">
        <v>2</v>
      </c>
      <c r="F140" t="s">
        <v>64</v>
      </c>
      <c r="G140">
        <v>3.89</v>
      </c>
      <c r="H140">
        <v>3.69</v>
      </c>
      <c r="I140" s="2" t="str">
        <f>_xlfn.XLOOKUP(F140,DeparaIMG!D:D,DeparaIMG!F:F,,0)</f>
        <v>SKZERO350.png</v>
      </c>
    </row>
    <row r="141" spans="1:9" x14ac:dyDescent="0.25">
      <c r="A141" s="2" t="s">
        <v>10</v>
      </c>
      <c r="B141" s="2" t="s">
        <v>62</v>
      </c>
      <c r="C141" t="s">
        <v>113</v>
      </c>
      <c r="D141" t="s">
        <v>25</v>
      </c>
      <c r="E141" s="2">
        <v>2</v>
      </c>
      <c r="F141" t="s">
        <v>64</v>
      </c>
      <c r="G141">
        <v>3.89</v>
      </c>
      <c r="H141">
        <v>3.69</v>
      </c>
      <c r="I141" s="2" t="str">
        <f>_xlfn.XLOOKUP(F141,DeparaIMG!D:D,DeparaIMG!F:F,,0)</f>
        <v>SKZERO350.png</v>
      </c>
    </row>
    <row r="142" spans="1:9" x14ac:dyDescent="0.25">
      <c r="A142" s="2" t="s">
        <v>10</v>
      </c>
      <c r="B142" s="2" t="s">
        <v>62</v>
      </c>
      <c r="C142" t="s">
        <v>89</v>
      </c>
      <c r="D142" t="s">
        <v>25</v>
      </c>
      <c r="E142" s="2">
        <v>2</v>
      </c>
      <c r="F142" t="s">
        <v>64</v>
      </c>
      <c r="G142">
        <v>3.89</v>
      </c>
      <c r="H142">
        <v>3.79</v>
      </c>
      <c r="I142" s="2" t="str">
        <f>_xlfn.XLOOKUP(F142,DeparaIMG!D:D,DeparaIMG!F:F,,0)</f>
        <v>SKZERO350.png</v>
      </c>
    </row>
    <row r="143" spans="1:9" x14ac:dyDescent="0.25">
      <c r="A143" s="2" t="s">
        <v>10</v>
      </c>
      <c r="B143" s="2" t="s">
        <v>62</v>
      </c>
      <c r="C143" t="s">
        <v>90</v>
      </c>
      <c r="D143" t="s">
        <v>25</v>
      </c>
      <c r="E143" s="2">
        <v>2</v>
      </c>
      <c r="F143" t="s">
        <v>64</v>
      </c>
      <c r="G143">
        <v>3.89</v>
      </c>
      <c r="H143">
        <v>3.69</v>
      </c>
      <c r="I143" s="2" t="str">
        <f>_xlfn.XLOOKUP(F143,DeparaIMG!D:D,DeparaIMG!F:F,,0)</f>
        <v>SKZERO350.png</v>
      </c>
    </row>
    <row r="144" spans="1:9" x14ac:dyDescent="0.25">
      <c r="A144" s="2" t="s">
        <v>10</v>
      </c>
      <c r="B144" s="2" t="s">
        <v>62</v>
      </c>
      <c r="C144" t="s">
        <v>112</v>
      </c>
      <c r="D144" t="s">
        <v>25</v>
      </c>
      <c r="E144" s="2">
        <v>2</v>
      </c>
      <c r="F144" t="s">
        <v>64</v>
      </c>
      <c r="G144">
        <v>3.89</v>
      </c>
      <c r="H144">
        <v>3.69</v>
      </c>
      <c r="I144" s="2" t="str">
        <f>_xlfn.XLOOKUP(F144,DeparaIMG!D:D,DeparaIMG!F:F,,0)</f>
        <v>SKZERO350.png</v>
      </c>
    </row>
    <row r="145" spans="1:9" x14ac:dyDescent="0.25">
      <c r="A145" s="2" t="s">
        <v>10</v>
      </c>
      <c r="B145" s="2" t="s">
        <v>62</v>
      </c>
      <c r="C145" t="s">
        <v>29</v>
      </c>
      <c r="D145" t="s">
        <v>25</v>
      </c>
      <c r="E145" s="2">
        <v>2</v>
      </c>
      <c r="F145" t="s">
        <v>64</v>
      </c>
      <c r="G145">
        <v>3.89</v>
      </c>
      <c r="H145">
        <v>3.69</v>
      </c>
      <c r="I145" s="2" t="str">
        <f>_xlfn.XLOOKUP(F145,DeparaIMG!D:D,DeparaIMG!F:F,,0)</f>
        <v>SKZERO350.png</v>
      </c>
    </row>
    <row r="146" spans="1:9" x14ac:dyDescent="0.25">
      <c r="A146" s="2" t="s">
        <v>10</v>
      </c>
      <c r="B146" s="2" t="s">
        <v>62</v>
      </c>
      <c r="C146" t="s">
        <v>88</v>
      </c>
      <c r="D146" t="s">
        <v>25</v>
      </c>
      <c r="E146" s="2">
        <v>2</v>
      </c>
      <c r="F146" t="s">
        <v>72</v>
      </c>
      <c r="G146">
        <v>3.89</v>
      </c>
      <c r="H146">
        <v>3.59</v>
      </c>
      <c r="I146" s="2" t="str">
        <f>_xlfn.XLOOKUP(F146,DeparaIMG!D:D,DeparaIMG!F:F,,0)</f>
        <v>ORI269.png</v>
      </c>
    </row>
    <row r="147" spans="1:9" x14ac:dyDescent="0.25">
      <c r="A147" s="2" t="s">
        <v>10</v>
      </c>
      <c r="B147" s="2" t="s">
        <v>62</v>
      </c>
      <c r="C147" t="s">
        <v>88</v>
      </c>
      <c r="D147" t="s">
        <v>26</v>
      </c>
      <c r="E147" s="2">
        <v>2</v>
      </c>
      <c r="F147" t="s">
        <v>72</v>
      </c>
      <c r="G147">
        <v>3.89</v>
      </c>
      <c r="H147">
        <v>3.59</v>
      </c>
      <c r="I147" s="2" t="str">
        <f>_xlfn.XLOOKUP(F147,DeparaIMG!D:D,DeparaIMG!F:F,,0)</f>
        <v>ORI269.png</v>
      </c>
    </row>
    <row r="148" spans="1:9" x14ac:dyDescent="0.25">
      <c r="A148" s="2" t="s">
        <v>10</v>
      </c>
      <c r="B148" s="2" t="s">
        <v>62</v>
      </c>
      <c r="C148" t="s">
        <v>89</v>
      </c>
      <c r="D148" t="s">
        <v>25</v>
      </c>
      <c r="E148" s="2">
        <v>2</v>
      </c>
      <c r="F148" t="s">
        <v>72</v>
      </c>
      <c r="G148">
        <v>3.89</v>
      </c>
      <c r="H148">
        <v>3.59</v>
      </c>
      <c r="I148" s="2" t="str">
        <f>_xlfn.XLOOKUP(F148,DeparaIMG!D:D,DeparaIMG!F:F,,0)</f>
        <v>ORI269.png</v>
      </c>
    </row>
    <row r="149" spans="1:9" x14ac:dyDescent="0.25">
      <c r="A149" s="2" t="s">
        <v>10</v>
      </c>
      <c r="B149" s="2" t="s">
        <v>62</v>
      </c>
      <c r="C149" t="s">
        <v>90</v>
      </c>
      <c r="D149" t="s">
        <v>25</v>
      </c>
      <c r="E149" s="2">
        <v>2</v>
      </c>
      <c r="F149" t="s">
        <v>72</v>
      </c>
      <c r="G149">
        <v>3.89</v>
      </c>
      <c r="H149">
        <v>3.59</v>
      </c>
      <c r="I149" s="2" t="str">
        <f>_xlfn.XLOOKUP(F149,DeparaIMG!D:D,DeparaIMG!F:F,,0)</f>
        <v>ORI269.png</v>
      </c>
    </row>
    <row r="150" spans="1:9" x14ac:dyDescent="0.25">
      <c r="A150" s="2" t="s">
        <v>10</v>
      </c>
      <c r="B150" s="2" t="s">
        <v>62</v>
      </c>
      <c r="C150" t="s">
        <v>89</v>
      </c>
      <c r="D150" t="s">
        <v>26</v>
      </c>
      <c r="E150" s="2">
        <v>2</v>
      </c>
      <c r="F150" t="s">
        <v>72</v>
      </c>
      <c r="G150">
        <v>3.89</v>
      </c>
      <c r="H150">
        <v>3.59</v>
      </c>
      <c r="I150" s="2" t="str">
        <f>_xlfn.XLOOKUP(F150,DeparaIMG!D:D,DeparaIMG!F:F,,0)</f>
        <v>ORI269.png</v>
      </c>
    </row>
    <row r="151" spans="1:9" x14ac:dyDescent="0.25">
      <c r="A151" s="2" t="s">
        <v>10</v>
      </c>
      <c r="B151" s="2" t="s">
        <v>62</v>
      </c>
      <c r="C151" t="s">
        <v>90</v>
      </c>
      <c r="D151" t="s">
        <v>26</v>
      </c>
      <c r="E151" s="2">
        <v>2</v>
      </c>
      <c r="F151" t="s">
        <v>72</v>
      </c>
      <c r="G151">
        <v>3.89</v>
      </c>
      <c r="H151">
        <v>3.59</v>
      </c>
      <c r="I151" s="2" t="str">
        <f>_xlfn.XLOOKUP(F151,DeparaIMG!D:D,DeparaIMG!F:F,,0)</f>
        <v>ORI269.png</v>
      </c>
    </row>
    <row r="152" spans="1:9" x14ac:dyDescent="0.25">
      <c r="A152" s="2" t="s">
        <v>10</v>
      </c>
      <c r="B152" s="2" t="s">
        <v>62</v>
      </c>
      <c r="C152" t="s">
        <v>112</v>
      </c>
      <c r="D152" t="s">
        <v>25</v>
      </c>
      <c r="E152" s="2">
        <v>2</v>
      </c>
      <c r="F152" t="s">
        <v>72</v>
      </c>
      <c r="G152">
        <v>3.89</v>
      </c>
      <c r="H152">
        <v>3.59</v>
      </c>
      <c r="I152" s="2" t="str">
        <f>_xlfn.XLOOKUP(F152,DeparaIMG!D:D,DeparaIMG!F:F,,0)</f>
        <v>ORI269.png</v>
      </c>
    </row>
    <row r="153" spans="1:9" x14ac:dyDescent="0.25">
      <c r="A153" s="2" t="s">
        <v>10</v>
      </c>
      <c r="B153" s="2" t="s">
        <v>62</v>
      </c>
      <c r="C153" t="s">
        <v>29</v>
      </c>
      <c r="D153" t="s">
        <v>25</v>
      </c>
      <c r="E153" s="2">
        <v>2</v>
      </c>
      <c r="F153" t="s">
        <v>72</v>
      </c>
      <c r="G153">
        <v>3.89</v>
      </c>
      <c r="H153">
        <v>3.59</v>
      </c>
      <c r="I153" s="2" t="str">
        <f>_xlfn.XLOOKUP(F153,DeparaIMG!D:D,DeparaIMG!F:F,,0)</f>
        <v>ORI269.png</v>
      </c>
    </row>
    <row r="154" spans="1:9" x14ac:dyDescent="0.25">
      <c r="A154" s="2" t="s">
        <v>10</v>
      </c>
      <c r="B154" s="2" t="s">
        <v>62</v>
      </c>
      <c r="C154" t="s">
        <v>112</v>
      </c>
      <c r="D154" t="s">
        <v>26</v>
      </c>
      <c r="E154" s="2">
        <v>2</v>
      </c>
      <c r="F154" t="s">
        <v>72</v>
      </c>
      <c r="G154">
        <v>3.89</v>
      </c>
      <c r="H154">
        <v>3.59</v>
      </c>
      <c r="I154" s="2" t="str">
        <f>_xlfn.XLOOKUP(F154,DeparaIMG!D:D,DeparaIMG!F:F,,0)</f>
        <v>ORI269.png</v>
      </c>
    </row>
    <row r="155" spans="1:9" x14ac:dyDescent="0.25">
      <c r="A155" s="2" t="s">
        <v>10</v>
      </c>
      <c r="B155" s="2" t="s">
        <v>62</v>
      </c>
      <c r="C155" t="s">
        <v>29</v>
      </c>
      <c r="D155" t="s">
        <v>26</v>
      </c>
      <c r="E155" s="2">
        <v>2</v>
      </c>
      <c r="F155" t="s">
        <v>72</v>
      </c>
      <c r="G155">
        <v>3.89</v>
      </c>
      <c r="H155">
        <v>3.59</v>
      </c>
      <c r="I155" s="2" t="str">
        <f>_xlfn.XLOOKUP(F155,DeparaIMG!D:D,DeparaIMG!F:F,,0)</f>
        <v>ORI269.png</v>
      </c>
    </row>
    <row r="156" spans="1:9" x14ac:dyDescent="0.25">
      <c r="A156" s="2" t="s">
        <v>10</v>
      </c>
      <c r="B156" s="2" t="s">
        <v>62</v>
      </c>
      <c r="C156" t="s">
        <v>87</v>
      </c>
      <c r="D156" t="s">
        <v>25</v>
      </c>
      <c r="E156" s="2">
        <v>2</v>
      </c>
      <c r="F156" t="s">
        <v>72</v>
      </c>
      <c r="G156">
        <v>3.89</v>
      </c>
      <c r="H156">
        <v>3.59</v>
      </c>
      <c r="I156" s="2" t="str">
        <f>_xlfn.XLOOKUP(F156,DeparaIMG!D:D,DeparaIMG!F:F,,0)</f>
        <v>ORI269.png</v>
      </c>
    </row>
    <row r="157" spans="1:9" x14ac:dyDescent="0.25">
      <c r="A157" s="2" t="s">
        <v>10</v>
      </c>
      <c r="B157" s="2" t="s">
        <v>62</v>
      </c>
      <c r="C157" t="s">
        <v>87</v>
      </c>
      <c r="D157" t="s">
        <v>26</v>
      </c>
      <c r="E157" s="2">
        <v>2</v>
      </c>
      <c r="F157" t="s">
        <v>72</v>
      </c>
      <c r="G157">
        <v>3.89</v>
      </c>
      <c r="H157">
        <v>3.59</v>
      </c>
      <c r="I157" s="2" t="str">
        <f>_xlfn.XLOOKUP(F157,DeparaIMG!D:D,DeparaIMG!F:F,,0)</f>
        <v>ORI269.png</v>
      </c>
    </row>
    <row r="158" spans="1:9" x14ac:dyDescent="0.25">
      <c r="A158" s="2" t="s">
        <v>10</v>
      </c>
      <c r="B158" s="2" t="s">
        <v>62</v>
      </c>
      <c r="C158" t="s">
        <v>113</v>
      </c>
      <c r="D158" t="s">
        <v>25</v>
      </c>
      <c r="E158" s="2">
        <v>2</v>
      </c>
      <c r="F158" t="s">
        <v>72</v>
      </c>
      <c r="G158">
        <v>3.89</v>
      </c>
      <c r="H158">
        <v>3.59</v>
      </c>
      <c r="I158" s="2" t="str">
        <f>_xlfn.XLOOKUP(F158,DeparaIMG!D:D,DeparaIMG!F:F,,0)</f>
        <v>ORI269.png</v>
      </c>
    </row>
    <row r="159" spans="1:9" x14ac:dyDescent="0.25">
      <c r="A159" s="2" t="s">
        <v>10</v>
      </c>
      <c r="B159" s="2" t="s">
        <v>62</v>
      </c>
      <c r="C159" t="s">
        <v>113</v>
      </c>
      <c r="D159" t="s">
        <v>26</v>
      </c>
      <c r="E159" s="2">
        <v>2</v>
      </c>
      <c r="F159" t="s">
        <v>72</v>
      </c>
      <c r="G159">
        <v>3.89</v>
      </c>
      <c r="H159">
        <v>3.59</v>
      </c>
      <c r="I159" s="2" t="str">
        <f>_xlfn.XLOOKUP(F159,DeparaIMG!D:D,DeparaIMG!F:F,,0)</f>
        <v>ORI269.png</v>
      </c>
    </row>
    <row r="160" spans="1:9" x14ac:dyDescent="0.25">
      <c r="A160" s="2" t="s">
        <v>10</v>
      </c>
      <c r="B160" s="2" t="s">
        <v>62</v>
      </c>
      <c r="C160" t="s">
        <v>112</v>
      </c>
      <c r="D160" t="s">
        <v>26</v>
      </c>
      <c r="E160" s="2">
        <v>2</v>
      </c>
      <c r="F160" t="s">
        <v>73</v>
      </c>
      <c r="G160">
        <v>3.99</v>
      </c>
      <c r="H160">
        <v>3.69</v>
      </c>
      <c r="I160" s="2" t="str">
        <f>_xlfn.XLOOKUP(F160,DeparaIMG!D:D,DeparaIMG!F:F,,0)</f>
        <v>AP350.png</v>
      </c>
    </row>
    <row r="161" spans="1:9" x14ac:dyDescent="0.25">
      <c r="A161" s="2" t="s">
        <v>10</v>
      </c>
      <c r="B161" s="2" t="s">
        <v>62</v>
      </c>
      <c r="C161" t="s">
        <v>29</v>
      </c>
      <c r="D161" t="s">
        <v>26</v>
      </c>
      <c r="E161" s="2">
        <v>2</v>
      </c>
      <c r="F161" t="s">
        <v>73</v>
      </c>
      <c r="G161">
        <v>3.99</v>
      </c>
      <c r="H161">
        <v>3.69</v>
      </c>
      <c r="I161" s="2" t="str">
        <f>_xlfn.XLOOKUP(F161,DeparaIMG!D:D,DeparaIMG!F:F,,0)</f>
        <v>AP350.png</v>
      </c>
    </row>
    <row r="162" spans="1:9" x14ac:dyDescent="0.25">
      <c r="A162" s="2" t="s">
        <v>10</v>
      </c>
      <c r="B162" s="2" t="s">
        <v>62</v>
      </c>
      <c r="C162" t="s">
        <v>112</v>
      </c>
      <c r="D162" t="s">
        <v>26</v>
      </c>
      <c r="E162" s="2">
        <v>1</v>
      </c>
      <c r="F162" t="s">
        <v>70</v>
      </c>
      <c r="G162">
        <v>3.99</v>
      </c>
      <c r="H162">
        <v>3.49</v>
      </c>
      <c r="I162" s="2" t="str">
        <f>_xlfn.XLOOKUP(F162,DeparaIMG!D:D,DeparaIMG!F:F,,0)</f>
        <v>BC0350.png</v>
      </c>
    </row>
    <row r="163" spans="1:9" x14ac:dyDescent="0.25">
      <c r="A163" s="2" t="s">
        <v>10</v>
      </c>
      <c r="B163" s="2" t="s">
        <v>62</v>
      </c>
      <c r="C163" t="s">
        <v>112</v>
      </c>
      <c r="D163" t="s">
        <v>26</v>
      </c>
      <c r="E163" s="2">
        <v>2</v>
      </c>
      <c r="F163" t="s">
        <v>70</v>
      </c>
      <c r="G163">
        <v>3.99</v>
      </c>
      <c r="H163">
        <v>3.49</v>
      </c>
      <c r="I163" s="2" t="str">
        <f>_xlfn.XLOOKUP(F163,DeparaIMG!D:D,DeparaIMG!F:F,,0)</f>
        <v>BC0350.png</v>
      </c>
    </row>
    <row r="164" spans="1:9" x14ac:dyDescent="0.25">
      <c r="A164" s="2" t="s">
        <v>10</v>
      </c>
      <c r="B164" s="2" t="s">
        <v>62</v>
      </c>
      <c r="C164" t="s">
        <v>87</v>
      </c>
      <c r="D164" t="s">
        <v>26</v>
      </c>
      <c r="E164" s="2">
        <v>1</v>
      </c>
      <c r="F164" t="s">
        <v>70</v>
      </c>
      <c r="G164">
        <v>3.99</v>
      </c>
      <c r="H164">
        <v>3.49</v>
      </c>
      <c r="I164" s="2" t="str">
        <f>_xlfn.XLOOKUP(F164,DeparaIMG!D:D,DeparaIMG!F:F,,0)</f>
        <v>BC0350.png</v>
      </c>
    </row>
    <row r="165" spans="1:9" x14ac:dyDescent="0.25">
      <c r="A165" s="2" t="s">
        <v>10</v>
      </c>
      <c r="B165" s="2" t="s">
        <v>62</v>
      </c>
      <c r="C165" t="s">
        <v>87</v>
      </c>
      <c r="D165" t="s">
        <v>26</v>
      </c>
      <c r="E165" s="2">
        <v>2</v>
      </c>
      <c r="F165" t="s">
        <v>70</v>
      </c>
      <c r="G165">
        <v>3.99</v>
      </c>
      <c r="H165">
        <v>3.49</v>
      </c>
      <c r="I165" s="2" t="str">
        <f>_xlfn.XLOOKUP(F165,DeparaIMG!D:D,DeparaIMG!F:F,,0)</f>
        <v>BC0350.png</v>
      </c>
    </row>
    <row r="166" spans="1:9" x14ac:dyDescent="0.25">
      <c r="A166" s="2" t="s">
        <v>10</v>
      </c>
      <c r="B166" s="2" t="s">
        <v>62</v>
      </c>
      <c r="C166" t="s">
        <v>29</v>
      </c>
      <c r="D166" t="s">
        <v>26</v>
      </c>
      <c r="E166" s="2">
        <v>1</v>
      </c>
      <c r="F166" t="s">
        <v>70</v>
      </c>
      <c r="G166">
        <v>3.99</v>
      </c>
      <c r="H166">
        <v>3.49</v>
      </c>
      <c r="I166" s="2" t="str">
        <f>_xlfn.XLOOKUP(F166,DeparaIMG!D:D,DeparaIMG!F:F,,0)</f>
        <v>BC0350.png</v>
      </c>
    </row>
    <row r="167" spans="1:9" x14ac:dyDescent="0.25">
      <c r="A167" s="2" t="s">
        <v>10</v>
      </c>
      <c r="B167" s="2" t="s">
        <v>62</v>
      </c>
      <c r="C167" t="s">
        <v>29</v>
      </c>
      <c r="D167" t="s">
        <v>26</v>
      </c>
      <c r="E167" s="2">
        <v>2</v>
      </c>
      <c r="F167" t="s">
        <v>70</v>
      </c>
      <c r="G167">
        <v>3.99</v>
      </c>
      <c r="H167">
        <v>3.49</v>
      </c>
      <c r="I167" s="2" t="str">
        <f>_xlfn.XLOOKUP(F167,DeparaIMG!D:D,DeparaIMG!F:F,,0)</f>
        <v>BC0350.png</v>
      </c>
    </row>
    <row r="168" spans="1:9" x14ac:dyDescent="0.25">
      <c r="A168" s="2" t="s">
        <v>10</v>
      </c>
      <c r="B168" s="2" t="s">
        <v>62</v>
      </c>
      <c r="C168" t="s">
        <v>88</v>
      </c>
      <c r="D168" t="s">
        <v>26</v>
      </c>
      <c r="E168" s="2">
        <v>1</v>
      </c>
      <c r="F168" t="s">
        <v>70</v>
      </c>
      <c r="G168">
        <v>3.99</v>
      </c>
      <c r="H168">
        <v>3.49</v>
      </c>
      <c r="I168" s="2" t="str">
        <f>_xlfn.XLOOKUP(F168,DeparaIMG!D:D,DeparaIMG!F:F,,0)</f>
        <v>BC0350.png</v>
      </c>
    </row>
    <row r="169" spans="1:9" x14ac:dyDescent="0.25">
      <c r="A169" s="2" t="s">
        <v>10</v>
      </c>
      <c r="B169" s="2" t="s">
        <v>62</v>
      </c>
      <c r="C169" t="s">
        <v>88</v>
      </c>
      <c r="D169" t="s">
        <v>26</v>
      </c>
      <c r="E169" s="2">
        <v>2</v>
      </c>
      <c r="F169" t="s">
        <v>70</v>
      </c>
      <c r="G169">
        <v>3.99</v>
      </c>
      <c r="H169">
        <v>3.49</v>
      </c>
      <c r="I169" s="2" t="str">
        <f>_xlfn.XLOOKUP(F169,DeparaIMG!D:D,DeparaIMG!F:F,,0)</f>
        <v>BC0350.png</v>
      </c>
    </row>
    <row r="170" spans="1:9" x14ac:dyDescent="0.25">
      <c r="A170" s="2" t="s">
        <v>10</v>
      </c>
      <c r="B170" s="2" t="s">
        <v>62</v>
      </c>
      <c r="C170" t="s">
        <v>113</v>
      </c>
      <c r="D170" t="s">
        <v>26</v>
      </c>
      <c r="E170" s="2">
        <v>1</v>
      </c>
      <c r="F170" t="s">
        <v>70</v>
      </c>
      <c r="G170">
        <v>3.99</v>
      </c>
      <c r="H170">
        <v>3.49</v>
      </c>
      <c r="I170" s="2" t="str">
        <f>_xlfn.XLOOKUP(F170,DeparaIMG!D:D,DeparaIMG!F:F,,0)</f>
        <v>BC0350.png</v>
      </c>
    </row>
    <row r="171" spans="1:9" x14ac:dyDescent="0.25">
      <c r="A171" s="2" t="s">
        <v>10</v>
      </c>
      <c r="B171" s="2" t="s">
        <v>62</v>
      </c>
      <c r="C171" t="s">
        <v>113</v>
      </c>
      <c r="D171" t="s">
        <v>26</v>
      </c>
      <c r="E171" s="2">
        <v>2</v>
      </c>
      <c r="F171" t="s">
        <v>70</v>
      </c>
      <c r="G171">
        <v>3.99</v>
      </c>
      <c r="H171">
        <v>3.49</v>
      </c>
      <c r="I171" s="2" t="str">
        <f>_xlfn.XLOOKUP(F171,DeparaIMG!D:D,DeparaIMG!F:F,,0)</f>
        <v>BC0350.png</v>
      </c>
    </row>
    <row r="172" spans="1:9" x14ac:dyDescent="0.25">
      <c r="A172" s="2" t="s">
        <v>10</v>
      </c>
      <c r="B172" s="2" t="s">
        <v>62</v>
      </c>
      <c r="C172" t="s">
        <v>90</v>
      </c>
      <c r="D172" t="s">
        <v>26</v>
      </c>
      <c r="E172" s="2">
        <v>1</v>
      </c>
      <c r="F172" t="s">
        <v>70</v>
      </c>
      <c r="G172">
        <v>3.99</v>
      </c>
      <c r="H172">
        <v>3.49</v>
      </c>
      <c r="I172" s="2" t="str">
        <f>_xlfn.XLOOKUP(F172,DeparaIMG!D:D,DeparaIMG!F:F,,0)</f>
        <v>BC0350.png</v>
      </c>
    </row>
    <row r="173" spans="1:9" x14ac:dyDescent="0.25">
      <c r="A173" s="2" t="s">
        <v>10</v>
      </c>
      <c r="B173" s="2" t="s">
        <v>62</v>
      </c>
      <c r="C173" t="s">
        <v>90</v>
      </c>
      <c r="D173" t="s">
        <v>26</v>
      </c>
      <c r="E173" s="2">
        <v>2</v>
      </c>
      <c r="F173" t="s">
        <v>70</v>
      </c>
      <c r="G173">
        <v>3.99</v>
      </c>
      <c r="H173">
        <v>3.49</v>
      </c>
      <c r="I173" s="2" t="str">
        <f>_xlfn.XLOOKUP(F173,DeparaIMG!D:D,DeparaIMG!F:F,,0)</f>
        <v>BC0350.png</v>
      </c>
    </row>
    <row r="174" spans="1:9" x14ac:dyDescent="0.25">
      <c r="A174" s="2" t="s">
        <v>10</v>
      </c>
      <c r="B174" s="2" t="s">
        <v>62</v>
      </c>
      <c r="C174" t="s">
        <v>89</v>
      </c>
      <c r="D174" t="s">
        <v>26</v>
      </c>
      <c r="E174" s="2">
        <v>1</v>
      </c>
      <c r="F174" t="s">
        <v>70</v>
      </c>
      <c r="G174">
        <v>3.99</v>
      </c>
      <c r="H174">
        <v>3.49</v>
      </c>
      <c r="I174" s="2" t="str">
        <f>_xlfn.XLOOKUP(F174,DeparaIMG!D:D,DeparaIMG!F:F,,0)</f>
        <v>BC0350.png</v>
      </c>
    </row>
    <row r="175" spans="1:9" x14ac:dyDescent="0.25">
      <c r="A175" s="2" t="s">
        <v>10</v>
      </c>
      <c r="B175" s="2" t="s">
        <v>62</v>
      </c>
      <c r="C175" t="s">
        <v>89</v>
      </c>
      <c r="D175" t="s">
        <v>26</v>
      </c>
      <c r="E175" s="2">
        <v>2</v>
      </c>
      <c r="F175" t="s">
        <v>70</v>
      </c>
      <c r="G175">
        <v>3.99</v>
      </c>
      <c r="H175">
        <v>3.49</v>
      </c>
      <c r="I175" s="2" t="str">
        <f>_xlfn.XLOOKUP(F175,DeparaIMG!D:D,DeparaIMG!F:F,,0)</f>
        <v>BC0350.png</v>
      </c>
    </row>
    <row r="176" spans="1:9" x14ac:dyDescent="0.25">
      <c r="A176" s="2" t="s">
        <v>10</v>
      </c>
      <c r="B176" s="2" t="s">
        <v>62</v>
      </c>
      <c r="C176" t="s">
        <v>113</v>
      </c>
      <c r="D176" t="s">
        <v>25</v>
      </c>
      <c r="E176" s="2">
        <v>1</v>
      </c>
      <c r="F176" t="s">
        <v>74</v>
      </c>
      <c r="G176">
        <v>4.1900000000000004</v>
      </c>
      <c r="H176">
        <v>3.19</v>
      </c>
      <c r="I176" s="2" t="str">
        <f>_xlfn.XLOOKUP(F176,DeparaIMG!D:D,DeparaIMG!F:F,,0)</f>
        <v>BUDZERO350.png</v>
      </c>
    </row>
    <row r="177" spans="1:9" x14ac:dyDescent="0.25">
      <c r="A177" s="2" t="s">
        <v>10</v>
      </c>
      <c r="B177" s="2" t="s">
        <v>62</v>
      </c>
      <c r="C177" t="s">
        <v>113</v>
      </c>
      <c r="D177" t="s">
        <v>26</v>
      </c>
      <c r="E177" s="2">
        <v>1</v>
      </c>
      <c r="F177" t="s">
        <v>74</v>
      </c>
      <c r="G177">
        <v>4.1900000000000004</v>
      </c>
      <c r="H177">
        <v>3.19</v>
      </c>
      <c r="I177" s="2" t="str">
        <f>_xlfn.XLOOKUP(F177,DeparaIMG!D:D,DeparaIMG!F:F,,0)</f>
        <v>BUDZERO350.png</v>
      </c>
    </row>
    <row r="178" spans="1:9" x14ac:dyDescent="0.25">
      <c r="A178" s="2" t="s">
        <v>10</v>
      </c>
      <c r="B178" s="2" t="s">
        <v>62</v>
      </c>
      <c r="C178" t="s">
        <v>87</v>
      </c>
      <c r="D178" t="s">
        <v>26</v>
      </c>
      <c r="E178" s="2">
        <v>2</v>
      </c>
      <c r="F178" t="s">
        <v>64</v>
      </c>
      <c r="G178">
        <v>4.1900000000000004</v>
      </c>
      <c r="H178">
        <v>3.99</v>
      </c>
      <c r="I178" s="2" t="str">
        <f>_xlfn.XLOOKUP(F178,DeparaIMG!D:D,DeparaIMG!F:F,,0)</f>
        <v>SKZERO350.png</v>
      </c>
    </row>
    <row r="179" spans="1:9" x14ac:dyDescent="0.25">
      <c r="A179" s="2" t="s">
        <v>10</v>
      </c>
      <c r="B179" s="2" t="s">
        <v>62</v>
      </c>
      <c r="C179" t="s">
        <v>88</v>
      </c>
      <c r="D179" t="s">
        <v>26</v>
      </c>
      <c r="E179" s="2">
        <v>2</v>
      </c>
      <c r="F179" t="s">
        <v>64</v>
      </c>
      <c r="G179">
        <v>4.1900000000000004</v>
      </c>
      <c r="H179">
        <v>3.99</v>
      </c>
      <c r="I179" s="2" t="str">
        <f>_xlfn.XLOOKUP(F179,DeparaIMG!D:D,DeparaIMG!F:F,,0)</f>
        <v>SKZERO350.png</v>
      </c>
    </row>
    <row r="180" spans="1:9" x14ac:dyDescent="0.25">
      <c r="A180" s="2" t="s">
        <v>10</v>
      </c>
      <c r="B180" s="2" t="s">
        <v>62</v>
      </c>
      <c r="C180" t="s">
        <v>113</v>
      </c>
      <c r="D180" t="s">
        <v>26</v>
      </c>
      <c r="E180" s="2">
        <v>2</v>
      </c>
      <c r="F180" t="s">
        <v>64</v>
      </c>
      <c r="G180">
        <v>4.1900000000000004</v>
      </c>
      <c r="H180">
        <v>3.99</v>
      </c>
      <c r="I180" s="2" t="str">
        <f>_xlfn.XLOOKUP(F180,DeparaIMG!D:D,DeparaIMG!F:F,,0)</f>
        <v>SKZERO350.png</v>
      </c>
    </row>
    <row r="181" spans="1:9" x14ac:dyDescent="0.25">
      <c r="A181" s="2" t="s">
        <v>10</v>
      </c>
      <c r="B181" s="2" t="s">
        <v>62</v>
      </c>
      <c r="C181" t="s">
        <v>89</v>
      </c>
      <c r="D181" t="s">
        <v>26</v>
      </c>
      <c r="E181" s="2">
        <v>2</v>
      </c>
      <c r="F181" t="s">
        <v>64</v>
      </c>
      <c r="G181">
        <v>4.1900000000000004</v>
      </c>
      <c r="H181">
        <v>4.09</v>
      </c>
      <c r="I181" s="2" t="str">
        <f>_xlfn.XLOOKUP(F181,DeparaIMG!D:D,DeparaIMG!F:F,,0)</f>
        <v>SKZERO350.png</v>
      </c>
    </row>
    <row r="182" spans="1:9" x14ac:dyDescent="0.25">
      <c r="A182" s="2" t="s">
        <v>10</v>
      </c>
      <c r="B182" s="2" t="s">
        <v>62</v>
      </c>
      <c r="C182" t="s">
        <v>90</v>
      </c>
      <c r="D182" t="s">
        <v>26</v>
      </c>
      <c r="E182" s="2">
        <v>2</v>
      </c>
      <c r="F182" t="s">
        <v>64</v>
      </c>
      <c r="G182">
        <v>4.1900000000000004</v>
      </c>
      <c r="H182">
        <v>3.99</v>
      </c>
      <c r="I182" s="2" t="str">
        <f>_xlfn.XLOOKUP(F182,DeparaIMG!D:D,DeparaIMG!F:F,,0)</f>
        <v>SKZERO350.png</v>
      </c>
    </row>
    <row r="183" spans="1:9" x14ac:dyDescent="0.25">
      <c r="A183" s="2" t="s">
        <v>10</v>
      </c>
      <c r="B183" s="2" t="s">
        <v>62</v>
      </c>
      <c r="C183" t="s">
        <v>112</v>
      </c>
      <c r="D183" t="s">
        <v>26</v>
      </c>
      <c r="E183" s="2">
        <v>2</v>
      </c>
      <c r="F183" t="s">
        <v>64</v>
      </c>
      <c r="G183">
        <v>4.1900000000000004</v>
      </c>
      <c r="H183">
        <v>3.99</v>
      </c>
      <c r="I183" s="2" t="str">
        <f>_xlfn.XLOOKUP(F183,DeparaIMG!D:D,DeparaIMG!F:F,,0)</f>
        <v>SKZERO350.png</v>
      </c>
    </row>
    <row r="184" spans="1:9" x14ac:dyDescent="0.25">
      <c r="A184" s="2" t="s">
        <v>10</v>
      </c>
      <c r="B184" s="2" t="s">
        <v>62</v>
      </c>
      <c r="C184" t="s">
        <v>29</v>
      </c>
      <c r="D184" t="s">
        <v>26</v>
      </c>
      <c r="E184" s="2">
        <v>2</v>
      </c>
      <c r="F184" t="s">
        <v>64</v>
      </c>
      <c r="G184">
        <v>4.1900000000000004</v>
      </c>
      <c r="H184">
        <v>3.99</v>
      </c>
      <c r="I184" s="2" t="str">
        <f>_xlfn.XLOOKUP(F184,DeparaIMG!D:D,DeparaIMG!F:F,,0)</f>
        <v>SKZERO350.png</v>
      </c>
    </row>
    <row r="185" spans="1:9" x14ac:dyDescent="0.25">
      <c r="A185" s="2" t="s">
        <v>10</v>
      </c>
      <c r="B185" s="2" t="s">
        <v>62</v>
      </c>
      <c r="C185" t="s">
        <v>87</v>
      </c>
      <c r="D185" t="s">
        <v>26</v>
      </c>
      <c r="E185" s="2">
        <v>2</v>
      </c>
      <c r="F185" t="s">
        <v>75</v>
      </c>
      <c r="G185">
        <v>4.29</v>
      </c>
      <c r="H185">
        <v>3.69</v>
      </c>
      <c r="I185" s="2" t="str">
        <f>_xlfn.XLOOKUP(F185,DeparaIMG!D:D,DeparaIMG!F:F,,0)</f>
        <v>STE269.png</v>
      </c>
    </row>
    <row r="186" spans="1:9" x14ac:dyDescent="0.25">
      <c r="A186" s="2" t="s">
        <v>10</v>
      </c>
      <c r="B186" s="2" t="s">
        <v>62</v>
      </c>
      <c r="C186" t="s">
        <v>88</v>
      </c>
      <c r="D186" t="s">
        <v>26</v>
      </c>
      <c r="E186" s="2">
        <v>2</v>
      </c>
      <c r="F186" t="s">
        <v>75</v>
      </c>
      <c r="G186">
        <v>4.29</v>
      </c>
      <c r="H186">
        <v>3.69</v>
      </c>
      <c r="I186" s="2" t="str">
        <f>_xlfn.XLOOKUP(F186,DeparaIMG!D:D,DeparaIMG!F:F,,0)</f>
        <v>STE269.png</v>
      </c>
    </row>
    <row r="187" spans="1:9" x14ac:dyDescent="0.25">
      <c r="A187" s="2" t="s">
        <v>10</v>
      </c>
      <c r="B187" s="2" t="s">
        <v>62</v>
      </c>
      <c r="C187" t="s">
        <v>90</v>
      </c>
      <c r="D187" t="s">
        <v>26</v>
      </c>
      <c r="E187" s="2">
        <v>2</v>
      </c>
      <c r="F187" t="s">
        <v>75</v>
      </c>
      <c r="G187">
        <v>4.29</v>
      </c>
      <c r="H187">
        <v>3.69</v>
      </c>
      <c r="I187" s="2" t="str">
        <f>_xlfn.XLOOKUP(F187,DeparaIMG!D:D,DeparaIMG!F:F,,0)</f>
        <v>STE269.png</v>
      </c>
    </row>
    <row r="188" spans="1:9" x14ac:dyDescent="0.25">
      <c r="A188" s="2" t="s">
        <v>10</v>
      </c>
      <c r="B188" s="2" t="s">
        <v>62</v>
      </c>
      <c r="C188" t="s">
        <v>89</v>
      </c>
      <c r="D188" t="s">
        <v>26</v>
      </c>
      <c r="E188" s="2">
        <v>2</v>
      </c>
      <c r="F188" t="s">
        <v>75</v>
      </c>
      <c r="G188">
        <v>4.29</v>
      </c>
      <c r="H188">
        <v>3.69</v>
      </c>
      <c r="I188" s="2" t="str">
        <f>_xlfn.XLOOKUP(F188,DeparaIMG!D:D,DeparaIMG!F:F,,0)</f>
        <v>STE269.png</v>
      </c>
    </row>
    <row r="189" spans="1:9" x14ac:dyDescent="0.25">
      <c r="A189" s="2" t="s">
        <v>10</v>
      </c>
      <c r="B189" s="2" t="s">
        <v>62</v>
      </c>
      <c r="C189" t="s">
        <v>113</v>
      </c>
      <c r="D189" t="s">
        <v>26</v>
      </c>
      <c r="E189" s="2">
        <v>1</v>
      </c>
      <c r="F189" t="s">
        <v>76</v>
      </c>
      <c r="G189">
        <v>4.29</v>
      </c>
      <c r="H189">
        <v>3.69</v>
      </c>
      <c r="I189" s="2" t="str">
        <f>_xlfn.XLOOKUP(F189,DeparaIMG!D:D,DeparaIMG!F:F,,0)</f>
        <v>BUD350.png</v>
      </c>
    </row>
    <row r="190" spans="1:9" x14ac:dyDescent="0.25">
      <c r="A190" s="2" t="s">
        <v>10</v>
      </c>
      <c r="B190" s="2" t="s">
        <v>62</v>
      </c>
      <c r="C190" t="s">
        <v>112</v>
      </c>
      <c r="D190" t="s">
        <v>25</v>
      </c>
      <c r="E190" s="2">
        <v>1</v>
      </c>
      <c r="F190" t="s">
        <v>74</v>
      </c>
      <c r="G190">
        <v>4.49</v>
      </c>
      <c r="H190">
        <v>3.49</v>
      </c>
      <c r="I190" s="2" t="str">
        <f>_xlfn.XLOOKUP(F190,DeparaIMG!D:D,DeparaIMG!F:F,,0)</f>
        <v>BUDZERO350.png</v>
      </c>
    </row>
    <row r="191" spans="1:9" x14ac:dyDescent="0.25">
      <c r="A191" s="2" t="s">
        <v>10</v>
      </c>
      <c r="B191" s="2" t="s">
        <v>62</v>
      </c>
      <c r="C191" t="s">
        <v>112</v>
      </c>
      <c r="D191" t="s">
        <v>26</v>
      </c>
      <c r="E191" s="2">
        <v>1</v>
      </c>
      <c r="F191" t="s">
        <v>76</v>
      </c>
      <c r="G191">
        <v>4.49</v>
      </c>
      <c r="H191">
        <v>3.89</v>
      </c>
      <c r="I191" s="2" t="str">
        <f>_xlfn.XLOOKUP(F191,DeparaIMG!D:D,DeparaIMG!F:F,,0)</f>
        <v>BUD350.png</v>
      </c>
    </row>
    <row r="192" spans="1:9" x14ac:dyDescent="0.25">
      <c r="A192" s="2" t="s">
        <v>10</v>
      </c>
      <c r="B192" s="2" t="s">
        <v>62</v>
      </c>
      <c r="C192" t="s">
        <v>112</v>
      </c>
      <c r="D192" t="s">
        <v>26</v>
      </c>
      <c r="E192" s="2">
        <v>1</v>
      </c>
      <c r="F192" t="s">
        <v>74</v>
      </c>
      <c r="G192">
        <v>4.49</v>
      </c>
      <c r="H192">
        <v>3.49</v>
      </c>
      <c r="I192" s="2" t="str">
        <f>_xlfn.XLOOKUP(F192,DeparaIMG!D:D,DeparaIMG!F:F,,0)</f>
        <v>BUDZERO350.png</v>
      </c>
    </row>
    <row r="193" spans="1:9" x14ac:dyDescent="0.25">
      <c r="A193" s="2" t="s">
        <v>10</v>
      </c>
      <c r="B193" s="2" t="s">
        <v>62</v>
      </c>
      <c r="C193" t="s">
        <v>29</v>
      </c>
      <c r="D193" t="s">
        <v>25</v>
      </c>
      <c r="E193" s="2">
        <v>1</v>
      </c>
      <c r="F193" t="s">
        <v>74</v>
      </c>
      <c r="G193">
        <v>4.49</v>
      </c>
      <c r="H193">
        <v>3.49</v>
      </c>
      <c r="I193" s="2" t="str">
        <f>_xlfn.XLOOKUP(F193,DeparaIMG!D:D,DeparaIMG!F:F,,0)</f>
        <v>BUDZERO350.png</v>
      </c>
    </row>
    <row r="194" spans="1:9" x14ac:dyDescent="0.25">
      <c r="A194" s="2" t="s">
        <v>10</v>
      </c>
      <c r="B194" s="2" t="s">
        <v>62</v>
      </c>
      <c r="C194" t="s">
        <v>29</v>
      </c>
      <c r="D194" t="s">
        <v>26</v>
      </c>
      <c r="E194" s="2">
        <v>1</v>
      </c>
      <c r="F194" t="s">
        <v>76</v>
      </c>
      <c r="G194">
        <v>4.49</v>
      </c>
      <c r="H194">
        <v>3.89</v>
      </c>
      <c r="I194" s="2" t="str">
        <f>_xlfn.XLOOKUP(F194,DeparaIMG!D:D,DeparaIMG!F:F,,0)</f>
        <v>BUD350.png</v>
      </c>
    </row>
    <row r="195" spans="1:9" x14ac:dyDescent="0.25">
      <c r="A195" s="2" t="s">
        <v>10</v>
      </c>
      <c r="B195" s="2" t="s">
        <v>62</v>
      </c>
      <c r="C195" t="s">
        <v>29</v>
      </c>
      <c r="D195" t="s">
        <v>26</v>
      </c>
      <c r="E195" s="2">
        <v>1</v>
      </c>
      <c r="F195" t="s">
        <v>74</v>
      </c>
      <c r="G195">
        <v>4.49</v>
      </c>
      <c r="H195">
        <v>3.49</v>
      </c>
      <c r="I195" s="2" t="str">
        <f>_xlfn.XLOOKUP(F195,DeparaIMG!D:D,DeparaIMG!F:F,,0)</f>
        <v>BUDZERO350.png</v>
      </c>
    </row>
    <row r="196" spans="1:9" x14ac:dyDescent="0.25">
      <c r="A196" s="2" t="s">
        <v>10</v>
      </c>
      <c r="B196" s="2" t="s">
        <v>62</v>
      </c>
      <c r="C196" t="s">
        <v>87</v>
      </c>
      <c r="D196" t="s">
        <v>25</v>
      </c>
      <c r="E196" s="2">
        <v>1</v>
      </c>
      <c r="F196" t="s">
        <v>74</v>
      </c>
      <c r="G196">
        <v>4.49</v>
      </c>
      <c r="H196">
        <v>3.49</v>
      </c>
      <c r="I196" s="2" t="str">
        <f>_xlfn.XLOOKUP(F196,DeparaIMG!D:D,DeparaIMG!F:F,,0)</f>
        <v>BUDZERO350.png</v>
      </c>
    </row>
    <row r="197" spans="1:9" x14ac:dyDescent="0.25">
      <c r="A197" s="2" t="s">
        <v>10</v>
      </c>
      <c r="B197" s="2" t="s">
        <v>62</v>
      </c>
      <c r="C197" t="s">
        <v>87</v>
      </c>
      <c r="D197" t="s">
        <v>26</v>
      </c>
      <c r="E197" s="2">
        <v>1</v>
      </c>
      <c r="F197" t="s">
        <v>74</v>
      </c>
      <c r="G197">
        <v>4.49</v>
      </c>
      <c r="H197">
        <v>3.49</v>
      </c>
      <c r="I197" s="2" t="str">
        <f>_xlfn.XLOOKUP(F197,DeparaIMG!D:D,DeparaIMG!F:F,,0)</f>
        <v>BUDZERO350.png</v>
      </c>
    </row>
    <row r="198" spans="1:9" x14ac:dyDescent="0.25">
      <c r="A198" s="2" t="s">
        <v>10</v>
      </c>
      <c r="B198" s="2" t="s">
        <v>62</v>
      </c>
      <c r="C198" t="s">
        <v>88</v>
      </c>
      <c r="D198" t="s">
        <v>25</v>
      </c>
      <c r="E198" s="2">
        <v>1</v>
      </c>
      <c r="F198" t="s">
        <v>74</v>
      </c>
      <c r="G198">
        <v>4.49</v>
      </c>
      <c r="H198">
        <v>3.49</v>
      </c>
      <c r="I198" s="2" t="str">
        <f>_xlfn.XLOOKUP(F198,DeparaIMG!D:D,DeparaIMG!F:F,,0)</f>
        <v>BUDZERO350.png</v>
      </c>
    </row>
    <row r="199" spans="1:9" x14ac:dyDescent="0.25">
      <c r="A199" s="2" t="s">
        <v>10</v>
      </c>
      <c r="B199" s="2" t="s">
        <v>62</v>
      </c>
      <c r="C199" t="s">
        <v>88</v>
      </c>
      <c r="D199" t="s">
        <v>26</v>
      </c>
      <c r="E199" s="2">
        <v>1</v>
      </c>
      <c r="F199" t="s">
        <v>74</v>
      </c>
      <c r="G199">
        <v>4.49</v>
      </c>
      <c r="H199">
        <v>3.49</v>
      </c>
      <c r="I199" s="2" t="str">
        <f>_xlfn.XLOOKUP(F199,DeparaIMG!D:D,DeparaIMG!F:F,,0)</f>
        <v>BUDZERO350.png</v>
      </c>
    </row>
    <row r="200" spans="1:9" x14ac:dyDescent="0.25">
      <c r="A200" s="2" t="s">
        <v>10</v>
      </c>
      <c r="B200" s="2" t="s">
        <v>62</v>
      </c>
      <c r="C200" t="s">
        <v>89</v>
      </c>
      <c r="D200" t="s">
        <v>26</v>
      </c>
      <c r="E200" s="2">
        <v>1</v>
      </c>
      <c r="F200" t="s">
        <v>74</v>
      </c>
      <c r="G200">
        <v>4.49</v>
      </c>
      <c r="H200">
        <v>3.49</v>
      </c>
      <c r="I200" s="2" t="str">
        <f>_xlfn.XLOOKUP(F200,DeparaIMG!D:D,DeparaIMG!F:F,,0)</f>
        <v>BUDZERO350.png</v>
      </c>
    </row>
    <row r="201" spans="1:9" x14ac:dyDescent="0.25">
      <c r="A201" s="2" t="s">
        <v>10</v>
      </c>
      <c r="B201" s="2" t="s">
        <v>62</v>
      </c>
      <c r="C201" t="s">
        <v>89</v>
      </c>
      <c r="D201" t="s">
        <v>25</v>
      </c>
      <c r="E201" s="2">
        <v>1</v>
      </c>
      <c r="F201" t="s">
        <v>74</v>
      </c>
      <c r="G201">
        <v>4.49</v>
      </c>
      <c r="H201">
        <v>3.49</v>
      </c>
      <c r="I201" s="2" t="str">
        <f>_xlfn.XLOOKUP(F201,DeparaIMG!D:D,DeparaIMG!F:F,,0)</f>
        <v>BUDZERO350.png</v>
      </c>
    </row>
    <row r="202" spans="1:9" x14ac:dyDescent="0.25">
      <c r="A202" s="2" t="s">
        <v>10</v>
      </c>
      <c r="B202" s="2" t="s">
        <v>62</v>
      </c>
      <c r="C202" t="s">
        <v>90</v>
      </c>
      <c r="D202" t="s">
        <v>25</v>
      </c>
      <c r="E202" s="2">
        <v>1</v>
      </c>
      <c r="F202" t="s">
        <v>74</v>
      </c>
      <c r="G202">
        <v>4.49</v>
      </c>
      <c r="H202">
        <v>3.49</v>
      </c>
      <c r="I202" s="2" t="str">
        <f>_xlfn.XLOOKUP(F202,DeparaIMG!D:D,DeparaIMG!F:F,,0)</f>
        <v>BUDZERO350.png</v>
      </c>
    </row>
    <row r="203" spans="1:9" x14ac:dyDescent="0.25">
      <c r="A203" s="2" t="s">
        <v>10</v>
      </c>
      <c r="B203" s="2" t="s">
        <v>62</v>
      </c>
      <c r="C203" t="s">
        <v>90</v>
      </c>
      <c r="D203" t="s">
        <v>26</v>
      </c>
      <c r="E203" s="2">
        <v>1</v>
      </c>
      <c r="F203" t="s">
        <v>74</v>
      </c>
      <c r="G203">
        <v>4.49</v>
      </c>
      <c r="H203">
        <v>3.49</v>
      </c>
      <c r="I203" s="2" t="str">
        <f>_xlfn.XLOOKUP(F203,DeparaIMG!D:D,DeparaIMG!F:F,,0)</f>
        <v>BUDZERO350.png</v>
      </c>
    </row>
    <row r="204" spans="1:9" x14ac:dyDescent="0.25">
      <c r="A204" s="2" t="s">
        <v>10</v>
      </c>
      <c r="B204" s="2" t="s">
        <v>62</v>
      </c>
      <c r="C204" t="s">
        <v>87</v>
      </c>
      <c r="D204" t="s">
        <v>26</v>
      </c>
      <c r="E204" s="2">
        <v>2</v>
      </c>
      <c r="F204" t="s">
        <v>77</v>
      </c>
      <c r="G204">
        <v>4.6900000000000004</v>
      </c>
      <c r="H204">
        <v>4.1900000000000004</v>
      </c>
      <c r="I204" s="2" t="str">
        <f>_xlfn.XLOOKUP(F204,DeparaIMG!D:D,DeparaIMG!F:F,,0)</f>
        <v>COR269.png</v>
      </c>
    </row>
    <row r="205" spans="1:9" x14ac:dyDescent="0.25">
      <c r="A205" s="2" t="s">
        <v>10</v>
      </c>
      <c r="B205" s="2" t="s">
        <v>62</v>
      </c>
      <c r="C205" t="s">
        <v>88</v>
      </c>
      <c r="D205" t="s">
        <v>26</v>
      </c>
      <c r="E205" s="2">
        <v>2</v>
      </c>
      <c r="F205" t="s">
        <v>77</v>
      </c>
      <c r="G205">
        <v>4.6900000000000004</v>
      </c>
      <c r="H205">
        <v>4.1900000000000004</v>
      </c>
      <c r="I205" s="2" t="str">
        <f>_xlfn.XLOOKUP(F205,DeparaIMG!D:D,DeparaIMG!F:F,,0)</f>
        <v>COR269.png</v>
      </c>
    </row>
    <row r="206" spans="1:9" x14ac:dyDescent="0.25">
      <c r="A206" s="2" t="s">
        <v>10</v>
      </c>
      <c r="B206" s="2" t="s">
        <v>62</v>
      </c>
      <c r="C206" t="s">
        <v>90</v>
      </c>
      <c r="D206" t="s">
        <v>26</v>
      </c>
      <c r="E206" s="2">
        <v>2</v>
      </c>
      <c r="F206" t="s">
        <v>77</v>
      </c>
      <c r="G206">
        <v>4.6900000000000004</v>
      </c>
      <c r="H206">
        <v>4.1900000000000004</v>
      </c>
      <c r="I206" s="2" t="str">
        <f>_xlfn.XLOOKUP(F206,DeparaIMG!D:D,DeparaIMG!F:F,,0)</f>
        <v>COR269.png</v>
      </c>
    </row>
    <row r="207" spans="1:9" x14ac:dyDescent="0.25">
      <c r="A207" s="2" t="s">
        <v>10</v>
      </c>
      <c r="B207" s="2" t="s">
        <v>62</v>
      </c>
      <c r="C207" t="s">
        <v>89</v>
      </c>
      <c r="D207" t="s">
        <v>26</v>
      </c>
      <c r="E207" s="2">
        <v>2</v>
      </c>
      <c r="F207" t="s">
        <v>77</v>
      </c>
      <c r="G207">
        <v>4.6900000000000004</v>
      </c>
      <c r="H207">
        <v>4.1900000000000004</v>
      </c>
      <c r="I207" s="2" t="str">
        <f>_xlfn.XLOOKUP(F207,DeparaIMG!D:D,DeparaIMG!F:F,,0)</f>
        <v>COR269.png</v>
      </c>
    </row>
    <row r="208" spans="1:9" x14ac:dyDescent="0.25">
      <c r="A208" s="2" t="s">
        <v>10</v>
      </c>
      <c r="B208" s="2" t="s">
        <v>62</v>
      </c>
      <c r="C208" t="s">
        <v>29</v>
      </c>
      <c r="D208" t="s">
        <v>26</v>
      </c>
      <c r="E208" s="2">
        <v>2</v>
      </c>
      <c r="F208" t="s">
        <v>65</v>
      </c>
      <c r="G208">
        <v>5.49</v>
      </c>
      <c r="H208">
        <v>4.6900000000000004</v>
      </c>
      <c r="I208" s="2" t="str">
        <f>_xlfn.XLOOKUP(F208,DeparaIMG!D:D,DeparaIMG!F:F,,0)</f>
        <v>STE350.png</v>
      </c>
    </row>
    <row r="209" spans="1:9" x14ac:dyDescent="0.25">
      <c r="A209" s="2" t="s">
        <v>10</v>
      </c>
      <c r="B209" s="2" t="s">
        <v>62</v>
      </c>
      <c r="C209" t="s">
        <v>112</v>
      </c>
      <c r="D209" t="s">
        <v>25</v>
      </c>
      <c r="E209" s="2">
        <v>1</v>
      </c>
      <c r="F209" t="s">
        <v>78</v>
      </c>
      <c r="G209">
        <v>5.49</v>
      </c>
      <c r="H209">
        <v>4.99</v>
      </c>
      <c r="I209" s="2" t="str">
        <f>_xlfn.XLOOKUP(F209,DeparaIMG!D:D,DeparaIMG!F:F,,0)</f>
        <v>MIC350.png</v>
      </c>
    </row>
    <row r="210" spans="1:9" x14ac:dyDescent="0.25">
      <c r="A210" s="2" t="s">
        <v>10</v>
      </c>
      <c r="B210" s="2" t="s">
        <v>62</v>
      </c>
      <c r="C210" t="s">
        <v>112</v>
      </c>
      <c r="D210" t="s">
        <v>26</v>
      </c>
      <c r="E210" s="2">
        <v>1</v>
      </c>
      <c r="F210" t="s">
        <v>78</v>
      </c>
      <c r="G210">
        <v>5.49</v>
      </c>
      <c r="H210">
        <v>4.99</v>
      </c>
      <c r="I210" s="2" t="str">
        <f>_xlfn.XLOOKUP(F210,DeparaIMG!D:D,DeparaIMG!F:F,,0)</f>
        <v>MIC350.png</v>
      </c>
    </row>
    <row r="211" spans="1:9" x14ac:dyDescent="0.25">
      <c r="A211" s="2" t="s">
        <v>10</v>
      </c>
      <c r="B211" s="2" t="s">
        <v>62</v>
      </c>
      <c r="C211" t="s">
        <v>29</v>
      </c>
      <c r="D211" t="s">
        <v>25</v>
      </c>
      <c r="E211" s="2">
        <v>1</v>
      </c>
      <c r="F211" t="s">
        <v>78</v>
      </c>
      <c r="G211">
        <v>5.49</v>
      </c>
      <c r="H211">
        <v>4.99</v>
      </c>
      <c r="I211" s="2" t="str">
        <f>_xlfn.XLOOKUP(F211,DeparaIMG!D:D,DeparaIMG!F:F,,0)</f>
        <v>MIC350.png</v>
      </c>
    </row>
    <row r="212" spans="1:9" x14ac:dyDescent="0.25">
      <c r="A212" s="2" t="s">
        <v>10</v>
      </c>
      <c r="B212" s="2" t="s">
        <v>62</v>
      </c>
      <c r="C212" t="s">
        <v>29</v>
      </c>
      <c r="D212" t="s">
        <v>26</v>
      </c>
      <c r="E212" s="2">
        <v>1</v>
      </c>
      <c r="F212" t="s">
        <v>78</v>
      </c>
      <c r="G212">
        <v>5.49</v>
      </c>
      <c r="H212">
        <v>4.99</v>
      </c>
      <c r="I212" s="2" t="str">
        <f>_xlfn.XLOOKUP(F212,DeparaIMG!D:D,DeparaIMG!F:F,,0)</f>
        <v>MIC350.png</v>
      </c>
    </row>
    <row r="213" spans="1:9" x14ac:dyDescent="0.25">
      <c r="A213" s="2" t="s">
        <v>10</v>
      </c>
      <c r="B213" s="2" t="s">
        <v>62</v>
      </c>
      <c r="C213" t="s">
        <v>87</v>
      </c>
      <c r="D213" t="s">
        <v>25</v>
      </c>
      <c r="E213" s="2">
        <v>1</v>
      </c>
      <c r="F213" t="s">
        <v>78</v>
      </c>
      <c r="G213">
        <v>5.49</v>
      </c>
      <c r="H213">
        <v>4.99</v>
      </c>
      <c r="I213" s="2" t="str">
        <f>_xlfn.XLOOKUP(F213,DeparaIMG!D:D,DeparaIMG!F:F,,0)</f>
        <v>MIC350.png</v>
      </c>
    </row>
    <row r="214" spans="1:9" x14ac:dyDescent="0.25">
      <c r="A214" s="2" t="s">
        <v>10</v>
      </c>
      <c r="B214" s="2" t="s">
        <v>62</v>
      </c>
      <c r="C214" t="s">
        <v>87</v>
      </c>
      <c r="D214" t="s">
        <v>26</v>
      </c>
      <c r="E214" s="2">
        <v>1</v>
      </c>
      <c r="F214" t="s">
        <v>78</v>
      </c>
      <c r="G214">
        <v>5.49</v>
      </c>
      <c r="H214">
        <v>4.99</v>
      </c>
      <c r="I214" s="2" t="str">
        <f>_xlfn.XLOOKUP(F214,DeparaIMG!D:D,DeparaIMG!F:F,,0)</f>
        <v>MIC350.png</v>
      </c>
    </row>
    <row r="215" spans="1:9" x14ac:dyDescent="0.25">
      <c r="A215" s="2" t="s">
        <v>10</v>
      </c>
      <c r="B215" s="2" t="s">
        <v>62</v>
      </c>
      <c r="C215" t="s">
        <v>113</v>
      </c>
      <c r="D215" t="s">
        <v>25</v>
      </c>
      <c r="E215" s="2">
        <v>1</v>
      </c>
      <c r="F215" t="s">
        <v>78</v>
      </c>
      <c r="G215">
        <v>5.49</v>
      </c>
      <c r="H215">
        <v>4.99</v>
      </c>
      <c r="I215" s="2" t="str">
        <f>_xlfn.XLOOKUP(F215,DeparaIMG!D:D,DeparaIMG!F:F,,0)</f>
        <v>MIC350.png</v>
      </c>
    </row>
    <row r="216" spans="1:9" x14ac:dyDescent="0.25">
      <c r="A216" s="2" t="s">
        <v>10</v>
      </c>
      <c r="B216" s="2" t="s">
        <v>62</v>
      </c>
      <c r="C216" t="s">
        <v>113</v>
      </c>
      <c r="D216" t="s">
        <v>26</v>
      </c>
      <c r="E216" s="2">
        <v>1</v>
      </c>
      <c r="F216" t="s">
        <v>78</v>
      </c>
      <c r="G216">
        <v>5.49</v>
      </c>
      <c r="H216">
        <v>4.99</v>
      </c>
      <c r="I216" s="2" t="str">
        <f>_xlfn.XLOOKUP(F216,DeparaIMG!D:D,DeparaIMG!F:F,,0)</f>
        <v>MIC350.png</v>
      </c>
    </row>
    <row r="217" spans="1:9" x14ac:dyDescent="0.25">
      <c r="A217" s="2" t="s">
        <v>10</v>
      </c>
      <c r="B217" s="2" t="s">
        <v>62</v>
      </c>
      <c r="C217" t="s">
        <v>112</v>
      </c>
      <c r="D217" t="s">
        <v>25</v>
      </c>
      <c r="E217" s="2">
        <v>2</v>
      </c>
      <c r="F217" t="s">
        <v>65</v>
      </c>
      <c r="G217">
        <v>5.49</v>
      </c>
      <c r="H217">
        <v>4.6900000000000004</v>
      </c>
      <c r="I217" s="2" t="str">
        <f>_xlfn.XLOOKUP(F217,DeparaIMG!D:D,DeparaIMG!F:F,,0)</f>
        <v>STE350.png</v>
      </c>
    </row>
    <row r="218" spans="1:9" x14ac:dyDescent="0.25">
      <c r="A218" s="2" t="s">
        <v>10</v>
      </c>
      <c r="B218" s="2" t="s">
        <v>62</v>
      </c>
      <c r="C218" t="s">
        <v>29</v>
      </c>
      <c r="D218" t="s">
        <v>25</v>
      </c>
      <c r="E218" s="2">
        <v>2</v>
      </c>
      <c r="F218" t="s">
        <v>65</v>
      </c>
      <c r="G218">
        <v>5.49</v>
      </c>
      <c r="H218">
        <v>4.6900000000000004</v>
      </c>
      <c r="I218" s="2" t="str">
        <f>_xlfn.XLOOKUP(F218,DeparaIMG!D:D,DeparaIMG!F:F,,0)</f>
        <v>STE350.png</v>
      </c>
    </row>
    <row r="219" spans="1:9" x14ac:dyDescent="0.25">
      <c r="A219" s="2" t="s">
        <v>10</v>
      </c>
      <c r="B219" s="2" t="s">
        <v>62</v>
      </c>
      <c r="C219" t="s">
        <v>113</v>
      </c>
      <c r="D219" t="s">
        <v>26</v>
      </c>
      <c r="E219" s="2">
        <v>2</v>
      </c>
      <c r="F219" t="s">
        <v>65</v>
      </c>
      <c r="G219">
        <v>5.49</v>
      </c>
      <c r="H219">
        <v>4.6900000000000004</v>
      </c>
      <c r="I219" s="2" t="str">
        <f>_xlfn.XLOOKUP(F219,DeparaIMG!D:D,DeparaIMG!F:F,,0)</f>
        <v>STE350.png</v>
      </c>
    </row>
    <row r="220" spans="1:9" x14ac:dyDescent="0.25">
      <c r="A220" s="2" t="s">
        <v>10</v>
      </c>
      <c r="B220" s="2" t="s">
        <v>62</v>
      </c>
      <c r="C220" t="s">
        <v>88</v>
      </c>
      <c r="D220" t="s">
        <v>25</v>
      </c>
      <c r="E220" s="2">
        <v>1</v>
      </c>
      <c r="F220" t="s">
        <v>78</v>
      </c>
      <c r="G220">
        <v>5.49</v>
      </c>
      <c r="H220">
        <v>4.99</v>
      </c>
      <c r="I220" s="2" t="str">
        <f>_xlfn.XLOOKUP(F220,DeparaIMG!D:D,DeparaIMG!F:F,,0)</f>
        <v>MIC350.png</v>
      </c>
    </row>
    <row r="221" spans="1:9" x14ac:dyDescent="0.25">
      <c r="A221" s="2" t="s">
        <v>10</v>
      </c>
      <c r="B221" s="2" t="s">
        <v>62</v>
      </c>
      <c r="C221" t="s">
        <v>88</v>
      </c>
      <c r="D221" t="s">
        <v>26</v>
      </c>
      <c r="E221" s="2">
        <v>1</v>
      </c>
      <c r="F221" t="s">
        <v>78</v>
      </c>
      <c r="G221">
        <v>5.49</v>
      </c>
      <c r="H221">
        <v>4.99</v>
      </c>
      <c r="I221" s="2" t="str">
        <f>_xlfn.XLOOKUP(F221,DeparaIMG!D:D,DeparaIMG!F:F,,0)</f>
        <v>MIC350.png</v>
      </c>
    </row>
    <row r="222" spans="1:9" x14ac:dyDescent="0.25">
      <c r="A222" s="2" t="s">
        <v>10</v>
      </c>
      <c r="B222" s="2" t="s">
        <v>62</v>
      </c>
      <c r="C222" t="s">
        <v>89</v>
      </c>
      <c r="D222" t="s">
        <v>25</v>
      </c>
      <c r="E222" s="2">
        <v>1</v>
      </c>
      <c r="F222" t="s">
        <v>78</v>
      </c>
      <c r="G222">
        <v>5.49</v>
      </c>
      <c r="H222">
        <v>4.99</v>
      </c>
      <c r="I222" s="2" t="str">
        <f>_xlfn.XLOOKUP(F222,DeparaIMG!D:D,DeparaIMG!F:F,,0)</f>
        <v>MIC350.png</v>
      </c>
    </row>
    <row r="223" spans="1:9" x14ac:dyDescent="0.25">
      <c r="A223" s="2" t="s">
        <v>10</v>
      </c>
      <c r="B223" s="2" t="s">
        <v>62</v>
      </c>
      <c r="C223" t="s">
        <v>90</v>
      </c>
      <c r="D223" t="s">
        <v>25</v>
      </c>
      <c r="E223" s="2">
        <v>1</v>
      </c>
      <c r="F223" t="s">
        <v>78</v>
      </c>
      <c r="G223">
        <v>5.49</v>
      </c>
      <c r="H223">
        <v>4.99</v>
      </c>
      <c r="I223" s="2" t="str">
        <f>_xlfn.XLOOKUP(F223,DeparaIMG!D:D,DeparaIMG!F:F,,0)</f>
        <v>MIC350.png</v>
      </c>
    </row>
    <row r="224" spans="1:9" x14ac:dyDescent="0.25">
      <c r="A224" s="2" t="s">
        <v>10</v>
      </c>
      <c r="B224" s="2" t="s">
        <v>62</v>
      </c>
      <c r="C224" t="s">
        <v>89</v>
      </c>
      <c r="D224" t="s">
        <v>26</v>
      </c>
      <c r="E224" s="2">
        <v>1</v>
      </c>
      <c r="F224" t="s">
        <v>78</v>
      </c>
      <c r="G224">
        <v>5.49</v>
      </c>
      <c r="H224">
        <v>4.99</v>
      </c>
      <c r="I224" s="2" t="str">
        <f>_xlfn.XLOOKUP(F224,DeparaIMG!D:D,DeparaIMG!F:F,,0)</f>
        <v>MIC350.png</v>
      </c>
    </row>
    <row r="225" spans="1:9" x14ac:dyDescent="0.25">
      <c r="A225" s="2" t="s">
        <v>10</v>
      </c>
      <c r="B225" s="2" t="s">
        <v>62</v>
      </c>
      <c r="C225" t="s">
        <v>90</v>
      </c>
      <c r="D225" t="s">
        <v>26</v>
      </c>
      <c r="E225" s="2">
        <v>1</v>
      </c>
      <c r="F225" t="s">
        <v>78</v>
      </c>
      <c r="G225">
        <v>5.49</v>
      </c>
      <c r="H225">
        <v>4.99</v>
      </c>
      <c r="I225" s="2" t="str">
        <f>_xlfn.XLOOKUP(F225,DeparaIMG!D:D,DeparaIMG!F:F,,0)</f>
        <v>MIC350.png</v>
      </c>
    </row>
    <row r="226" spans="1:9" x14ac:dyDescent="0.25">
      <c r="A226" s="2" t="s">
        <v>10</v>
      </c>
      <c r="B226" s="2" t="s">
        <v>62</v>
      </c>
      <c r="C226" t="s">
        <v>113</v>
      </c>
      <c r="D226" t="s">
        <v>25</v>
      </c>
      <c r="E226" s="2">
        <v>2</v>
      </c>
      <c r="F226" t="s">
        <v>65</v>
      </c>
      <c r="G226">
        <v>5.49</v>
      </c>
      <c r="H226">
        <v>4.6900000000000004</v>
      </c>
      <c r="I226" s="2" t="str">
        <f>_xlfn.XLOOKUP(F226,DeparaIMG!D:D,DeparaIMG!F:F,,0)</f>
        <v>STE350.png</v>
      </c>
    </row>
    <row r="227" spans="1:9" x14ac:dyDescent="0.25">
      <c r="A227" s="2" t="s">
        <v>10</v>
      </c>
      <c r="B227" s="2" t="s">
        <v>62</v>
      </c>
      <c r="C227" t="s">
        <v>112</v>
      </c>
      <c r="D227" t="s">
        <v>26</v>
      </c>
      <c r="E227" s="2">
        <v>2</v>
      </c>
      <c r="F227" t="s">
        <v>79</v>
      </c>
      <c r="G227">
        <v>6.19</v>
      </c>
      <c r="H227">
        <v>5.39</v>
      </c>
      <c r="I227" s="2" t="str">
        <f>_xlfn.XLOOKUP(F227,DeparaIMG!D:D,DeparaIMG!F:F,,0)</f>
        <v>COR350.png</v>
      </c>
    </row>
    <row r="228" spans="1:9" x14ac:dyDescent="0.25">
      <c r="A228" s="2" t="s">
        <v>10</v>
      </c>
      <c r="B228" s="2" t="s">
        <v>62</v>
      </c>
      <c r="C228" t="s">
        <v>112</v>
      </c>
      <c r="D228" t="s">
        <v>26</v>
      </c>
      <c r="E228" s="2">
        <v>2</v>
      </c>
      <c r="F228" t="s">
        <v>80</v>
      </c>
      <c r="G228">
        <v>6.19</v>
      </c>
      <c r="H228">
        <v>5.39</v>
      </c>
      <c r="I228" s="2" t="str">
        <f>_xlfn.XLOOKUP(F228,DeparaIMG!D:D,DeparaIMG!F:F,,0)</f>
        <v>CORCERO350.png</v>
      </c>
    </row>
    <row r="229" spans="1:9" x14ac:dyDescent="0.25">
      <c r="A229" s="2" t="s">
        <v>10</v>
      </c>
      <c r="B229" s="2" t="s">
        <v>62</v>
      </c>
      <c r="C229" t="s">
        <v>112</v>
      </c>
      <c r="D229" t="s">
        <v>25</v>
      </c>
      <c r="E229" s="2">
        <v>2</v>
      </c>
      <c r="F229" t="s">
        <v>80</v>
      </c>
      <c r="G229">
        <v>6.19</v>
      </c>
      <c r="H229">
        <v>5.39</v>
      </c>
      <c r="I229" s="2" t="str">
        <f>_xlfn.XLOOKUP(F229,DeparaIMG!D:D,DeparaIMG!F:F,,0)</f>
        <v>CORCERO350.png</v>
      </c>
    </row>
    <row r="230" spans="1:9" x14ac:dyDescent="0.25">
      <c r="A230" s="2" t="s">
        <v>10</v>
      </c>
      <c r="B230" s="2" t="s">
        <v>62</v>
      </c>
      <c r="C230" t="s">
        <v>29</v>
      </c>
      <c r="D230" t="s">
        <v>26</v>
      </c>
      <c r="E230" s="2">
        <v>2</v>
      </c>
      <c r="F230" t="s">
        <v>79</v>
      </c>
      <c r="G230">
        <v>6.29</v>
      </c>
      <c r="H230">
        <v>5.49</v>
      </c>
      <c r="I230" s="2" t="str">
        <f>_xlfn.XLOOKUP(F230,DeparaIMG!D:D,DeparaIMG!F:F,,0)</f>
        <v>COR350.png</v>
      </c>
    </row>
    <row r="231" spans="1:9" x14ac:dyDescent="0.25">
      <c r="A231" s="2" t="s">
        <v>10</v>
      </c>
      <c r="B231" s="2" t="s">
        <v>62</v>
      </c>
      <c r="C231" t="s">
        <v>113</v>
      </c>
      <c r="D231" t="s">
        <v>26</v>
      </c>
      <c r="E231" s="2">
        <v>2</v>
      </c>
      <c r="F231" t="s">
        <v>79</v>
      </c>
      <c r="G231">
        <v>6.29</v>
      </c>
      <c r="H231">
        <v>5.49</v>
      </c>
      <c r="I231" s="2" t="str">
        <f>_xlfn.XLOOKUP(F231,DeparaIMG!D:D,DeparaIMG!F:F,,0)</f>
        <v>COR350.png</v>
      </c>
    </row>
    <row r="232" spans="1:9" x14ac:dyDescent="0.25">
      <c r="A232" s="2" t="s">
        <v>10</v>
      </c>
      <c r="B232" s="2" t="s">
        <v>62</v>
      </c>
      <c r="C232" t="s">
        <v>29</v>
      </c>
      <c r="D232" t="s">
        <v>26</v>
      </c>
      <c r="E232" s="2">
        <v>2</v>
      </c>
      <c r="F232" t="s">
        <v>80</v>
      </c>
      <c r="G232">
        <v>6.29</v>
      </c>
      <c r="H232">
        <v>5.49</v>
      </c>
      <c r="I232" s="2" t="str">
        <f>_xlfn.XLOOKUP(F232,DeparaIMG!D:D,DeparaIMG!F:F,,0)</f>
        <v>CORCERO350.png</v>
      </c>
    </row>
    <row r="233" spans="1:9" x14ac:dyDescent="0.25">
      <c r="A233" s="2" t="s">
        <v>10</v>
      </c>
      <c r="B233" s="2" t="s">
        <v>62</v>
      </c>
      <c r="C233" t="s">
        <v>87</v>
      </c>
      <c r="D233" t="s">
        <v>26</v>
      </c>
      <c r="E233" s="2">
        <v>2</v>
      </c>
      <c r="F233" t="s">
        <v>80</v>
      </c>
      <c r="G233">
        <v>6.29</v>
      </c>
      <c r="H233">
        <v>5.49</v>
      </c>
      <c r="I233" s="2" t="str">
        <f>_xlfn.XLOOKUP(F233,DeparaIMG!D:D,DeparaIMG!F:F,,0)</f>
        <v>CORCERO350.png</v>
      </c>
    </row>
    <row r="234" spans="1:9" x14ac:dyDescent="0.25">
      <c r="A234" s="2" t="s">
        <v>10</v>
      </c>
      <c r="B234" s="2" t="s">
        <v>62</v>
      </c>
      <c r="C234" t="s">
        <v>88</v>
      </c>
      <c r="D234" t="s">
        <v>26</v>
      </c>
      <c r="E234" s="2">
        <v>2</v>
      </c>
      <c r="F234" t="s">
        <v>80</v>
      </c>
      <c r="G234">
        <v>6.29</v>
      </c>
      <c r="H234">
        <v>5.49</v>
      </c>
      <c r="I234" s="2" t="str">
        <f>_xlfn.XLOOKUP(F234,DeparaIMG!D:D,DeparaIMG!F:F,,0)</f>
        <v>CORCERO350.png</v>
      </c>
    </row>
    <row r="235" spans="1:9" x14ac:dyDescent="0.25">
      <c r="A235" s="2" t="s">
        <v>10</v>
      </c>
      <c r="B235" s="2" t="s">
        <v>62</v>
      </c>
      <c r="C235" t="s">
        <v>113</v>
      </c>
      <c r="D235" t="s">
        <v>26</v>
      </c>
      <c r="E235" s="2">
        <v>2</v>
      </c>
      <c r="F235" t="s">
        <v>80</v>
      </c>
      <c r="G235">
        <v>6.29</v>
      </c>
      <c r="H235">
        <v>5.49</v>
      </c>
      <c r="I235" s="2" t="str">
        <f>_xlfn.XLOOKUP(F235,DeparaIMG!D:D,DeparaIMG!F:F,,0)</f>
        <v>CORCERO350.png</v>
      </c>
    </row>
    <row r="236" spans="1:9" x14ac:dyDescent="0.25">
      <c r="A236" s="2" t="s">
        <v>10</v>
      </c>
      <c r="B236" s="2" t="s">
        <v>62</v>
      </c>
      <c r="C236" t="s">
        <v>90</v>
      </c>
      <c r="D236" t="s">
        <v>26</v>
      </c>
      <c r="E236" s="2">
        <v>2</v>
      </c>
      <c r="F236" t="s">
        <v>80</v>
      </c>
      <c r="G236">
        <v>6.29</v>
      </c>
      <c r="H236">
        <v>5.49</v>
      </c>
      <c r="I236" s="2" t="str">
        <f>_xlfn.XLOOKUP(F236,DeparaIMG!D:D,DeparaIMG!F:F,,0)</f>
        <v>CORCERO350.png</v>
      </c>
    </row>
    <row r="237" spans="1:9" x14ac:dyDescent="0.25">
      <c r="A237" s="2" t="s">
        <v>10</v>
      </c>
      <c r="B237" s="2" t="s">
        <v>62</v>
      </c>
      <c r="C237" t="s">
        <v>89</v>
      </c>
      <c r="D237" t="s">
        <v>26</v>
      </c>
      <c r="E237" s="2">
        <v>2</v>
      </c>
      <c r="F237" t="s">
        <v>80</v>
      </c>
      <c r="G237">
        <v>6.29</v>
      </c>
      <c r="H237">
        <v>5.49</v>
      </c>
      <c r="I237" s="2" t="str">
        <f>_xlfn.XLOOKUP(F237,DeparaIMG!D:D,DeparaIMG!F:F,,0)</f>
        <v>CORCERO350.png</v>
      </c>
    </row>
    <row r="238" spans="1:9" x14ac:dyDescent="0.25">
      <c r="A238" s="2" t="s">
        <v>10</v>
      </c>
      <c r="B238" s="2" t="s">
        <v>62</v>
      </c>
      <c r="C238" t="s">
        <v>87</v>
      </c>
      <c r="D238" t="s">
        <v>25</v>
      </c>
      <c r="E238" s="2">
        <v>2</v>
      </c>
      <c r="F238" t="s">
        <v>80</v>
      </c>
      <c r="G238">
        <v>6.29</v>
      </c>
      <c r="H238">
        <v>5.49</v>
      </c>
      <c r="I238" s="2" t="str">
        <f>_xlfn.XLOOKUP(F238,DeparaIMG!D:D,DeparaIMG!F:F,,0)</f>
        <v>CORCERO350.png</v>
      </c>
    </row>
    <row r="239" spans="1:9" x14ac:dyDescent="0.25">
      <c r="A239" s="2" t="s">
        <v>10</v>
      </c>
      <c r="B239" s="2" t="s">
        <v>62</v>
      </c>
      <c r="C239" t="s">
        <v>88</v>
      </c>
      <c r="D239" t="s">
        <v>25</v>
      </c>
      <c r="E239" s="2">
        <v>2</v>
      </c>
      <c r="F239" t="s">
        <v>80</v>
      </c>
      <c r="G239">
        <v>6.29</v>
      </c>
      <c r="H239">
        <v>5.49</v>
      </c>
      <c r="I239" s="2" t="str">
        <f>_xlfn.XLOOKUP(F239,DeparaIMG!D:D,DeparaIMG!F:F,,0)</f>
        <v>CORCERO350.png</v>
      </c>
    </row>
    <row r="240" spans="1:9" x14ac:dyDescent="0.25">
      <c r="A240" s="2" t="s">
        <v>10</v>
      </c>
      <c r="B240" s="2" t="s">
        <v>62</v>
      </c>
      <c r="C240" t="s">
        <v>90</v>
      </c>
      <c r="D240" t="s">
        <v>25</v>
      </c>
      <c r="E240" s="2">
        <v>2</v>
      </c>
      <c r="F240" t="s">
        <v>80</v>
      </c>
      <c r="G240">
        <v>6.29</v>
      </c>
      <c r="H240">
        <v>5.49</v>
      </c>
      <c r="I240" s="2" t="str">
        <f>_xlfn.XLOOKUP(F240,DeparaIMG!D:D,DeparaIMG!F:F,,0)</f>
        <v>CORCERO350.png</v>
      </c>
    </row>
    <row r="241" spans="1:9" x14ac:dyDescent="0.25">
      <c r="A241" s="2" t="s">
        <v>10</v>
      </c>
      <c r="B241" s="2" t="s">
        <v>62</v>
      </c>
      <c r="C241" t="s">
        <v>89</v>
      </c>
      <c r="D241" t="s">
        <v>25</v>
      </c>
      <c r="E241" s="2">
        <v>2</v>
      </c>
      <c r="F241" t="s">
        <v>80</v>
      </c>
      <c r="G241">
        <v>6.29</v>
      </c>
      <c r="H241">
        <v>5.49</v>
      </c>
      <c r="I241" s="2" t="str">
        <f>_xlfn.XLOOKUP(F241,DeparaIMG!D:D,DeparaIMG!F:F,,0)</f>
        <v>CORCERO350.png</v>
      </c>
    </row>
    <row r="242" spans="1:9" x14ac:dyDescent="0.25">
      <c r="A242" s="2" t="s">
        <v>10</v>
      </c>
      <c r="B242" s="2" t="s">
        <v>62</v>
      </c>
      <c r="C242" t="s">
        <v>29</v>
      </c>
      <c r="D242" t="s">
        <v>25</v>
      </c>
      <c r="E242" s="2">
        <v>2</v>
      </c>
      <c r="F242" t="s">
        <v>80</v>
      </c>
      <c r="G242">
        <v>6.29</v>
      </c>
      <c r="H242">
        <v>5.49</v>
      </c>
      <c r="I242" s="2" t="str">
        <f>_xlfn.XLOOKUP(F242,DeparaIMG!D:D,DeparaIMG!F:F,,0)</f>
        <v>CORCERO350.png</v>
      </c>
    </row>
    <row r="243" spans="1:9" x14ac:dyDescent="0.25">
      <c r="A243" s="2" t="s">
        <v>10</v>
      </c>
      <c r="B243" s="2" t="s">
        <v>62</v>
      </c>
      <c r="C243" t="s">
        <v>113</v>
      </c>
      <c r="D243" t="s">
        <v>25</v>
      </c>
      <c r="E243" s="2">
        <v>2</v>
      </c>
      <c r="F243" t="s">
        <v>80</v>
      </c>
      <c r="G243">
        <v>6.29</v>
      </c>
      <c r="H243">
        <v>5.49</v>
      </c>
      <c r="I243" s="2" t="str">
        <f>_xlfn.XLOOKUP(F243,DeparaIMG!D:D,DeparaIMG!F:F,,0)</f>
        <v>CORCERO350.png</v>
      </c>
    </row>
    <row r="244" spans="1:9" x14ac:dyDescent="0.25">
      <c r="A244" s="2" t="s">
        <v>10</v>
      </c>
      <c r="B244" s="2" t="s">
        <v>62</v>
      </c>
      <c r="C244" t="s">
        <v>112</v>
      </c>
      <c r="D244" t="s">
        <v>26</v>
      </c>
      <c r="E244" s="2">
        <v>1</v>
      </c>
      <c r="F244" t="s">
        <v>81</v>
      </c>
      <c r="G244">
        <v>6.39</v>
      </c>
      <c r="H244">
        <v>5.39</v>
      </c>
      <c r="I244" s="2" t="str">
        <f>_xlfn.XLOOKUP(F244,DeparaIMG!D:D,DeparaIMG!F:F,,0)</f>
        <v>BUDZEROLN.png</v>
      </c>
    </row>
    <row r="245" spans="1:9" x14ac:dyDescent="0.25">
      <c r="A245" s="2" t="s">
        <v>10</v>
      </c>
      <c r="B245" s="2" t="s">
        <v>62</v>
      </c>
      <c r="C245" t="s">
        <v>29</v>
      </c>
      <c r="D245" t="s">
        <v>26</v>
      </c>
      <c r="E245" s="2">
        <v>1</v>
      </c>
      <c r="F245" t="s">
        <v>81</v>
      </c>
      <c r="G245">
        <v>6.39</v>
      </c>
      <c r="H245">
        <v>5.39</v>
      </c>
      <c r="I245" s="2" t="str">
        <f>_xlfn.XLOOKUP(F245,DeparaIMG!D:D,DeparaIMG!F:F,,0)</f>
        <v>BUDZEROLN.png</v>
      </c>
    </row>
    <row r="246" spans="1:9" x14ac:dyDescent="0.25">
      <c r="A246" s="2" t="s">
        <v>10</v>
      </c>
      <c r="B246" s="2" t="s">
        <v>62</v>
      </c>
      <c r="C246" t="s">
        <v>87</v>
      </c>
      <c r="D246" t="s">
        <v>26</v>
      </c>
      <c r="E246" s="2">
        <v>1</v>
      </c>
      <c r="F246" t="s">
        <v>81</v>
      </c>
      <c r="G246">
        <v>6.39</v>
      </c>
      <c r="H246">
        <v>5.39</v>
      </c>
      <c r="I246" s="2" t="str">
        <f>_xlfn.XLOOKUP(F246,DeparaIMG!D:D,DeparaIMG!F:F,,0)</f>
        <v>BUDZEROLN.png</v>
      </c>
    </row>
    <row r="247" spans="1:9" x14ac:dyDescent="0.25">
      <c r="A247" s="2" t="s">
        <v>10</v>
      </c>
      <c r="B247" s="2" t="s">
        <v>62</v>
      </c>
      <c r="C247" t="s">
        <v>88</v>
      </c>
      <c r="D247" t="s">
        <v>26</v>
      </c>
      <c r="E247" s="2">
        <v>1</v>
      </c>
      <c r="F247" t="s">
        <v>81</v>
      </c>
      <c r="G247">
        <v>6.39</v>
      </c>
      <c r="H247">
        <v>5.39</v>
      </c>
      <c r="I247" s="2" t="str">
        <f>_xlfn.XLOOKUP(F247,DeparaIMG!D:D,DeparaIMG!F:F,,0)</f>
        <v>BUDZEROLN.png</v>
      </c>
    </row>
    <row r="248" spans="1:9" x14ac:dyDescent="0.25">
      <c r="A248" s="2" t="s">
        <v>10</v>
      </c>
      <c r="B248" s="2" t="s">
        <v>62</v>
      </c>
      <c r="C248" t="s">
        <v>113</v>
      </c>
      <c r="D248" t="s">
        <v>25</v>
      </c>
      <c r="E248" s="2">
        <v>1</v>
      </c>
      <c r="F248" t="s">
        <v>82</v>
      </c>
      <c r="G248">
        <v>6.39</v>
      </c>
      <c r="H248">
        <v>5.69</v>
      </c>
      <c r="I248" s="2" t="str">
        <f>_xlfn.XLOOKUP(F248,DeparaIMG!D:D,DeparaIMG!F:F,,0)</f>
        <v>BUDLN.png</v>
      </c>
    </row>
    <row r="249" spans="1:9" x14ac:dyDescent="0.25">
      <c r="A249" s="2" t="s">
        <v>10</v>
      </c>
      <c r="B249" s="2" t="s">
        <v>62</v>
      </c>
      <c r="C249" t="s">
        <v>113</v>
      </c>
      <c r="D249" t="s">
        <v>26</v>
      </c>
      <c r="E249" s="2">
        <v>1</v>
      </c>
      <c r="F249" t="s">
        <v>82</v>
      </c>
      <c r="G249">
        <v>6.39</v>
      </c>
      <c r="H249">
        <v>5.69</v>
      </c>
      <c r="I249" s="2" t="str">
        <f>_xlfn.XLOOKUP(F249,DeparaIMG!D:D,DeparaIMG!F:F,,0)</f>
        <v>BUDLN.png</v>
      </c>
    </row>
    <row r="250" spans="1:9" x14ac:dyDescent="0.25">
      <c r="A250" s="2" t="s">
        <v>10</v>
      </c>
      <c r="B250" s="2" t="s">
        <v>62</v>
      </c>
      <c r="C250" t="s">
        <v>113</v>
      </c>
      <c r="D250" t="s">
        <v>25</v>
      </c>
      <c r="E250" s="2">
        <v>1</v>
      </c>
      <c r="F250" t="s">
        <v>81</v>
      </c>
      <c r="G250">
        <v>6.39</v>
      </c>
      <c r="H250">
        <v>5.39</v>
      </c>
      <c r="I250" s="2" t="str">
        <f>_xlfn.XLOOKUP(F250,DeparaIMG!D:D,DeparaIMG!F:F,,0)</f>
        <v>BUDZEROLN.png</v>
      </c>
    </row>
    <row r="251" spans="1:9" x14ac:dyDescent="0.25">
      <c r="A251" s="2" t="s">
        <v>10</v>
      </c>
      <c r="B251" s="2" t="s">
        <v>62</v>
      </c>
      <c r="C251" t="s">
        <v>113</v>
      </c>
      <c r="D251" t="s">
        <v>26</v>
      </c>
      <c r="E251" s="2">
        <v>1</v>
      </c>
      <c r="F251" t="s">
        <v>81</v>
      </c>
      <c r="G251">
        <v>6.39</v>
      </c>
      <c r="H251">
        <v>5.39</v>
      </c>
      <c r="I251" s="2" t="str">
        <f>_xlfn.XLOOKUP(F251,DeparaIMG!D:D,DeparaIMG!F:F,,0)</f>
        <v>BUDZEROLN.png</v>
      </c>
    </row>
    <row r="252" spans="1:9" x14ac:dyDescent="0.25">
      <c r="A252" s="2" t="s">
        <v>10</v>
      </c>
      <c r="B252" s="2" t="s">
        <v>62</v>
      </c>
      <c r="C252" t="s">
        <v>90</v>
      </c>
      <c r="D252" t="s">
        <v>26</v>
      </c>
      <c r="E252" s="2">
        <v>1</v>
      </c>
      <c r="F252" t="s">
        <v>81</v>
      </c>
      <c r="G252">
        <v>6.39</v>
      </c>
      <c r="H252">
        <v>5.39</v>
      </c>
      <c r="I252" s="2" t="str">
        <f>_xlfn.XLOOKUP(F252,DeparaIMG!D:D,DeparaIMG!F:F,,0)</f>
        <v>BUDZEROLN.png</v>
      </c>
    </row>
    <row r="253" spans="1:9" x14ac:dyDescent="0.25">
      <c r="A253" s="2" t="s">
        <v>10</v>
      </c>
      <c r="B253" s="2" t="s">
        <v>62</v>
      </c>
      <c r="C253" t="s">
        <v>112</v>
      </c>
      <c r="D253" t="s">
        <v>26</v>
      </c>
      <c r="E253" s="2">
        <v>1</v>
      </c>
      <c r="F253" t="s">
        <v>82</v>
      </c>
      <c r="G253">
        <v>6.39</v>
      </c>
      <c r="H253">
        <v>5.69</v>
      </c>
      <c r="I253" s="2" t="str">
        <f>_xlfn.XLOOKUP(F253,DeparaIMG!D:D,DeparaIMG!F:F,,0)</f>
        <v>BUDLN.png</v>
      </c>
    </row>
    <row r="254" spans="1:9" x14ac:dyDescent="0.25">
      <c r="A254" s="2" t="s">
        <v>10</v>
      </c>
      <c r="B254" s="2" t="s">
        <v>62</v>
      </c>
      <c r="C254" t="s">
        <v>29</v>
      </c>
      <c r="D254" t="s">
        <v>26</v>
      </c>
      <c r="E254" s="2">
        <v>1</v>
      </c>
      <c r="F254" t="s">
        <v>82</v>
      </c>
      <c r="G254">
        <v>6.39</v>
      </c>
      <c r="H254">
        <v>5.69</v>
      </c>
      <c r="I254" s="2" t="str">
        <f>_xlfn.XLOOKUP(F254,DeparaIMG!D:D,DeparaIMG!F:F,,0)</f>
        <v>BUDLN.png</v>
      </c>
    </row>
    <row r="255" spans="1:9" x14ac:dyDescent="0.25">
      <c r="A255" s="2" t="s">
        <v>10</v>
      </c>
      <c r="B255" s="2" t="s">
        <v>62</v>
      </c>
      <c r="C255" t="s">
        <v>87</v>
      </c>
      <c r="D255" t="s">
        <v>26</v>
      </c>
      <c r="E255" s="2">
        <v>1</v>
      </c>
      <c r="F255" t="s">
        <v>82</v>
      </c>
      <c r="G255">
        <v>6.39</v>
      </c>
      <c r="H255">
        <v>5.69</v>
      </c>
      <c r="I255" s="2" t="str">
        <f>_xlfn.XLOOKUP(F255,DeparaIMG!D:D,DeparaIMG!F:F,,0)</f>
        <v>BUDLN.png</v>
      </c>
    </row>
    <row r="256" spans="1:9" x14ac:dyDescent="0.25">
      <c r="A256" s="2" t="s">
        <v>10</v>
      </c>
      <c r="B256" s="2" t="s">
        <v>62</v>
      </c>
      <c r="C256" t="s">
        <v>88</v>
      </c>
      <c r="D256" t="s">
        <v>26</v>
      </c>
      <c r="E256" s="2">
        <v>1</v>
      </c>
      <c r="F256" t="s">
        <v>82</v>
      </c>
      <c r="G256">
        <v>6.39</v>
      </c>
      <c r="H256">
        <v>5.69</v>
      </c>
      <c r="I256" s="2" t="str">
        <f>_xlfn.XLOOKUP(F256,DeparaIMG!D:D,DeparaIMG!F:F,,0)</f>
        <v>BUDLN.png</v>
      </c>
    </row>
    <row r="257" spans="1:9" x14ac:dyDescent="0.25">
      <c r="A257" s="2" t="s">
        <v>10</v>
      </c>
      <c r="B257" s="2" t="s">
        <v>62</v>
      </c>
      <c r="C257" t="s">
        <v>90</v>
      </c>
      <c r="D257" t="s">
        <v>26</v>
      </c>
      <c r="E257" s="2">
        <v>1</v>
      </c>
      <c r="F257" t="s">
        <v>82</v>
      </c>
      <c r="G257">
        <v>6.39</v>
      </c>
      <c r="H257">
        <v>5.69</v>
      </c>
      <c r="I257" s="2" t="str">
        <f>_xlfn.XLOOKUP(F257,DeparaIMG!D:D,DeparaIMG!F:F,,0)</f>
        <v>BUDLN.png</v>
      </c>
    </row>
    <row r="258" spans="1:9" x14ac:dyDescent="0.25">
      <c r="A258" s="2" t="s">
        <v>10</v>
      </c>
      <c r="B258" s="2" t="s">
        <v>62</v>
      </c>
      <c r="C258" t="s">
        <v>89</v>
      </c>
      <c r="D258" t="s">
        <v>26</v>
      </c>
      <c r="E258" s="2">
        <v>1</v>
      </c>
      <c r="F258" t="s">
        <v>82</v>
      </c>
      <c r="G258">
        <v>6.39</v>
      </c>
      <c r="H258">
        <v>5.69</v>
      </c>
      <c r="I258" s="2" t="str">
        <f>_xlfn.XLOOKUP(F258,DeparaIMG!D:D,DeparaIMG!F:F,,0)</f>
        <v>BUDLN.png</v>
      </c>
    </row>
    <row r="259" spans="1:9" x14ac:dyDescent="0.25">
      <c r="A259" s="2" t="s">
        <v>10</v>
      </c>
      <c r="B259" s="2" t="s">
        <v>62</v>
      </c>
      <c r="C259" t="s">
        <v>89</v>
      </c>
      <c r="D259" t="s">
        <v>26</v>
      </c>
      <c r="E259" s="2">
        <v>1</v>
      </c>
      <c r="F259" t="s">
        <v>81</v>
      </c>
      <c r="G259">
        <v>6.39</v>
      </c>
      <c r="H259">
        <v>5.39</v>
      </c>
      <c r="I259" s="2" t="str">
        <f>_xlfn.XLOOKUP(F259,DeparaIMG!D:D,DeparaIMG!F:F,,0)</f>
        <v>BUDZEROLN.png</v>
      </c>
    </row>
    <row r="260" spans="1:9" x14ac:dyDescent="0.25">
      <c r="A260" s="2" t="s">
        <v>10</v>
      </c>
      <c r="B260" s="2" t="s">
        <v>62</v>
      </c>
      <c r="C260" t="s">
        <v>112</v>
      </c>
      <c r="D260" t="s">
        <v>25</v>
      </c>
      <c r="E260" s="2">
        <v>2</v>
      </c>
      <c r="F260" t="s">
        <v>83</v>
      </c>
      <c r="G260">
        <v>6.69</v>
      </c>
      <c r="H260">
        <v>5.99</v>
      </c>
      <c r="I260" s="2" t="str">
        <f>_xlfn.XLOOKUP(F260,DeparaIMG!D:D,DeparaIMG!F:F,,0)</f>
        <v>MICLN.png</v>
      </c>
    </row>
    <row r="261" spans="1:9" x14ac:dyDescent="0.25">
      <c r="A261" s="2" t="s">
        <v>10</v>
      </c>
      <c r="B261" s="2" t="s">
        <v>62</v>
      </c>
      <c r="C261" t="s">
        <v>112</v>
      </c>
      <c r="D261" t="s">
        <v>26</v>
      </c>
      <c r="E261" s="2">
        <v>2</v>
      </c>
      <c r="F261" t="s">
        <v>83</v>
      </c>
      <c r="G261">
        <v>6.69</v>
      </c>
      <c r="H261">
        <v>5.99</v>
      </c>
      <c r="I261" s="2" t="str">
        <f>_xlfn.XLOOKUP(F261,DeparaIMG!D:D,DeparaIMG!F:F,,0)</f>
        <v>MICLN.png</v>
      </c>
    </row>
    <row r="262" spans="1:9" x14ac:dyDescent="0.25">
      <c r="A262" s="2" t="s">
        <v>10</v>
      </c>
      <c r="B262" s="2" t="s">
        <v>62</v>
      </c>
      <c r="C262" t="s">
        <v>29</v>
      </c>
      <c r="D262" t="s">
        <v>25</v>
      </c>
      <c r="E262" s="2">
        <v>2</v>
      </c>
      <c r="F262" t="s">
        <v>83</v>
      </c>
      <c r="G262">
        <v>6.69</v>
      </c>
      <c r="H262">
        <v>5.99</v>
      </c>
      <c r="I262" s="2" t="str">
        <f>_xlfn.XLOOKUP(F262,DeparaIMG!D:D,DeparaIMG!F:F,,0)</f>
        <v>MICLN.png</v>
      </c>
    </row>
    <row r="263" spans="1:9" x14ac:dyDescent="0.25">
      <c r="A263" s="2" t="s">
        <v>10</v>
      </c>
      <c r="B263" s="2" t="s">
        <v>62</v>
      </c>
      <c r="C263" t="s">
        <v>29</v>
      </c>
      <c r="D263" t="s">
        <v>26</v>
      </c>
      <c r="E263" s="2">
        <v>2</v>
      </c>
      <c r="F263" t="s">
        <v>83</v>
      </c>
      <c r="G263">
        <v>6.69</v>
      </c>
      <c r="H263">
        <v>5.99</v>
      </c>
      <c r="I263" s="2" t="str">
        <f>_xlfn.XLOOKUP(F263,DeparaIMG!D:D,DeparaIMG!F:F,,0)</f>
        <v>MICLN.png</v>
      </c>
    </row>
    <row r="264" spans="1:9" x14ac:dyDescent="0.25">
      <c r="A264" s="2" t="s">
        <v>10</v>
      </c>
      <c r="B264" s="2" t="s">
        <v>62</v>
      </c>
      <c r="C264" t="s">
        <v>87</v>
      </c>
      <c r="D264" t="s">
        <v>25</v>
      </c>
      <c r="E264" s="2">
        <v>2</v>
      </c>
      <c r="F264" t="s">
        <v>83</v>
      </c>
      <c r="G264">
        <v>6.69</v>
      </c>
      <c r="H264">
        <v>5.99</v>
      </c>
      <c r="I264" s="2" t="str">
        <f>_xlfn.XLOOKUP(F264,DeparaIMG!D:D,DeparaIMG!F:F,,0)</f>
        <v>MICLN.png</v>
      </c>
    </row>
    <row r="265" spans="1:9" x14ac:dyDescent="0.25">
      <c r="A265" s="2" t="s">
        <v>10</v>
      </c>
      <c r="B265" s="2" t="s">
        <v>62</v>
      </c>
      <c r="C265" t="s">
        <v>87</v>
      </c>
      <c r="D265" t="s">
        <v>26</v>
      </c>
      <c r="E265" s="2">
        <v>2</v>
      </c>
      <c r="F265" t="s">
        <v>83</v>
      </c>
      <c r="G265">
        <v>6.69</v>
      </c>
      <c r="H265">
        <v>5.99</v>
      </c>
      <c r="I265" s="2" t="str">
        <f>_xlfn.XLOOKUP(F265,DeparaIMG!D:D,DeparaIMG!F:F,,0)</f>
        <v>MICLN.png</v>
      </c>
    </row>
    <row r="266" spans="1:9" x14ac:dyDescent="0.25">
      <c r="A266" s="2" t="s">
        <v>10</v>
      </c>
      <c r="B266" s="2" t="s">
        <v>62</v>
      </c>
      <c r="C266" t="s">
        <v>88</v>
      </c>
      <c r="D266" t="s">
        <v>25</v>
      </c>
      <c r="E266" s="2">
        <v>2</v>
      </c>
      <c r="F266" t="s">
        <v>83</v>
      </c>
      <c r="G266">
        <v>6.69</v>
      </c>
      <c r="H266">
        <v>5.99</v>
      </c>
      <c r="I266" s="2" t="str">
        <f>_xlfn.XLOOKUP(F266,DeparaIMG!D:D,DeparaIMG!F:F,,0)</f>
        <v>MICLN.png</v>
      </c>
    </row>
    <row r="267" spans="1:9" x14ac:dyDescent="0.25">
      <c r="A267" s="2" t="s">
        <v>10</v>
      </c>
      <c r="B267" s="2" t="s">
        <v>62</v>
      </c>
      <c r="C267" t="s">
        <v>88</v>
      </c>
      <c r="D267" t="s">
        <v>26</v>
      </c>
      <c r="E267" s="2">
        <v>2</v>
      </c>
      <c r="F267" t="s">
        <v>83</v>
      </c>
      <c r="G267">
        <v>6.69</v>
      </c>
      <c r="H267">
        <v>5.99</v>
      </c>
      <c r="I267" s="2" t="str">
        <f>_xlfn.XLOOKUP(F267,DeparaIMG!D:D,DeparaIMG!F:F,,0)</f>
        <v>MICLN.png</v>
      </c>
    </row>
    <row r="268" spans="1:9" x14ac:dyDescent="0.25">
      <c r="A268" s="2" t="s">
        <v>10</v>
      </c>
      <c r="B268" s="2" t="s">
        <v>62</v>
      </c>
      <c r="C268" t="s">
        <v>113</v>
      </c>
      <c r="D268" t="s">
        <v>25</v>
      </c>
      <c r="E268" s="2">
        <v>2</v>
      </c>
      <c r="F268" t="s">
        <v>83</v>
      </c>
      <c r="G268">
        <v>6.69</v>
      </c>
      <c r="H268">
        <v>5.99</v>
      </c>
      <c r="I268" s="2" t="str">
        <f>_xlfn.XLOOKUP(F268,DeparaIMG!D:D,DeparaIMG!F:F,,0)</f>
        <v>MICLN.png</v>
      </c>
    </row>
    <row r="269" spans="1:9" x14ac:dyDescent="0.25">
      <c r="A269" s="2" t="s">
        <v>10</v>
      </c>
      <c r="B269" s="2" t="s">
        <v>62</v>
      </c>
      <c r="C269" t="s">
        <v>113</v>
      </c>
      <c r="D269" t="s">
        <v>26</v>
      </c>
      <c r="E269" s="2">
        <v>2</v>
      </c>
      <c r="F269" t="s">
        <v>83</v>
      </c>
      <c r="G269">
        <v>6.69</v>
      </c>
      <c r="H269">
        <v>5.99</v>
      </c>
      <c r="I269" s="2" t="str">
        <f>_xlfn.XLOOKUP(F269,DeparaIMG!D:D,DeparaIMG!F:F,,0)</f>
        <v>MICLN.png</v>
      </c>
    </row>
    <row r="270" spans="1:9" x14ac:dyDescent="0.25">
      <c r="A270" s="2" t="s">
        <v>10</v>
      </c>
      <c r="B270" s="2" t="s">
        <v>62</v>
      </c>
      <c r="C270" t="s">
        <v>90</v>
      </c>
      <c r="D270" t="s">
        <v>26</v>
      </c>
      <c r="E270" s="2">
        <v>2</v>
      </c>
      <c r="F270" t="s">
        <v>83</v>
      </c>
      <c r="G270">
        <v>6.69</v>
      </c>
      <c r="H270">
        <v>5.99</v>
      </c>
      <c r="I270" s="2" t="str">
        <f>_xlfn.XLOOKUP(F270,DeparaIMG!D:D,DeparaIMG!F:F,,0)</f>
        <v>MICLN.png</v>
      </c>
    </row>
    <row r="271" spans="1:9" x14ac:dyDescent="0.25">
      <c r="A271" s="2" t="s">
        <v>10</v>
      </c>
      <c r="B271" s="2" t="s">
        <v>62</v>
      </c>
      <c r="C271" t="s">
        <v>89</v>
      </c>
      <c r="D271" t="s">
        <v>26</v>
      </c>
      <c r="E271" s="2">
        <v>2</v>
      </c>
      <c r="F271" t="s">
        <v>83</v>
      </c>
      <c r="G271">
        <v>6.69</v>
      </c>
      <c r="H271">
        <v>5.99</v>
      </c>
      <c r="I271" s="2" t="str">
        <f>_xlfn.XLOOKUP(F271,DeparaIMG!D:D,DeparaIMG!F:F,,0)</f>
        <v>MICLN.png</v>
      </c>
    </row>
    <row r="272" spans="1:9" x14ac:dyDescent="0.25">
      <c r="A272" s="2" t="s">
        <v>10</v>
      </c>
      <c r="B272" s="2" t="s">
        <v>62</v>
      </c>
      <c r="C272" t="s">
        <v>89</v>
      </c>
      <c r="D272" t="s">
        <v>25</v>
      </c>
      <c r="E272" s="2">
        <v>2</v>
      </c>
      <c r="F272" t="s">
        <v>83</v>
      </c>
      <c r="G272">
        <v>6.69</v>
      </c>
      <c r="H272">
        <v>5.99</v>
      </c>
      <c r="I272" s="2" t="str">
        <f>_xlfn.XLOOKUP(F272,DeparaIMG!D:D,DeparaIMG!F:F,,0)</f>
        <v>MICLN.png</v>
      </c>
    </row>
    <row r="273" spans="1:9" x14ac:dyDescent="0.25">
      <c r="A273" s="2" t="s">
        <v>10</v>
      </c>
      <c r="B273" s="2" t="s">
        <v>62</v>
      </c>
      <c r="C273" t="s">
        <v>90</v>
      </c>
      <c r="D273" t="s">
        <v>25</v>
      </c>
      <c r="E273" s="2">
        <v>2</v>
      </c>
      <c r="F273" t="s">
        <v>83</v>
      </c>
      <c r="G273">
        <v>6.69</v>
      </c>
      <c r="H273">
        <v>5.99</v>
      </c>
      <c r="I273" s="2" t="str">
        <f>_xlfn.XLOOKUP(F273,DeparaIMG!D:D,DeparaIMG!F:F,,0)</f>
        <v>MICLN.png</v>
      </c>
    </row>
    <row r="274" spans="1:9" x14ac:dyDescent="0.25">
      <c r="A274" s="2" t="s">
        <v>10</v>
      </c>
      <c r="B274" s="2" t="s">
        <v>62</v>
      </c>
      <c r="C274" t="s">
        <v>90</v>
      </c>
      <c r="D274" t="s">
        <v>25</v>
      </c>
      <c r="E274" s="2">
        <v>2</v>
      </c>
      <c r="F274" t="s">
        <v>84</v>
      </c>
      <c r="G274">
        <v>6.99</v>
      </c>
      <c r="H274">
        <v>6.59</v>
      </c>
      <c r="I274" s="2" t="str">
        <f>_xlfn.XLOOKUP(F274,DeparaIMG!D:D,DeparaIMG!F:F,,0)</f>
        <v>STELN.png</v>
      </c>
    </row>
    <row r="275" spans="1:9" x14ac:dyDescent="0.25">
      <c r="A275" s="2" t="s">
        <v>10</v>
      </c>
      <c r="B275" s="2" t="s">
        <v>62</v>
      </c>
      <c r="C275" t="s">
        <v>113</v>
      </c>
      <c r="D275" t="s">
        <v>25</v>
      </c>
      <c r="E275" s="2">
        <v>2</v>
      </c>
      <c r="F275" t="s">
        <v>84</v>
      </c>
      <c r="G275">
        <v>6.99</v>
      </c>
      <c r="H275">
        <v>6.59</v>
      </c>
      <c r="I275" s="2" t="str">
        <f>_xlfn.XLOOKUP(F275,DeparaIMG!D:D,DeparaIMG!F:F,,0)</f>
        <v>STELN.png</v>
      </c>
    </row>
    <row r="276" spans="1:9" x14ac:dyDescent="0.25">
      <c r="A276" s="2" t="s">
        <v>10</v>
      </c>
      <c r="B276" s="2" t="s">
        <v>62</v>
      </c>
      <c r="C276" t="s">
        <v>89</v>
      </c>
      <c r="D276" t="s">
        <v>25</v>
      </c>
      <c r="E276" s="2">
        <v>2</v>
      </c>
      <c r="F276" t="s">
        <v>84</v>
      </c>
      <c r="G276">
        <v>6.99</v>
      </c>
      <c r="H276">
        <v>6.59</v>
      </c>
      <c r="I276" s="2" t="str">
        <f>_xlfn.XLOOKUP(F276,DeparaIMG!D:D,DeparaIMG!F:F,,0)</f>
        <v>STELN.png</v>
      </c>
    </row>
    <row r="277" spans="1:9" x14ac:dyDescent="0.25">
      <c r="A277" s="2" t="s">
        <v>10</v>
      </c>
      <c r="B277" s="2" t="s">
        <v>62</v>
      </c>
      <c r="C277" t="s">
        <v>112</v>
      </c>
      <c r="D277" t="s">
        <v>25</v>
      </c>
      <c r="E277" s="2">
        <v>2</v>
      </c>
      <c r="F277" t="s">
        <v>84</v>
      </c>
      <c r="G277">
        <v>6.99</v>
      </c>
      <c r="H277">
        <v>6.59</v>
      </c>
      <c r="I277" s="2" t="str">
        <f>_xlfn.XLOOKUP(F277,DeparaIMG!D:D,DeparaIMG!F:F,,0)</f>
        <v>STELN.png</v>
      </c>
    </row>
    <row r="278" spans="1:9" x14ac:dyDescent="0.25">
      <c r="A278" s="2" t="s">
        <v>10</v>
      </c>
      <c r="B278" s="2" t="s">
        <v>62</v>
      </c>
      <c r="C278" t="s">
        <v>29</v>
      </c>
      <c r="D278" t="s">
        <v>25</v>
      </c>
      <c r="E278" s="2">
        <v>2</v>
      </c>
      <c r="F278" t="s">
        <v>84</v>
      </c>
      <c r="G278">
        <v>6.99</v>
      </c>
      <c r="H278">
        <v>6.59</v>
      </c>
      <c r="I278" s="2" t="str">
        <f>_xlfn.XLOOKUP(F278,DeparaIMG!D:D,DeparaIMG!F:F,,0)</f>
        <v>STELN.png</v>
      </c>
    </row>
    <row r="279" spans="1:9" x14ac:dyDescent="0.25">
      <c r="A279" s="2" t="s">
        <v>10</v>
      </c>
      <c r="B279" s="2" t="s">
        <v>62</v>
      </c>
      <c r="C279" t="s">
        <v>88</v>
      </c>
      <c r="D279" t="s">
        <v>25</v>
      </c>
      <c r="E279" s="2">
        <v>2</v>
      </c>
      <c r="F279" t="s">
        <v>84</v>
      </c>
      <c r="G279">
        <v>6.99</v>
      </c>
      <c r="H279">
        <v>6.59</v>
      </c>
      <c r="I279" s="2" t="str">
        <f>_xlfn.XLOOKUP(F279,DeparaIMG!D:D,DeparaIMG!F:F,,0)</f>
        <v>STELN.png</v>
      </c>
    </row>
    <row r="280" spans="1:9" x14ac:dyDescent="0.25">
      <c r="A280" s="2" t="s">
        <v>10</v>
      </c>
      <c r="B280" s="2" t="s">
        <v>62</v>
      </c>
      <c r="C280" t="s">
        <v>87</v>
      </c>
      <c r="D280" t="s">
        <v>25</v>
      </c>
      <c r="E280" s="2">
        <v>2</v>
      </c>
      <c r="F280" t="s">
        <v>84</v>
      </c>
      <c r="G280">
        <v>6.99</v>
      </c>
      <c r="H280">
        <v>6.59</v>
      </c>
      <c r="I280" s="2" t="str">
        <f>_xlfn.XLOOKUP(F280,DeparaIMG!D:D,DeparaIMG!F:F,,0)</f>
        <v>STELN.png</v>
      </c>
    </row>
    <row r="281" spans="1:9" x14ac:dyDescent="0.25">
      <c r="A281" s="2" t="s">
        <v>10</v>
      </c>
      <c r="B281" s="2" t="s">
        <v>62</v>
      </c>
      <c r="C281" t="s">
        <v>90</v>
      </c>
      <c r="D281" t="s">
        <v>26</v>
      </c>
      <c r="E281" s="2">
        <v>2</v>
      </c>
      <c r="F281" t="s">
        <v>84</v>
      </c>
      <c r="G281">
        <v>6.99</v>
      </c>
      <c r="H281">
        <v>6.59</v>
      </c>
      <c r="I281" s="2" t="str">
        <f>_xlfn.XLOOKUP(F281,DeparaIMG!D:D,DeparaIMG!F:F,,0)</f>
        <v>STELN.png</v>
      </c>
    </row>
    <row r="282" spans="1:9" x14ac:dyDescent="0.25">
      <c r="A282" s="2" t="s">
        <v>10</v>
      </c>
      <c r="B282" s="2" t="s">
        <v>62</v>
      </c>
      <c r="C282" t="s">
        <v>113</v>
      </c>
      <c r="D282" t="s">
        <v>26</v>
      </c>
      <c r="E282" s="2">
        <v>2</v>
      </c>
      <c r="F282" t="s">
        <v>84</v>
      </c>
      <c r="G282">
        <v>6.99</v>
      </c>
      <c r="H282">
        <v>6.59</v>
      </c>
      <c r="I282" s="2" t="str">
        <f>_xlfn.XLOOKUP(F282,DeparaIMG!D:D,DeparaIMG!F:F,,0)</f>
        <v>STELN.png</v>
      </c>
    </row>
    <row r="283" spans="1:9" x14ac:dyDescent="0.25">
      <c r="A283" s="2" t="s">
        <v>10</v>
      </c>
      <c r="B283" s="2" t="s">
        <v>62</v>
      </c>
      <c r="C283" t="s">
        <v>89</v>
      </c>
      <c r="D283" t="s">
        <v>26</v>
      </c>
      <c r="E283" s="2">
        <v>2</v>
      </c>
      <c r="F283" t="s">
        <v>84</v>
      </c>
      <c r="G283">
        <v>6.99</v>
      </c>
      <c r="H283">
        <v>6.59</v>
      </c>
      <c r="I283" s="2" t="str">
        <f>_xlfn.XLOOKUP(F283,DeparaIMG!D:D,DeparaIMG!F:F,,0)</f>
        <v>STELN.png</v>
      </c>
    </row>
    <row r="284" spans="1:9" x14ac:dyDescent="0.25">
      <c r="A284" s="2" t="s">
        <v>10</v>
      </c>
      <c r="B284" s="2" t="s">
        <v>62</v>
      </c>
      <c r="C284" t="s">
        <v>112</v>
      </c>
      <c r="D284" t="s">
        <v>26</v>
      </c>
      <c r="E284" s="2">
        <v>2</v>
      </c>
      <c r="F284" t="s">
        <v>84</v>
      </c>
      <c r="G284">
        <v>6.99</v>
      </c>
      <c r="H284">
        <v>6.59</v>
      </c>
      <c r="I284" s="2" t="str">
        <f>_xlfn.XLOOKUP(F284,DeparaIMG!D:D,DeparaIMG!F:F,,0)</f>
        <v>STELN.png</v>
      </c>
    </row>
    <row r="285" spans="1:9" x14ac:dyDescent="0.25">
      <c r="A285" s="2" t="s">
        <v>10</v>
      </c>
      <c r="B285" s="2" t="s">
        <v>62</v>
      </c>
      <c r="C285" t="s">
        <v>29</v>
      </c>
      <c r="D285" t="s">
        <v>26</v>
      </c>
      <c r="E285" s="2">
        <v>2</v>
      </c>
      <c r="F285" t="s">
        <v>84</v>
      </c>
      <c r="G285">
        <v>6.99</v>
      </c>
      <c r="H285">
        <v>6.59</v>
      </c>
      <c r="I285" s="2" t="str">
        <f>_xlfn.XLOOKUP(F285,DeparaIMG!D:D,DeparaIMG!F:F,,0)</f>
        <v>STELN.png</v>
      </c>
    </row>
    <row r="286" spans="1:9" x14ac:dyDescent="0.25">
      <c r="A286" s="2" t="s">
        <v>10</v>
      </c>
      <c r="B286" s="2" t="s">
        <v>62</v>
      </c>
      <c r="C286" t="s">
        <v>88</v>
      </c>
      <c r="D286" t="s">
        <v>26</v>
      </c>
      <c r="E286" s="2">
        <v>2</v>
      </c>
      <c r="F286" t="s">
        <v>84</v>
      </c>
      <c r="G286">
        <v>6.99</v>
      </c>
      <c r="H286">
        <v>6.59</v>
      </c>
      <c r="I286" s="2" t="str">
        <f>_xlfn.XLOOKUP(F286,DeparaIMG!D:D,DeparaIMG!F:F,,0)</f>
        <v>STELN.png</v>
      </c>
    </row>
    <row r="287" spans="1:9" x14ac:dyDescent="0.25">
      <c r="A287" s="2" t="s">
        <v>10</v>
      </c>
      <c r="B287" s="2" t="s">
        <v>62</v>
      </c>
      <c r="C287" t="s">
        <v>87</v>
      </c>
      <c r="D287" t="s">
        <v>26</v>
      </c>
      <c r="E287" s="2">
        <v>2</v>
      </c>
      <c r="F287" t="s">
        <v>84</v>
      </c>
      <c r="G287">
        <v>6.99</v>
      </c>
      <c r="H287">
        <v>6.59</v>
      </c>
      <c r="I287" s="2" t="str">
        <f>_xlfn.XLOOKUP(F287,DeparaIMG!D:D,DeparaIMG!F:F,,0)</f>
        <v>STELN.png</v>
      </c>
    </row>
    <row r="288" spans="1:9" x14ac:dyDescent="0.25">
      <c r="A288" s="2" t="s">
        <v>10</v>
      </c>
      <c r="B288" s="2" t="s">
        <v>62</v>
      </c>
      <c r="C288" t="s">
        <v>88</v>
      </c>
      <c r="D288" t="s">
        <v>25</v>
      </c>
      <c r="E288" s="2">
        <v>1</v>
      </c>
      <c r="F288" t="s">
        <v>85</v>
      </c>
      <c r="G288">
        <v>7.99</v>
      </c>
      <c r="H288">
        <v>6.99</v>
      </c>
      <c r="I288" s="2" t="str">
        <f>_xlfn.XLOOKUP(F288,DeparaIMG!D:D,DeparaIMG!F:F,,0)</f>
        <v>CORLN.png</v>
      </c>
    </row>
    <row r="289" spans="1:9" x14ac:dyDescent="0.25">
      <c r="A289" s="2" t="s">
        <v>10</v>
      </c>
      <c r="B289" s="2" t="s">
        <v>62</v>
      </c>
      <c r="C289" t="s">
        <v>113</v>
      </c>
      <c r="D289" t="s">
        <v>26</v>
      </c>
      <c r="E289" s="2">
        <v>1</v>
      </c>
      <c r="F289" t="s">
        <v>85</v>
      </c>
      <c r="G289">
        <v>7.99</v>
      </c>
      <c r="H289">
        <v>6.99</v>
      </c>
      <c r="I289" s="2" t="str">
        <f>_xlfn.XLOOKUP(F289,DeparaIMG!D:D,DeparaIMG!F:F,,0)</f>
        <v>CORLN.png</v>
      </c>
    </row>
    <row r="290" spans="1:9" x14ac:dyDescent="0.25">
      <c r="A290" s="2" t="s">
        <v>10</v>
      </c>
      <c r="B290" s="2" t="s">
        <v>62</v>
      </c>
      <c r="C290" t="s">
        <v>89</v>
      </c>
      <c r="D290" t="s">
        <v>26</v>
      </c>
      <c r="E290" s="2">
        <v>1</v>
      </c>
      <c r="F290" t="s">
        <v>85</v>
      </c>
      <c r="G290">
        <v>7.99</v>
      </c>
      <c r="H290">
        <v>6.99</v>
      </c>
      <c r="I290" s="2" t="str">
        <f>_xlfn.XLOOKUP(F290,DeparaIMG!D:D,DeparaIMG!F:F,,0)</f>
        <v>CORLN.png</v>
      </c>
    </row>
    <row r="291" spans="1:9" x14ac:dyDescent="0.25">
      <c r="A291" s="2" t="s">
        <v>10</v>
      </c>
      <c r="B291" s="2" t="s">
        <v>62</v>
      </c>
      <c r="C291" t="s">
        <v>90</v>
      </c>
      <c r="D291" t="s">
        <v>26</v>
      </c>
      <c r="E291" s="2">
        <v>1</v>
      </c>
      <c r="F291" t="s">
        <v>85</v>
      </c>
      <c r="G291">
        <v>7.99</v>
      </c>
      <c r="H291">
        <v>6.99</v>
      </c>
      <c r="I291" s="2" t="str">
        <f>_xlfn.XLOOKUP(F291,DeparaIMG!D:D,DeparaIMG!F:F,,0)</f>
        <v>CORLN.png</v>
      </c>
    </row>
    <row r="292" spans="1:9" x14ac:dyDescent="0.25">
      <c r="A292" s="2" t="s">
        <v>10</v>
      </c>
      <c r="B292" s="2" t="s">
        <v>62</v>
      </c>
      <c r="C292" t="s">
        <v>89</v>
      </c>
      <c r="D292" t="s">
        <v>25</v>
      </c>
      <c r="E292" s="2">
        <v>1</v>
      </c>
      <c r="F292" t="s">
        <v>85</v>
      </c>
      <c r="G292">
        <v>7.99</v>
      </c>
      <c r="H292">
        <v>6.99</v>
      </c>
      <c r="I292" s="2" t="str">
        <f>_xlfn.XLOOKUP(F292,DeparaIMG!D:D,DeparaIMG!F:F,,0)</f>
        <v>CORLN.png</v>
      </c>
    </row>
    <row r="293" spans="1:9" x14ac:dyDescent="0.25">
      <c r="A293" s="2" t="s">
        <v>10</v>
      </c>
      <c r="B293" s="2" t="s">
        <v>62</v>
      </c>
      <c r="C293" t="s">
        <v>90</v>
      </c>
      <c r="D293" t="s">
        <v>25</v>
      </c>
      <c r="E293" s="2">
        <v>1</v>
      </c>
      <c r="F293" t="s">
        <v>85</v>
      </c>
      <c r="G293">
        <v>7.99</v>
      </c>
      <c r="H293">
        <v>6.99</v>
      </c>
      <c r="I293" s="2" t="str">
        <f>_xlfn.XLOOKUP(F293,DeparaIMG!D:D,DeparaIMG!F:F,,0)</f>
        <v>CORLN.png</v>
      </c>
    </row>
    <row r="294" spans="1:9" x14ac:dyDescent="0.25">
      <c r="A294" s="2" t="s">
        <v>10</v>
      </c>
      <c r="B294" s="2" t="s">
        <v>62</v>
      </c>
      <c r="C294" t="s">
        <v>88</v>
      </c>
      <c r="D294" t="s">
        <v>25</v>
      </c>
      <c r="E294" s="2">
        <v>1</v>
      </c>
      <c r="F294" t="s">
        <v>86</v>
      </c>
      <c r="G294">
        <v>7.99</v>
      </c>
      <c r="H294">
        <v>6.99</v>
      </c>
      <c r="I294" s="2" t="str">
        <f>_xlfn.XLOOKUP(F294,DeparaIMG!D:D,DeparaIMG!F:F,,0)</f>
        <v>CORCEROLN.png</v>
      </c>
    </row>
    <row r="295" spans="1:9" x14ac:dyDescent="0.25">
      <c r="A295" s="2" t="s">
        <v>10</v>
      </c>
      <c r="B295" s="2" t="s">
        <v>62</v>
      </c>
      <c r="C295" t="s">
        <v>113</v>
      </c>
      <c r="D295" t="s">
        <v>26</v>
      </c>
      <c r="E295" s="2">
        <v>1</v>
      </c>
      <c r="F295" t="s">
        <v>86</v>
      </c>
      <c r="G295">
        <v>7.99</v>
      </c>
      <c r="H295">
        <v>6.99</v>
      </c>
      <c r="I295" s="2" t="str">
        <f>_xlfn.XLOOKUP(F295,DeparaIMG!D:D,DeparaIMG!F:F,,0)</f>
        <v>CORCEROLN.png</v>
      </c>
    </row>
    <row r="296" spans="1:9" x14ac:dyDescent="0.25">
      <c r="A296" s="2" t="s">
        <v>10</v>
      </c>
      <c r="B296" s="2" t="s">
        <v>62</v>
      </c>
      <c r="C296" t="s">
        <v>89</v>
      </c>
      <c r="D296" t="s">
        <v>26</v>
      </c>
      <c r="E296" s="2">
        <v>1</v>
      </c>
      <c r="F296" t="s">
        <v>86</v>
      </c>
      <c r="G296">
        <v>7.99</v>
      </c>
      <c r="H296">
        <v>6.99</v>
      </c>
      <c r="I296" s="2" t="str">
        <f>_xlfn.XLOOKUP(F296,DeparaIMG!D:D,DeparaIMG!F:F,,0)</f>
        <v>CORCEROLN.png</v>
      </c>
    </row>
    <row r="297" spans="1:9" x14ac:dyDescent="0.25">
      <c r="A297" s="2" t="s">
        <v>10</v>
      </c>
      <c r="B297" s="2" t="s">
        <v>62</v>
      </c>
      <c r="C297" t="s">
        <v>90</v>
      </c>
      <c r="D297" t="s">
        <v>26</v>
      </c>
      <c r="E297" s="2">
        <v>1</v>
      </c>
      <c r="F297" t="s">
        <v>86</v>
      </c>
      <c r="G297">
        <v>7.99</v>
      </c>
      <c r="H297">
        <v>6.99</v>
      </c>
      <c r="I297" s="2" t="str">
        <f>_xlfn.XLOOKUP(F297,DeparaIMG!D:D,DeparaIMG!F:F,,0)</f>
        <v>CORCEROLN.png</v>
      </c>
    </row>
    <row r="298" spans="1:9" x14ac:dyDescent="0.25">
      <c r="A298" s="2" t="s">
        <v>10</v>
      </c>
      <c r="B298" s="2" t="s">
        <v>62</v>
      </c>
      <c r="C298" t="s">
        <v>89</v>
      </c>
      <c r="D298" t="s">
        <v>25</v>
      </c>
      <c r="E298" s="2">
        <v>1</v>
      </c>
      <c r="F298" t="s">
        <v>86</v>
      </c>
      <c r="G298">
        <v>7.99</v>
      </c>
      <c r="H298">
        <v>6.99</v>
      </c>
      <c r="I298" s="2" t="str">
        <f>_xlfn.XLOOKUP(F298,DeparaIMG!D:D,DeparaIMG!F:F,,0)</f>
        <v>CORCEROLN.png</v>
      </c>
    </row>
    <row r="299" spans="1:9" x14ac:dyDescent="0.25">
      <c r="A299" s="2" t="s">
        <v>10</v>
      </c>
      <c r="B299" s="2" t="s">
        <v>62</v>
      </c>
      <c r="C299" t="s">
        <v>90</v>
      </c>
      <c r="D299" t="s">
        <v>25</v>
      </c>
      <c r="E299" s="2">
        <v>1</v>
      </c>
      <c r="F299" t="s">
        <v>86</v>
      </c>
      <c r="G299">
        <v>7.99</v>
      </c>
      <c r="H299">
        <v>6.99</v>
      </c>
      <c r="I299" s="2" t="str">
        <f>_xlfn.XLOOKUP(F299,DeparaIMG!D:D,DeparaIMG!F:F,,0)</f>
        <v>CORCEROLN.png</v>
      </c>
    </row>
    <row r="300" spans="1:9" x14ac:dyDescent="0.25">
      <c r="A300" s="2" t="s">
        <v>10</v>
      </c>
      <c r="B300" s="2" t="s">
        <v>62</v>
      </c>
      <c r="C300" t="s">
        <v>112</v>
      </c>
      <c r="D300" t="s">
        <v>25</v>
      </c>
      <c r="E300" s="2">
        <v>1</v>
      </c>
      <c r="F300" t="s">
        <v>85</v>
      </c>
      <c r="G300">
        <v>7.99</v>
      </c>
      <c r="H300">
        <v>6.99</v>
      </c>
      <c r="I300" s="2" t="str">
        <f>_xlfn.XLOOKUP(F300,DeparaIMG!D:D,DeparaIMG!F:F,,0)</f>
        <v>CORLN.png</v>
      </c>
    </row>
    <row r="301" spans="1:9" x14ac:dyDescent="0.25">
      <c r="A301" s="2" t="s">
        <v>10</v>
      </c>
      <c r="B301" s="2" t="s">
        <v>62</v>
      </c>
      <c r="C301" t="s">
        <v>112</v>
      </c>
      <c r="D301" t="s">
        <v>26</v>
      </c>
      <c r="E301" s="2">
        <v>1</v>
      </c>
      <c r="F301" t="s">
        <v>85</v>
      </c>
      <c r="G301">
        <v>7.99</v>
      </c>
      <c r="H301">
        <v>6.99</v>
      </c>
      <c r="I301" s="2" t="str">
        <f>_xlfn.XLOOKUP(F301,DeparaIMG!D:D,DeparaIMG!F:F,,0)</f>
        <v>CORLN.png</v>
      </c>
    </row>
    <row r="302" spans="1:9" x14ac:dyDescent="0.25">
      <c r="A302" s="2" t="s">
        <v>10</v>
      </c>
      <c r="B302" s="2" t="s">
        <v>62</v>
      </c>
      <c r="C302" t="s">
        <v>29</v>
      </c>
      <c r="D302" t="s">
        <v>25</v>
      </c>
      <c r="E302" s="2">
        <v>1</v>
      </c>
      <c r="F302" t="s">
        <v>85</v>
      </c>
      <c r="G302">
        <v>7.99</v>
      </c>
      <c r="H302">
        <v>6.99</v>
      </c>
      <c r="I302" s="2" t="str">
        <f>_xlfn.XLOOKUP(F302,DeparaIMG!D:D,DeparaIMG!F:F,,0)</f>
        <v>CORLN.png</v>
      </c>
    </row>
    <row r="303" spans="1:9" x14ac:dyDescent="0.25">
      <c r="A303" s="2" t="s">
        <v>10</v>
      </c>
      <c r="B303" s="2" t="s">
        <v>62</v>
      </c>
      <c r="C303" t="s">
        <v>29</v>
      </c>
      <c r="D303" t="s">
        <v>26</v>
      </c>
      <c r="E303" s="2">
        <v>1</v>
      </c>
      <c r="F303" t="s">
        <v>85</v>
      </c>
      <c r="G303">
        <v>7.99</v>
      </c>
      <c r="H303">
        <v>6.99</v>
      </c>
      <c r="I303" s="2" t="str">
        <f>_xlfn.XLOOKUP(F303,DeparaIMG!D:D,DeparaIMG!F:F,,0)</f>
        <v>CORLN.png</v>
      </c>
    </row>
    <row r="304" spans="1:9" x14ac:dyDescent="0.25">
      <c r="A304" s="2" t="s">
        <v>10</v>
      </c>
      <c r="B304" s="2" t="s">
        <v>62</v>
      </c>
      <c r="C304" t="s">
        <v>87</v>
      </c>
      <c r="D304" t="s">
        <v>25</v>
      </c>
      <c r="E304" s="2">
        <v>1</v>
      </c>
      <c r="F304" t="s">
        <v>85</v>
      </c>
      <c r="G304">
        <v>7.99</v>
      </c>
      <c r="H304">
        <v>6.99</v>
      </c>
      <c r="I304" s="2" t="str">
        <f>_xlfn.XLOOKUP(F304,DeparaIMG!D:D,DeparaIMG!F:F,,0)</f>
        <v>CORLN.png</v>
      </c>
    </row>
    <row r="305" spans="1:9" x14ac:dyDescent="0.25">
      <c r="A305" s="2" t="s">
        <v>10</v>
      </c>
      <c r="B305" s="2" t="s">
        <v>62</v>
      </c>
      <c r="C305" t="s">
        <v>87</v>
      </c>
      <c r="D305" t="s">
        <v>26</v>
      </c>
      <c r="E305" s="2">
        <v>1</v>
      </c>
      <c r="F305" t="s">
        <v>85</v>
      </c>
      <c r="G305">
        <v>7.99</v>
      </c>
      <c r="H305">
        <v>6.99</v>
      </c>
      <c r="I305" s="2" t="str">
        <f>_xlfn.XLOOKUP(F305,DeparaIMG!D:D,DeparaIMG!F:F,,0)</f>
        <v>CORLN.png</v>
      </c>
    </row>
    <row r="306" spans="1:9" x14ac:dyDescent="0.25">
      <c r="A306" s="2" t="s">
        <v>10</v>
      </c>
      <c r="B306" s="2" t="s">
        <v>62</v>
      </c>
      <c r="C306" t="s">
        <v>88</v>
      </c>
      <c r="D306" t="s">
        <v>26</v>
      </c>
      <c r="E306" s="2">
        <v>1</v>
      </c>
      <c r="F306" t="s">
        <v>85</v>
      </c>
      <c r="G306">
        <v>7.99</v>
      </c>
      <c r="H306">
        <v>6.99</v>
      </c>
      <c r="I306" s="2" t="str">
        <f>_xlfn.XLOOKUP(F306,DeparaIMG!D:D,DeparaIMG!F:F,,0)</f>
        <v>CORLN.png</v>
      </c>
    </row>
    <row r="307" spans="1:9" x14ac:dyDescent="0.25">
      <c r="A307" s="2" t="s">
        <v>10</v>
      </c>
      <c r="B307" s="2" t="s">
        <v>62</v>
      </c>
      <c r="C307" t="s">
        <v>113</v>
      </c>
      <c r="D307" t="s">
        <v>25</v>
      </c>
      <c r="E307" s="2">
        <v>1</v>
      </c>
      <c r="F307" t="s">
        <v>85</v>
      </c>
      <c r="G307">
        <v>7.99</v>
      </c>
      <c r="H307">
        <v>6.99</v>
      </c>
      <c r="I307" s="2" t="str">
        <f>_xlfn.XLOOKUP(F307,DeparaIMG!D:D,DeparaIMG!F:F,,0)</f>
        <v>CORLN.png</v>
      </c>
    </row>
    <row r="308" spans="1:9" x14ac:dyDescent="0.25">
      <c r="A308" s="2" t="s">
        <v>10</v>
      </c>
      <c r="B308" s="2" t="s">
        <v>62</v>
      </c>
      <c r="C308" t="s">
        <v>112</v>
      </c>
      <c r="D308" t="s">
        <v>25</v>
      </c>
      <c r="E308" s="2">
        <v>1</v>
      </c>
      <c r="F308" t="s">
        <v>86</v>
      </c>
      <c r="G308">
        <v>7.99</v>
      </c>
      <c r="H308">
        <v>6.99</v>
      </c>
      <c r="I308" s="2" t="str">
        <f>_xlfn.XLOOKUP(F308,DeparaIMG!D:D,DeparaIMG!F:F,,0)</f>
        <v>CORCEROLN.png</v>
      </c>
    </row>
    <row r="309" spans="1:9" x14ac:dyDescent="0.25">
      <c r="A309" s="2" t="s">
        <v>10</v>
      </c>
      <c r="B309" s="2" t="s">
        <v>62</v>
      </c>
      <c r="C309" t="s">
        <v>112</v>
      </c>
      <c r="D309" t="s">
        <v>26</v>
      </c>
      <c r="E309" s="2">
        <v>1</v>
      </c>
      <c r="F309" t="s">
        <v>86</v>
      </c>
      <c r="G309">
        <v>7.99</v>
      </c>
      <c r="H309">
        <v>6.99</v>
      </c>
      <c r="I309" s="2" t="str">
        <f>_xlfn.XLOOKUP(F309,DeparaIMG!D:D,DeparaIMG!F:F,,0)</f>
        <v>CORCEROLN.png</v>
      </c>
    </row>
    <row r="310" spans="1:9" x14ac:dyDescent="0.25">
      <c r="A310" s="2" t="s">
        <v>10</v>
      </c>
      <c r="B310" s="2" t="s">
        <v>62</v>
      </c>
      <c r="C310" t="s">
        <v>29</v>
      </c>
      <c r="D310" t="s">
        <v>25</v>
      </c>
      <c r="E310" s="2">
        <v>1</v>
      </c>
      <c r="F310" t="s">
        <v>86</v>
      </c>
      <c r="G310">
        <v>7.99</v>
      </c>
      <c r="H310">
        <v>6.99</v>
      </c>
      <c r="I310" s="2" t="str">
        <f>_xlfn.XLOOKUP(F310,DeparaIMG!D:D,DeparaIMG!F:F,,0)</f>
        <v>CORCEROLN.png</v>
      </c>
    </row>
    <row r="311" spans="1:9" x14ac:dyDescent="0.25">
      <c r="A311" s="2" t="s">
        <v>10</v>
      </c>
      <c r="B311" s="2" t="s">
        <v>62</v>
      </c>
      <c r="C311" t="s">
        <v>29</v>
      </c>
      <c r="D311" t="s">
        <v>26</v>
      </c>
      <c r="E311" s="2">
        <v>1</v>
      </c>
      <c r="F311" t="s">
        <v>86</v>
      </c>
      <c r="G311">
        <v>7.99</v>
      </c>
      <c r="H311">
        <v>6.99</v>
      </c>
      <c r="I311" s="2" t="str">
        <f>_xlfn.XLOOKUP(F311,DeparaIMG!D:D,DeparaIMG!F:F,,0)</f>
        <v>CORCEROLN.png</v>
      </c>
    </row>
    <row r="312" spans="1:9" x14ac:dyDescent="0.25">
      <c r="A312" s="2" t="s">
        <v>10</v>
      </c>
      <c r="B312" s="2" t="s">
        <v>62</v>
      </c>
      <c r="C312" t="s">
        <v>87</v>
      </c>
      <c r="D312" t="s">
        <v>25</v>
      </c>
      <c r="E312" s="2">
        <v>1</v>
      </c>
      <c r="F312" t="s">
        <v>86</v>
      </c>
      <c r="G312">
        <v>7.99</v>
      </c>
      <c r="H312">
        <v>6.99</v>
      </c>
      <c r="I312" s="2" t="str">
        <f>_xlfn.XLOOKUP(F312,DeparaIMG!D:D,DeparaIMG!F:F,,0)</f>
        <v>CORCEROLN.png</v>
      </c>
    </row>
    <row r="313" spans="1:9" x14ac:dyDescent="0.25">
      <c r="A313" s="2" t="s">
        <v>10</v>
      </c>
      <c r="B313" s="2" t="s">
        <v>62</v>
      </c>
      <c r="C313" t="s">
        <v>87</v>
      </c>
      <c r="D313" t="s">
        <v>26</v>
      </c>
      <c r="E313" s="2">
        <v>1</v>
      </c>
      <c r="F313" t="s">
        <v>86</v>
      </c>
      <c r="G313">
        <v>7.99</v>
      </c>
      <c r="H313">
        <v>6.99</v>
      </c>
      <c r="I313" s="2" t="str">
        <f>_xlfn.XLOOKUP(F313,DeparaIMG!D:D,DeparaIMG!F:F,,0)</f>
        <v>CORCEROLN.png</v>
      </c>
    </row>
    <row r="314" spans="1:9" x14ac:dyDescent="0.25">
      <c r="A314" s="2" t="s">
        <v>10</v>
      </c>
      <c r="B314" s="2" t="s">
        <v>62</v>
      </c>
      <c r="C314" t="s">
        <v>88</v>
      </c>
      <c r="D314" t="s">
        <v>26</v>
      </c>
      <c r="E314" s="2">
        <v>1</v>
      </c>
      <c r="F314" t="s">
        <v>86</v>
      </c>
      <c r="G314">
        <v>7.99</v>
      </c>
      <c r="H314">
        <v>6.99</v>
      </c>
      <c r="I314" s="2" t="str">
        <f>_xlfn.XLOOKUP(F314,DeparaIMG!D:D,DeparaIMG!F:F,,0)</f>
        <v>CORCEROLN.png</v>
      </c>
    </row>
    <row r="315" spans="1:9" x14ac:dyDescent="0.25">
      <c r="A315" s="2" t="s">
        <v>10</v>
      </c>
      <c r="B315" s="2" t="s">
        <v>62</v>
      </c>
      <c r="C315" t="s">
        <v>113</v>
      </c>
      <c r="D315" t="s">
        <v>25</v>
      </c>
      <c r="E315" s="2">
        <v>1</v>
      </c>
      <c r="F315" t="s">
        <v>86</v>
      </c>
      <c r="G315">
        <v>7.99</v>
      </c>
      <c r="H315">
        <v>6.99</v>
      </c>
      <c r="I315" s="2" t="str">
        <f>_xlfn.XLOOKUP(F315,DeparaIMG!D:D,DeparaIMG!F:F,,0)</f>
        <v>CORCEROLN.png</v>
      </c>
    </row>
    <row r="316" spans="1:9" x14ac:dyDescent="0.25">
      <c r="A316" s="2" t="s">
        <v>103</v>
      </c>
      <c r="B316" s="2" t="s">
        <v>62</v>
      </c>
      <c r="C316" t="s">
        <v>87</v>
      </c>
      <c r="D316" t="s">
        <v>25</v>
      </c>
      <c r="E316" s="2">
        <v>2</v>
      </c>
      <c r="F316" t="s">
        <v>66</v>
      </c>
      <c r="G316">
        <v>3.09</v>
      </c>
      <c r="H316">
        <v>2.89</v>
      </c>
      <c r="I316" s="2" t="str">
        <f>_xlfn.XLOOKUP(F316,DeparaIMG!D:D,DeparaIMG!F:F,,0)</f>
        <v>SK269.png</v>
      </c>
    </row>
    <row r="317" spans="1:9" x14ac:dyDescent="0.25">
      <c r="A317" s="2" t="s">
        <v>103</v>
      </c>
      <c r="B317" s="2" t="s">
        <v>62</v>
      </c>
      <c r="C317" t="s">
        <v>87</v>
      </c>
      <c r="D317" t="s">
        <v>26</v>
      </c>
      <c r="E317" s="2">
        <v>2</v>
      </c>
      <c r="F317" t="s">
        <v>66</v>
      </c>
      <c r="G317">
        <v>3.09</v>
      </c>
      <c r="H317">
        <v>2.89</v>
      </c>
      <c r="I317" s="2" t="str">
        <f>_xlfn.XLOOKUP(F317,DeparaIMG!D:D,DeparaIMG!F:F,,0)</f>
        <v>SK269.png</v>
      </c>
    </row>
    <row r="318" spans="1:9" x14ac:dyDescent="0.25">
      <c r="A318" s="2" t="s">
        <v>103</v>
      </c>
      <c r="B318" s="2" t="s">
        <v>62</v>
      </c>
      <c r="C318" t="s">
        <v>89</v>
      </c>
      <c r="D318" t="s">
        <v>25</v>
      </c>
      <c r="E318" s="2">
        <v>1</v>
      </c>
      <c r="F318" t="s">
        <v>68</v>
      </c>
      <c r="G318">
        <v>3.29</v>
      </c>
      <c r="H318">
        <v>2.99</v>
      </c>
      <c r="I318" s="2" t="str">
        <f>_xlfn.XLOOKUP(F318,DeparaIMG!D:D,DeparaIMG!F:F,,0)</f>
        <v>BC269.png</v>
      </c>
    </row>
    <row r="319" spans="1:9" x14ac:dyDescent="0.25">
      <c r="A319" s="2" t="s">
        <v>103</v>
      </c>
      <c r="B319" s="2" t="s">
        <v>62</v>
      </c>
      <c r="C319" t="s">
        <v>89</v>
      </c>
      <c r="D319" t="s">
        <v>26</v>
      </c>
      <c r="E319" s="2">
        <v>1</v>
      </c>
      <c r="F319" t="s">
        <v>68</v>
      </c>
      <c r="G319">
        <v>3.29</v>
      </c>
      <c r="H319">
        <v>2.99</v>
      </c>
      <c r="I319" s="2" t="str">
        <f>_xlfn.XLOOKUP(F319,DeparaIMG!D:D,DeparaIMG!F:F,,0)</f>
        <v>BC269.png</v>
      </c>
    </row>
    <row r="320" spans="1:9" x14ac:dyDescent="0.25">
      <c r="A320" s="2" t="s">
        <v>103</v>
      </c>
      <c r="B320" s="2" t="s">
        <v>62</v>
      </c>
      <c r="C320" t="s">
        <v>112</v>
      </c>
      <c r="D320" t="s">
        <v>25</v>
      </c>
      <c r="E320" s="2">
        <v>2</v>
      </c>
      <c r="F320" t="s">
        <v>67</v>
      </c>
      <c r="G320">
        <v>3.19</v>
      </c>
      <c r="H320">
        <v>2.99</v>
      </c>
      <c r="I320" s="2" t="str">
        <f>_xlfn.XLOOKUP(F320,DeparaIMG!D:D,DeparaIMG!F:F,,0)</f>
        <v>AP269.png</v>
      </c>
    </row>
    <row r="321" spans="1:9" x14ac:dyDescent="0.25">
      <c r="A321" s="2" t="s">
        <v>103</v>
      </c>
      <c r="B321" s="2" t="s">
        <v>62</v>
      </c>
      <c r="C321" t="s">
        <v>29</v>
      </c>
      <c r="D321" t="s">
        <v>25</v>
      </c>
      <c r="E321" s="2">
        <v>2</v>
      </c>
      <c r="F321" t="s">
        <v>67</v>
      </c>
      <c r="G321">
        <v>3.19</v>
      </c>
      <c r="H321">
        <v>2.99</v>
      </c>
      <c r="I321" s="2" t="str">
        <f>_xlfn.XLOOKUP(F321,DeparaIMG!D:D,DeparaIMG!F:F,,0)</f>
        <v>AP269.png</v>
      </c>
    </row>
    <row r="322" spans="1:9" x14ac:dyDescent="0.25">
      <c r="A322" s="2" t="s">
        <v>103</v>
      </c>
      <c r="B322" s="2" t="s">
        <v>62</v>
      </c>
      <c r="C322" t="s">
        <v>29</v>
      </c>
      <c r="D322" t="s">
        <v>25</v>
      </c>
      <c r="E322" s="2">
        <v>1</v>
      </c>
      <c r="F322" t="s">
        <v>68</v>
      </c>
      <c r="G322">
        <v>3.19</v>
      </c>
      <c r="H322">
        <v>2.99</v>
      </c>
      <c r="I322" s="2" t="str">
        <f>_xlfn.XLOOKUP(F322,DeparaIMG!D:D,DeparaIMG!F:F,,0)</f>
        <v>BC269.png</v>
      </c>
    </row>
    <row r="323" spans="1:9" x14ac:dyDescent="0.25">
      <c r="A323" s="2" t="s">
        <v>103</v>
      </c>
      <c r="B323" s="2" t="s">
        <v>62</v>
      </c>
      <c r="C323" t="s">
        <v>112</v>
      </c>
      <c r="D323" t="s">
        <v>25</v>
      </c>
      <c r="E323" s="2">
        <v>1</v>
      </c>
      <c r="F323" t="s">
        <v>68</v>
      </c>
      <c r="G323">
        <v>3.19</v>
      </c>
      <c r="H323">
        <v>2.99</v>
      </c>
      <c r="I323" s="2" t="str">
        <f>_xlfn.XLOOKUP(F323,DeparaIMG!D:D,DeparaIMG!F:F,,0)</f>
        <v>BC269.png</v>
      </c>
    </row>
    <row r="324" spans="1:9" x14ac:dyDescent="0.25">
      <c r="A324" s="2" t="s">
        <v>103</v>
      </c>
      <c r="B324" s="2" t="s">
        <v>62</v>
      </c>
      <c r="C324" t="s">
        <v>112</v>
      </c>
      <c r="D324" t="s">
        <v>26</v>
      </c>
      <c r="E324" s="2">
        <v>1</v>
      </c>
      <c r="F324" t="s">
        <v>68</v>
      </c>
      <c r="G324">
        <v>3.19</v>
      </c>
      <c r="H324">
        <v>2.99</v>
      </c>
      <c r="I324" s="2" t="str">
        <f>_xlfn.XLOOKUP(F324,DeparaIMG!D:D,DeparaIMG!F:F,,0)</f>
        <v>BC269.png</v>
      </c>
    </row>
    <row r="325" spans="1:9" x14ac:dyDescent="0.25">
      <c r="A325" s="2" t="s">
        <v>103</v>
      </c>
      <c r="B325" s="2" t="s">
        <v>62</v>
      </c>
      <c r="C325" t="s">
        <v>87</v>
      </c>
      <c r="D325" t="s">
        <v>25</v>
      </c>
      <c r="E325" s="2">
        <v>1</v>
      </c>
      <c r="F325" t="s">
        <v>68</v>
      </c>
      <c r="G325">
        <v>3.19</v>
      </c>
      <c r="H325">
        <v>2.99</v>
      </c>
      <c r="I325" s="2" t="str">
        <f>_xlfn.XLOOKUP(F325,DeparaIMG!D:D,DeparaIMG!F:F,,0)</f>
        <v>BC269.png</v>
      </c>
    </row>
    <row r="326" spans="1:9" x14ac:dyDescent="0.25">
      <c r="A326" s="2" t="s">
        <v>103</v>
      </c>
      <c r="B326" s="2" t="s">
        <v>62</v>
      </c>
      <c r="C326" t="s">
        <v>87</v>
      </c>
      <c r="D326" t="s">
        <v>26</v>
      </c>
      <c r="E326" s="2">
        <v>1</v>
      </c>
      <c r="F326" t="s">
        <v>68</v>
      </c>
      <c r="G326">
        <v>3.19</v>
      </c>
      <c r="H326">
        <v>2.99</v>
      </c>
      <c r="I326" s="2" t="str">
        <f>_xlfn.XLOOKUP(F326,DeparaIMG!D:D,DeparaIMG!F:F,,0)</f>
        <v>BC269.png</v>
      </c>
    </row>
    <row r="327" spans="1:9" x14ac:dyDescent="0.25">
      <c r="A327" s="2" t="s">
        <v>103</v>
      </c>
      <c r="B327" s="2" t="s">
        <v>62</v>
      </c>
      <c r="C327" t="s">
        <v>113</v>
      </c>
      <c r="D327" t="s">
        <v>25</v>
      </c>
      <c r="E327" s="2">
        <v>1</v>
      </c>
      <c r="F327" t="s">
        <v>68</v>
      </c>
      <c r="G327">
        <v>3.19</v>
      </c>
      <c r="H327">
        <v>2.99</v>
      </c>
      <c r="I327" s="2" t="str">
        <f>_xlfn.XLOOKUP(F327,DeparaIMG!D:D,DeparaIMG!F:F,,0)</f>
        <v>BC269.png</v>
      </c>
    </row>
    <row r="328" spans="1:9" x14ac:dyDescent="0.25">
      <c r="A328" s="2" t="s">
        <v>103</v>
      </c>
      <c r="B328" s="2" t="s">
        <v>62</v>
      </c>
      <c r="C328" t="s">
        <v>113</v>
      </c>
      <c r="D328" t="s">
        <v>25</v>
      </c>
      <c r="E328" s="2">
        <v>2</v>
      </c>
      <c r="F328" t="s">
        <v>66</v>
      </c>
      <c r="G328">
        <v>3.29</v>
      </c>
      <c r="H328">
        <v>3.09</v>
      </c>
      <c r="I328" s="2" t="str">
        <f>_xlfn.XLOOKUP(F328,DeparaIMG!D:D,DeparaIMG!F:F,,0)</f>
        <v>SK269.png</v>
      </c>
    </row>
    <row r="329" spans="1:9" x14ac:dyDescent="0.25">
      <c r="A329" s="2" t="s">
        <v>103</v>
      </c>
      <c r="B329" s="2" t="s">
        <v>62</v>
      </c>
      <c r="C329" t="s">
        <v>113</v>
      </c>
      <c r="D329" t="s">
        <v>26</v>
      </c>
      <c r="E329" s="2">
        <v>2</v>
      </c>
      <c r="F329" t="s">
        <v>66</v>
      </c>
      <c r="G329">
        <v>3.29</v>
      </c>
      <c r="H329">
        <v>3.09</v>
      </c>
      <c r="I329" s="2" t="str">
        <f>_xlfn.XLOOKUP(F329,DeparaIMG!D:D,DeparaIMG!F:F,,0)</f>
        <v>SK269.png</v>
      </c>
    </row>
    <row r="330" spans="1:9" x14ac:dyDescent="0.25">
      <c r="A330" s="2" t="s">
        <v>103</v>
      </c>
      <c r="B330" s="2" t="s">
        <v>62</v>
      </c>
      <c r="C330" t="s">
        <v>88</v>
      </c>
      <c r="D330" t="s">
        <v>25</v>
      </c>
      <c r="E330" s="2">
        <v>1</v>
      </c>
      <c r="F330" t="s">
        <v>68</v>
      </c>
      <c r="G330">
        <v>3.29</v>
      </c>
      <c r="H330">
        <v>2.99</v>
      </c>
      <c r="I330" s="2" t="str">
        <f>_xlfn.XLOOKUP(F330,DeparaIMG!D:D,DeparaIMG!F:F,,0)</f>
        <v>BC269.png</v>
      </c>
    </row>
    <row r="331" spans="1:9" x14ac:dyDescent="0.25">
      <c r="A331" s="2" t="s">
        <v>103</v>
      </c>
      <c r="B331" s="2" t="s">
        <v>62</v>
      </c>
      <c r="C331" t="s">
        <v>88</v>
      </c>
      <c r="D331" t="s">
        <v>26</v>
      </c>
      <c r="E331" s="2">
        <v>1</v>
      </c>
      <c r="F331" t="s">
        <v>68</v>
      </c>
      <c r="G331">
        <v>3.29</v>
      </c>
      <c r="H331">
        <v>2.99</v>
      </c>
      <c r="I331" s="2" t="str">
        <f>_xlfn.XLOOKUP(F331,DeparaIMG!D:D,DeparaIMG!F:F,,0)</f>
        <v>BC269.png</v>
      </c>
    </row>
    <row r="332" spans="1:9" x14ac:dyDescent="0.25">
      <c r="A332" s="2" t="s">
        <v>103</v>
      </c>
      <c r="B332" s="2" t="s">
        <v>62</v>
      </c>
      <c r="C332" t="s">
        <v>88</v>
      </c>
      <c r="D332" t="s">
        <v>25</v>
      </c>
      <c r="E332" s="2">
        <v>2</v>
      </c>
      <c r="F332" t="s">
        <v>66</v>
      </c>
      <c r="G332">
        <v>3.29</v>
      </c>
      <c r="H332">
        <v>3.09</v>
      </c>
      <c r="I332" s="2" t="str">
        <f>_xlfn.XLOOKUP(F332,DeparaIMG!D:D,DeparaIMG!F:F,,0)</f>
        <v>SK269.png</v>
      </c>
    </row>
    <row r="333" spans="1:9" x14ac:dyDescent="0.25">
      <c r="A333" s="2" t="s">
        <v>103</v>
      </c>
      <c r="B333" s="2" t="s">
        <v>62</v>
      </c>
      <c r="C333" t="s">
        <v>88</v>
      </c>
      <c r="D333" t="s">
        <v>26</v>
      </c>
      <c r="E333" s="2">
        <v>2</v>
      </c>
      <c r="F333" t="s">
        <v>66</v>
      </c>
      <c r="G333">
        <v>3.29</v>
      </c>
      <c r="H333">
        <v>3.09</v>
      </c>
      <c r="I333" s="2" t="str">
        <f>_xlfn.XLOOKUP(F333,DeparaIMG!D:D,DeparaIMG!F:F,,0)</f>
        <v>SK269.png</v>
      </c>
    </row>
    <row r="334" spans="1:9" x14ac:dyDescent="0.25">
      <c r="A334" s="2" t="s">
        <v>103</v>
      </c>
      <c r="B334" s="2" t="s">
        <v>62</v>
      </c>
      <c r="C334" t="s">
        <v>89</v>
      </c>
      <c r="D334" t="s">
        <v>25</v>
      </c>
      <c r="E334" s="2">
        <v>2</v>
      </c>
      <c r="F334" t="s">
        <v>66</v>
      </c>
      <c r="G334">
        <v>3.29</v>
      </c>
      <c r="H334">
        <v>3.19</v>
      </c>
      <c r="I334" s="2" t="str">
        <f>_xlfn.XLOOKUP(F334,DeparaIMG!D:D,DeparaIMG!F:F,,0)</f>
        <v>SK269.png</v>
      </c>
    </row>
    <row r="335" spans="1:9" x14ac:dyDescent="0.25">
      <c r="A335" s="2" t="s">
        <v>103</v>
      </c>
      <c r="B335" s="2" t="s">
        <v>62</v>
      </c>
      <c r="C335" t="s">
        <v>90</v>
      </c>
      <c r="D335" t="s">
        <v>25</v>
      </c>
      <c r="E335" s="2">
        <v>1</v>
      </c>
      <c r="F335" t="s">
        <v>68</v>
      </c>
      <c r="G335">
        <v>3.29</v>
      </c>
      <c r="H335">
        <v>2.99</v>
      </c>
      <c r="I335" s="2" t="str">
        <f>_xlfn.XLOOKUP(F335,DeparaIMG!D:D,DeparaIMG!F:F,,0)</f>
        <v>BC269.png</v>
      </c>
    </row>
    <row r="336" spans="1:9" x14ac:dyDescent="0.25">
      <c r="A336" s="2" t="s">
        <v>103</v>
      </c>
      <c r="B336" s="2" t="s">
        <v>62</v>
      </c>
      <c r="C336" t="s">
        <v>90</v>
      </c>
      <c r="D336" t="s">
        <v>25</v>
      </c>
      <c r="E336" s="2">
        <v>2</v>
      </c>
      <c r="F336" t="s">
        <v>67</v>
      </c>
      <c r="G336">
        <v>3.29</v>
      </c>
      <c r="H336">
        <v>3.19</v>
      </c>
      <c r="I336" s="2" t="str">
        <f>_xlfn.XLOOKUP(F336,DeparaIMG!D:D,DeparaIMG!F:F,,0)</f>
        <v>AP269.png</v>
      </c>
    </row>
    <row r="337" spans="1:9" x14ac:dyDescent="0.25">
      <c r="A337" s="2" t="s">
        <v>103</v>
      </c>
      <c r="B337" s="2" t="s">
        <v>62</v>
      </c>
      <c r="C337" t="s">
        <v>90</v>
      </c>
      <c r="D337" t="s">
        <v>26</v>
      </c>
      <c r="E337" s="2">
        <v>2</v>
      </c>
      <c r="F337" t="s">
        <v>67</v>
      </c>
      <c r="G337">
        <v>3.29</v>
      </c>
      <c r="H337">
        <v>3.19</v>
      </c>
      <c r="I337" s="2" t="str">
        <f>_xlfn.XLOOKUP(F337,DeparaIMG!D:D,DeparaIMG!F:F,,0)</f>
        <v>AP269.png</v>
      </c>
    </row>
    <row r="338" spans="1:9" x14ac:dyDescent="0.25">
      <c r="A338" s="2" t="s">
        <v>103</v>
      </c>
      <c r="B338" s="2" t="s">
        <v>62</v>
      </c>
      <c r="C338" t="s">
        <v>89</v>
      </c>
      <c r="D338" t="s">
        <v>26</v>
      </c>
      <c r="E338" s="2">
        <v>2</v>
      </c>
      <c r="F338" t="s">
        <v>66</v>
      </c>
      <c r="G338">
        <v>3.29</v>
      </c>
      <c r="H338">
        <v>3.19</v>
      </c>
      <c r="I338" s="2" t="str">
        <f>_xlfn.XLOOKUP(F338,DeparaIMG!D:D,DeparaIMG!F:F,,0)</f>
        <v>SK269.png</v>
      </c>
    </row>
    <row r="339" spans="1:9" x14ac:dyDescent="0.25">
      <c r="A339" s="2" t="s">
        <v>103</v>
      </c>
      <c r="B339" s="2" t="s">
        <v>62</v>
      </c>
      <c r="C339" t="s">
        <v>90</v>
      </c>
      <c r="D339" t="s">
        <v>26</v>
      </c>
      <c r="E339" s="2">
        <v>1</v>
      </c>
      <c r="F339" t="s">
        <v>68</v>
      </c>
      <c r="G339">
        <v>3.29</v>
      </c>
      <c r="H339">
        <v>2.99</v>
      </c>
      <c r="I339" s="2" t="str">
        <f>_xlfn.XLOOKUP(F339,DeparaIMG!D:D,DeparaIMG!F:F,,0)</f>
        <v>BC269.png</v>
      </c>
    </row>
    <row r="340" spans="1:9" x14ac:dyDescent="0.25">
      <c r="A340" s="2" t="s">
        <v>103</v>
      </c>
      <c r="B340" s="2" t="s">
        <v>62</v>
      </c>
      <c r="C340" t="s">
        <v>112</v>
      </c>
      <c r="D340" t="s">
        <v>25</v>
      </c>
      <c r="E340" s="2">
        <v>1</v>
      </c>
      <c r="F340" t="s">
        <v>69</v>
      </c>
      <c r="G340">
        <v>3.49</v>
      </c>
      <c r="H340">
        <v>3.09</v>
      </c>
      <c r="I340" s="2" t="str">
        <f>_xlfn.XLOOKUP(F340,DeparaIMG!D:D,DeparaIMG!F:F,,0)</f>
        <v>BUD269.png</v>
      </c>
    </row>
    <row r="341" spans="1:9" x14ac:dyDescent="0.25">
      <c r="A341" s="2" t="s">
        <v>103</v>
      </c>
      <c r="B341" s="2" t="s">
        <v>62</v>
      </c>
      <c r="C341" t="s">
        <v>29</v>
      </c>
      <c r="D341" t="s">
        <v>25</v>
      </c>
      <c r="E341" s="2">
        <v>1</v>
      </c>
      <c r="F341" t="s">
        <v>69</v>
      </c>
      <c r="G341">
        <v>3.49</v>
      </c>
      <c r="H341">
        <v>3.09</v>
      </c>
      <c r="I341" s="2" t="str">
        <f>_xlfn.XLOOKUP(F341,DeparaIMG!D:D,DeparaIMG!F:F,,0)</f>
        <v>BUD269.png</v>
      </c>
    </row>
    <row r="342" spans="1:9" x14ac:dyDescent="0.25">
      <c r="A342" s="2" t="s">
        <v>103</v>
      </c>
      <c r="B342" s="2" t="s">
        <v>62</v>
      </c>
      <c r="C342" t="s">
        <v>87</v>
      </c>
      <c r="D342" t="s">
        <v>26</v>
      </c>
      <c r="E342" s="2">
        <v>1</v>
      </c>
      <c r="F342" t="s">
        <v>69</v>
      </c>
      <c r="G342">
        <v>3.49</v>
      </c>
      <c r="H342">
        <v>3.09</v>
      </c>
      <c r="I342" s="2" t="str">
        <f>_xlfn.XLOOKUP(F342,DeparaIMG!D:D,DeparaIMG!F:F,,0)</f>
        <v>BUD269.png</v>
      </c>
    </row>
    <row r="343" spans="1:9" x14ac:dyDescent="0.25">
      <c r="A343" s="2" t="s">
        <v>103</v>
      </c>
      <c r="B343" s="2" t="s">
        <v>62</v>
      </c>
      <c r="C343" t="s">
        <v>113</v>
      </c>
      <c r="D343" t="s">
        <v>25</v>
      </c>
      <c r="E343" s="2">
        <v>1</v>
      </c>
      <c r="F343" t="s">
        <v>69</v>
      </c>
      <c r="G343">
        <v>3.39</v>
      </c>
      <c r="H343">
        <v>2.99</v>
      </c>
      <c r="I343" s="2" t="str">
        <f>_xlfn.XLOOKUP(F343,DeparaIMG!D:D,DeparaIMG!F:F,,0)</f>
        <v>BUD269.png</v>
      </c>
    </row>
    <row r="344" spans="1:9" x14ac:dyDescent="0.25">
      <c r="A344" s="2" t="s">
        <v>103</v>
      </c>
      <c r="B344" s="2" t="s">
        <v>62</v>
      </c>
      <c r="C344" t="s">
        <v>88</v>
      </c>
      <c r="D344" t="s">
        <v>26</v>
      </c>
      <c r="E344" s="2">
        <v>1</v>
      </c>
      <c r="F344" t="s">
        <v>69</v>
      </c>
      <c r="G344">
        <v>3.49</v>
      </c>
      <c r="H344">
        <v>3.09</v>
      </c>
      <c r="I344" s="2" t="str">
        <f>_xlfn.XLOOKUP(F344,DeparaIMG!D:D,DeparaIMG!F:F,,0)</f>
        <v>BUD269.png</v>
      </c>
    </row>
    <row r="345" spans="1:9" x14ac:dyDescent="0.25">
      <c r="A345" s="2" t="s">
        <v>103</v>
      </c>
      <c r="B345" s="2" t="s">
        <v>62</v>
      </c>
      <c r="C345" t="s">
        <v>89</v>
      </c>
      <c r="D345" t="s">
        <v>25</v>
      </c>
      <c r="E345" s="2">
        <v>1</v>
      </c>
      <c r="F345" t="s">
        <v>69</v>
      </c>
      <c r="G345">
        <v>3.49</v>
      </c>
      <c r="H345">
        <v>3.09</v>
      </c>
      <c r="I345" s="2" t="str">
        <f>_xlfn.XLOOKUP(F345,DeparaIMG!D:D,DeparaIMG!F:F,,0)</f>
        <v>BUD269.png</v>
      </c>
    </row>
    <row r="346" spans="1:9" x14ac:dyDescent="0.25">
      <c r="A346" s="2" t="s">
        <v>103</v>
      </c>
      <c r="B346" s="2" t="s">
        <v>62</v>
      </c>
      <c r="C346" t="s">
        <v>89</v>
      </c>
      <c r="D346" t="s">
        <v>26</v>
      </c>
      <c r="E346" s="2">
        <v>1</v>
      </c>
      <c r="F346" t="s">
        <v>69</v>
      </c>
      <c r="G346">
        <v>3.49</v>
      </c>
      <c r="H346">
        <v>3.09</v>
      </c>
      <c r="I346" s="2" t="str">
        <f>_xlfn.XLOOKUP(F346,DeparaIMG!D:D,DeparaIMG!F:F,,0)</f>
        <v>BUD269.png</v>
      </c>
    </row>
    <row r="347" spans="1:9" x14ac:dyDescent="0.25">
      <c r="A347" s="2" t="s">
        <v>103</v>
      </c>
      <c r="B347" s="2" t="s">
        <v>62</v>
      </c>
      <c r="C347" t="s">
        <v>90</v>
      </c>
      <c r="D347" t="s">
        <v>26</v>
      </c>
      <c r="E347" s="2">
        <v>1</v>
      </c>
      <c r="F347" t="s">
        <v>69</v>
      </c>
      <c r="G347">
        <v>3.49</v>
      </c>
      <c r="H347">
        <v>3.09</v>
      </c>
      <c r="I347" s="2" t="str">
        <f>_xlfn.XLOOKUP(F347,DeparaIMG!D:D,DeparaIMG!F:F,,0)</f>
        <v>BUD269.png</v>
      </c>
    </row>
    <row r="348" spans="1:9" x14ac:dyDescent="0.25">
      <c r="A348" s="2" t="s">
        <v>103</v>
      </c>
      <c r="B348" s="2" t="s">
        <v>62</v>
      </c>
      <c r="C348" t="s">
        <v>90</v>
      </c>
      <c r="D348" t="s">
        <v>25</v>
      </c>
      <c r="E348" s="2">
        <v>1</v>
      </c>
      <c r="F348" t="s">
        <v>69</v>
      </c>
      <c r="G348">
        <v>3.49</v>
      </c>
      <c r="H348">
        <v>3.09</v>
      </c>
      <c r="I348" s="2" t="str">
        <f>_xlfn.XLOOKUP(F348,DeparaIMG!D:D,DeparaIMG!F:F,,0)</f>
        <v>BUD269.png</v>
      </c>
    </row>
    <row r="349" spans="1:9" x14ac:dyDescent="0.25">
      <c r="A349" s="2" t="s">
        <v>103</v>
      </c>
      <c r="B349" s="2" t="s">
        <v>62</v>
      </c>
      <c r="C349" t="s">
        <v>113</v>
      </c>
      <c r="D349" t="s">
        <v>26</v>
      </c>
      <c r="E349" s="2">
        <v>1</v>
      </c>
      <c r="F349" t="s">
        <v>71</v>
      </c>
      <c r="G349">
        <v>3.79</v>
      </c>
      <c r="H349">
        <v>3.49</v>
      </c>
      <c r="I349" s="2" t="str">
        <f>_xlfn.XLOOKUP(F349,DeparaIMG!D:D,DeparaIMG!F:F,,0)</f>
        <v>BC350.png</v>
      </c>
    </row>
    <row r="350" spans="1:9" x14ac:dyDescent="0.25">
      <c r="A350" s="2" t="s">
        <v>103</v>
      </c>
      <c r="B350" s="2" t="s">
        <v>62</v>
      </c>
      <c r="C350" t="s">
        <v>112</v>
      </c>
      <c r="D350" t="s">
        <v>25</v>
      </c>
      <c r="E350" s="2">
        <v>1</v>
      </c>
      <c r="F350" t="s">
        <v>70</v>
      </c>
      <c r="G350">
        <v>3.69</v>
      </c>
      <c r="H350">
        <v>3.19</v>
      </c>
      <c r="I350" s="2" t="str">
        <f>_xlfn.XLOOKUP(F350,DeparaIMG!D:D,DeparaIMG!F:F,,0)</f>
        <v>BC0350.png</v>
      </c>
    </row>
    <row r="351" spans="1:9" x14ac:dyDescent="0.25">
      <c r="A351" s="2" t="s">
        <v>103</v>
      </c>
      <c r="B351" s="2" t="s">
        <v>62</v>
      </c>
      <c r="C351" t="s">
        <v>112</v>
      </c>
      <c r="D351" t="s">
        <v>25</v>
      </c>
      <c r="E351" s="2">
        <v>2</v>
      </c>
      <c r="F351" t="s">
        <v>70</v>
      </c>
      <c r="G351">
        <v>3.69</v>
      </c>
      <c r="H351">
        <v>3.19</v>
      </c>
      <c r="I351" s="2" t="str">
        <f>_xlfn.XLOOKUP(F351,DeparaIMG!D:D,DeparaIMG!F:F,,0)</f>
        <v>BC0350.png</v>
      </c>
    </row>
    <row r="352" spans="1:9" x14ac:dyDescent="0.25">
      <c r="A352" s="2" t="s">
        <v>103</v>
      </c>
      <c r="B352" s="2" t="s">
        <v>62</v>
      </c>
      <c r="C352" t="s">
        <v>29</v>
      </c>
      <c r="D352" t="s">
        <v>25</v>
      </c>
      <c r="E352" s="2">
        <v>1</v>
      </c>
      <c r="F352" t="s">
        <v>70</v>
      </c>
      <c r="G352">
        <v>3.69</v>
      </c>
      <c r="H352">
        <v>3.19</v>
      </c>
      <c r="I352" s="2" t="str">
        <f>_xlfn.XLOOKUP(F352,DeparaIMG!D:D,DeparaIMG!F:F,,0)</f>
        <v>BC0350.png</v>
      </c>
    </row>
    <row r="353" spans="1:9" x14ac:dyDescent="0.25">
      <c r="A353" s="2" t="s">
        <v>103</v>
      </c>
      <c r="B353" s="2" t="s">
        <v>62</v>
      </c>
      <c r="C353" t="s">
        <v>29</v>
      </c>
      <c r="D353" t="s">
        <v>25</v>
      </c>
      <c r="E353" s="2">
        <v>2</v>
      </c>
      <c r="F353" t="s">
        <v>70</v>
      </c>
      <c r="G353">
        <v>3.69</v>
      </c>
      <c r="H353">
        <v>3.19</v>
      </c>
      <c r="I353" s="2" t="str">
        <f>_xlfn.XLOOKUP(F353,DeparaIMG!D:D,DeparaIMG!F:F,,0)</f>
        <v>BC0350.png</v>
      </c>
    </row>
    <row r="354" spans="1:9" x14ac:dyDescent="0.25">
      <c r="A354" s="2" t="s">
        <v>103</v>
      </c>
      <c r="B354" s="2" t="s">
        <v>62</v>
      </c>
      <c r="C354" t="s">
        <v>88</v>
      </c>
      <c r="D354" t="s">
        <v>25</v>
      </c>
      <c r="E354" s="2">
        <v>1</v>
      </c>
      <c r="F354" t="s">
        <v>70</v>
      </c>
      <c r="G354">
        <v>3.69</v>
      </c>
      <c r="H354">
        <v>3.19</v>
      </c>
      <c r="I354" s="2" t="str">
        <f>_xlfn.XLOOKUP(F354,DeparaIMG!D:D,DeparaIMG!F:F,,0)</f>
        <v>BC0350.png</v>
      </c>
    </row>
    <row r="355" spans="1:9" x14ac:dyDescent="0.25">
      <c r="A355" s="2" t="s">
        <v>103</v>
      </c>
      <c r="B355" s="2" t="s">
        <v>62</v>
      </c>
      <c r="C355" t="s">
        <v>88</v>
      </c>
      <c r="D355" t="s">
        <v>25</v>
      </c>
      <c r="E355" s="2">
        <v>2</v>
      </c>
      <c r="F355" t="s">
        <v>70</v>
      </c>
      <c r="G355">
        <v>3.69</v>
      </c>
      <c r="H355">
        <v>3.19</v>
      </c>
      <c r="I355" s="2" t="str">
        <f>_xlfn.XLOOKUP(F355,DeparaIMG!D:D,DeparaIMG!F:F,,0)</f>
        <v>BC0350.png</v>
      </c>
    </row>
    <row r="356" spans="1:9" x14ac:dyDescent="0.25">
      <c r="A356" s="2" t="s">
        <v>103</v>
      </c>
      <c r="B356" s="2" t="s">
        <v>62</v>
      </c>
      <c r="C356" t="s">
        <v>113</v>
      </c>
      <c r="D356" t="s">
        <v>25</v>
      </c>
      <c r="E356" s="2">
        <v>1</v>
      </c>
      <c r="F356" t="s">
        <v>70</v>
      </c>
      <c r="G356">
        <v>3.69</v>
      </c>
      <c r="H356">
        <v>3.19</v>
      </c>
      <c r="I356" s="2" t="str">
        <f>_xlfn.XLOOKUP(F356,DeparaIMG!D:D,DeparaIMG!F:F,,0)</f>
        <v>BC0350.png</v>
      </c>
    </row>
    <row r="357" spans="1:9" x14ac:dyDescent="0.25">
      <c r="A357" s="2" t="s">
        <v>103</v>
      </c>
      <c r="B357" s="2" t="s">
        <v>62</v>
      </c>
      <c r="C357" t="s">
        <v>113</v>
      </c>
      <c r="D357" t="s">
        <v>25</v>
      </c>
      <c r="E357" s="2">
        <v>2</v>
      </c>
      <c r="F357" t="s">
        <v>70</v>
      </c>
      <c r="G357">
        <v>3.69</v>
      </c>
      <c r="H357">
        <v>3.19</v>
      </c>
      <c r="I357" s="2" t="str">
        <f>_xlfn.XLOOKUP(F357,DeparaIMG!D:D,DeparaIMG!F:F,,0)</f>
        <v>BC0350.png</v>
      </c>
    </row>
    <row r="358" spans="1:9" x14ac:dyDescent="0.25">
      <c r="A358" s="2" t="s">
        <v>103</v>
      </c>
      <c r="B358" s="2" t="s">
        <v>62</v>
      </c>
      <c r="C358" t="s">
        <v>89</v>
      </c>
      <c r="D358" t="s">
        <v>25</v>
      </c>
      <c r="E358" s="2">
        <v>1</v>
      </c>
      <c r="F358" t="s">
        <v>70</v>
      </c>
      <c r="G358">
        <v>3.69</v>
      </c>
      <c r="H358">
        <v>3.19</v>
      </c>
      <c r="I358" s="2" t="str">
        <f>_xlfn.XLOOKUP(F358,DeparaIMG!D:D,DeparaIMG!F:F,,0)</f>
        <v>BC0350.png</v>
      </c>
    </row>
    <row r="359" spans="1:9" x14ac:dyDescent="0.25">
      <c r="A359" s="2" t="s">
        <v>103</v>
      </c>
      <c r="B359" s="2" t="s">
        <v>62</v>
      </c>
      <c r="C359" t="s">
        <v>89</v>
      </c>
      <c r="D359" t="s">
        <v>25</v>
      </c>
      <c r="E359" s="2">
        <v>2</v>
      </c>
      <c r="F359" t="s">
        <v>70</v>
      </c>
      <c r="G359">
        <v>3.69</v>
      </c>
      <c r="H359">
        <v>3.19</v>
      </c>
      <c r="I359" s="2" t="str">
        <f>_xlfn.XLOOKUP(F359,DeparaIMG!D:D,DeparaIMG!F:F,,0)</f>
        <v>BC0350.png</v>
      </c>
    </row>
    <row r="360" spans="1:9" x14ac:dyDescent="0.25">
      <c r="A360" s="2" t="s">
        <v>103</v>
      </c>
      <c r="B360" s="2" t="s">
        <v>62</v>
      </c>
      <c r="C360" t="s">
        <v>90</v>
      </c>
      <c r="D360" t="s">
        <v>25</v>
      </c>
      <c r="E360" s="2">
        <v>1</v>
      </c>
      <c r="F360" t="s">
        <v>70</v>
      </c>
      <c r="G360">
        <v>3.69</v>
      </c>
      <c r="H360">
        <v>3.19</v>
      </c>
      <c r="I360" s="2" t="str">
        <f>_xlfn.XLOOKUP(F360,DeparaIMG!D:D,DeparaIMG!F:F,,0)</f>
        <v>BC0350.png</v>
      </c>
    </row>
    <row r="361" spans="1:9" x14ac:dyDescent="0.25">
      <c r="A361" s="2" t="s">
        <v>103</v>
      </c>
      <c r="B361" s="2" t="s">
        <v>62</v>
      </c>
      <c r="C361" t="s">
        <v>90</v>
      </c>
      <c r="D361" t="s">
        <v>25</v>
      </c>
      <c r="E361" s="2">
        <v>2</v>
      </c>
      <c r="F361" t="s">
        <v>70</v>
      </c>
      <c r="G361">
        <v>3.69</v>
      </c>
      <c r="H361">
        <v>3.19</v>
      </c>
      <c r="I361" s="2" t="str">
        <f>_xlfn.XLOOKUP(F361,DeparaIMG!D:D,DeparaIMG!F:F,,0)</f>
        <v>BC0350.png</v>
      </c>
    </row>
    <row r="362" spans="1:9" x14ac:dyDescent="0.25">
      <c r="A362" s="2" t="s">
        <v>103</v>
      </c>
      <c r="B362" s="2" t="s">
        <v>62</v>
      </c>
      <c r="C362" t="s">
        <v>87</v>
      </c>
      <c r="D362" t="s">
        <v>25</v>
      </c>
      <c r="E362" s="2">
        <v>1</v>
      </c>
      <c r="F362" t="s">
        <v>70</v>
      </c>
      <c r="G362">
        <v>3.69</v>
      </c>
      <c r="H362">
        <v>3.19</v>
      </c>
      <c r="I362" s="2" t="str">
        <f>_xlfn.XLOOKUP(F362,DeparaIMG!D:D,DeparaIMG!F:F,,0)</f>
        <v>BC0350.png</v>
      </c>
    </row>
    <row r="363" spans="1:9" x14ac:dyDescent="0.25">
      <c r="A363" s="2" t="s">
        <v>103</v>
      </c>
      <c r="B363" s="2" t="s">
        <v>62</v>
      </c>
      <c r="C363" t="s">
        <v>87</v>
      </c>
      <c r="D363" t="s">
        <v>25</v>
      </c>
      <c r="E363" s="2">
        <v>2</v>
      </c>
      <c r="F363" t="s">
        <v>70</v>
      </c>
      <c r="G363">
        <v>3.69</v>
      </c>
      <c r="H363">
        <v>3.19</v>
      </c>
      <c r="I363" s="2" t="str">
        <f>_xlfn.XLOOKUP(F363,DeparaIMG!D:D,DeparaIMG!F:F,,0)</f>
        <v>BC0350.png</v>
      </c>
    </row>
    <row r="364" spans="1:9" x14ac:dyDescent="0.25">
      <c r="A364" s="2" t="s">
        <v>103</v>
      </c>
      <c r="B364" s="2" t="s">
        <v>62</v>
      </c>
      <c r="C364" t="s">
        <v>29</v>
      </c>
      <c r="D364" t="s">
        <v>26</v>
      </c>
      <c r="E364" s="2">
        <v>1</v>
      </c>
      <c r="F364" t="s">
        <v>71</v>
      </c>
      <c r="G364">
        <v>3.79</v>
      </c>
      <c r="H364">
        <v>3.49</v>
      </c>
      <c r="I364" s="2" t="str">
        <f>_xlfn.XLOOKUP(F364,DeparaIMG!D:D,DeparaIMG!F:F,,0)</f>
        <v>BC350.png</v>
      </c>
    </row>
    <row r="365" spans="1:9" x14ac:dyDescent="0.25">
      <c r="A365" s="2" t="s">
        <v>103</v>
      </c>
      <c r="B365" s="2" t="s">
        <v>62</v>
      </c>
      <c r="C365" t="s">
        <v>112</v>
      </c>
      <c r="D365" t="s">
        <v>26</v>
      </c>
      <c r="E365" s="2">
        <v>2</v>
      </c>
      <c r="F365" t="s">
        <v>73</v>
      </c>
      <c r="G365">
        <v>3.99</v>
      </c>
      <c r="H365">
        <v>3.69</v>
      </c>
      <c r="I365" s="2" t="str">
        <f>_xlfn.XLOOKUP(F365,DeparaIMG!D:D,DeparaIMG!F:F,,0)</f>
        <v>AP350.png</v>
      </c>
    </row>
    <row r="366" spans="1:9" x14ac:dyDescent="0.25">
      <c r="A366" s="2" t="s">
        <v>103</v>
      </c>
      <c r="B366" s="2" t="s">
        <v>62</v>
      </c>
      <c r="C366" t="s">
        <v>29</v>
      </c>
      <c r="D366" t="s">
        <v>26</v>
      </c>
      <c r="E366" s="2">
        <v>2</v>
      </c>
      <c r="F366" t="s">
        <v>73</v>
      </c>
      <c r="G366">
        <v>3.99</v>
      </c>
      <c r="H366">
        <v>3.69</v>
      </c>
      <c r="I366" s="2" t="str">
        <f>_xlfn.XLOOKUP(F366,DeparaIMG!D:D,DeparaIMG!F:F,,0)</f>
        <v>AP350.png</v>
      </c>
    </row>
    <row r="367" spans="1:9" x14ac:dyDescent="0.25">
      <c r="A367" s="2" t="s">
        <v>103</v>
      </c>
      <c r="B367" s="2" t="s">
        <v>62</v>
      </c>
      <c r="C367" t="s">
        <v>88</v>
      </c>
      <c r="D367" t="s">
        <v>25</v>
      </c>
      <c r="E367" s="2">
        <v>2</v>
      </c>
      <c r="F367" t="s">
        <v>72</v>
      </c>
      <c r="G367">
        <v>3.89</v>
      </c>
      <c r="H367">
        <v>3.59</v>
      </c>
      <c r="I367" s="2" t="str">
        <f>_xlfn.XLOOKUP(F367,DeparaIMG!D:D,DeparaIMG!F:F,,0)</f>
        <v>ORI269.png</v>
      </c>
    </row>
    <row r="368" spans="1:9" x14ac:dyDescent="0.25">
      <c r="A368" s="2" t="s">
        <v>103</v>
      </c>
      <c r="B368" s="2" t="s">
        <v>62</v>
      </c>
      <c r="C368" t="s">
        <v>88</v>
      </c>
      <c r="D368" t="s">
        <v>26</v>
      </c>
      <c r="E368" s="2">
        <v>2</v>
      </c>
      <c r="F368" t="s">
        <v>72</v>
      </c>
      <c r="G368">
        <v>3.89</v>
      </c>
      <c r="H368">
        <v>3.59</v>
      </c>
      <c r="I368" s="2" t="str">
        <f>_xlfn.XLOOKUP(F368,DeparaIMG!D:D,DeparaIMG!F:F,,0)</f>
        <v>ORI269.png</v>
      </c>
    </row>
    <row r="369" spans="1:9" x14ac:dyDescent="0.25">
      <c r="A369" s="2" t="s">
        <v>103</v>
      </c>
      <c r="B369" s="2" t="s">
        <v>62</v>
      </c>
      <c r="C369" t="s">
        <v>89</v>
      </c>
      <c r="D369" t="s">
        <v>25</v>
      </c>
      <c r="E369" s="2">
        <v>2</v>
      </c>
      <c r="F369" t="s">
        <v>72</v>
      </c>
      <c r="G369">
        <v>3.89</v>
      </c>
      <c r="H369">
        <v>3.59</v>
      </c>
      <c r="I369" s="2" t="str">
        <f>_xlfn.XLOOKUP(F369,DeparaIMG!D:D,DeparaIMG!F:F,,0)</f>
        <v>ORI269.png</v>
      </c>
    </row>
    <row r="370" spans="1:9" x14ac:dyDescent="0.25">
      <c r="A370" s="2" t="s">
        <v>103</v>
      </c>
      <c r="B370" s="2" t="s">
        <v>62</v>
      </c>
      <c r="C370" t="s">
        <v>90</v>
      </c>
      <c r="D370" t="s">
        <v>25</v>
      </c>
      <c r="E370" s="2">
        <v>2</v>
      </c>
      <c r="F370" t="s">
        <v>72</v>
      </c>
      <c r="G370">
        <v>3.89</v>
      </c>
      <c r="H370">
        <v>3.59</v>
      </c>
      <c r="I370" s="2" t="str">
        <f>_xlfn.XLOOKUP(F370,DeparaIMG!D:D,DeparaIMG!F:F,,0)</f>
        <v>ORI269.png</v>
      </c>
    </row>
    <row r="371" spans="1:9" x14ac:dyDescent="0.25">
      <c r="A371" s="2" t="s">
        <v>103</v>
      </c>
      <c r="B371" s="2" t="s">
        <v>62</v>
      </c>
      <c r="C371" t="s">
        <v>89</v>
      </c>
      <c r="D371" t="s">
        <v>26</v>
      </c>
      <c r="E371" s="2">
        <v>2</v>
      </c>
      <c r="F371" t="s">
        <v>72</v>
      </c>
      <c r="G371">
        <v>3.89</v>
      </c>
      <c r="H371">
        <v>3.59</v>
      </c>
      <c r="I371" s="2" t="str">
        <f>_xlfn.XLOOKUP(F371,DeparaIMG!D:D,DeparaIMG!F:F,,0)</f>
        <v>ORI269.png</v>
      </c>
    </row>
    <row r="372" spans="1:9" x14ac:dyDescent="0.25">
      <c r="A372" s="2" t="s">
        <v>103</v>
      </c>
      <c r="B372" s="2" t="s">
        <v>62</v>
      </c>
      <c r="C372" t="s">
        <v>90</v>
      </c>
      <c r="D372" t="s">
        <v>26</v>
      </c>
      <c r="E372" s="2">
        <v>2</v>
      </c>
      <c r="F372" t="s">
        <v>72</v>
      </c>
      <c r="G372">
        <v>3.89</v>
      </c>
      <c r="H372">
        <v>3.59</v>
      </c>
      <c r="I372" s="2" t="str">
        <f>_xlfn.XLOOKUP(F372,DeparaIMG!D:D,DeparaIMG!F:F,,0)</f>
        <v>ORI269.png</v>
      </c>
    </row>
    <row r="373" spans="1:9" x14ac:dyDescent="0.25">
      <c r="A373" s="2" t="s">
        <v>103</v>
      </c>
      <c r="B373" s="2" t="s">
        <v>62</v>
      </c>
      <c r="C373" t="s">
        <v>112</v>
      </c>
      <c r="D373" t="s">
        <v>25</v>
      </c>
      <c r="E373" s="2">
        <v>2</v>
      </c>
      <c r="F373" t="s">
        <v>72</v>
      </c>
      <c r="G373">
        <v>3.89</v>
      </c>
      <c r="H373">
        <v>3.59</v>
      </c>
      <c r="I373" s="2" t="str">
        <f>_xlfn.XLOOKUP(F373,DeparaIMG!D:D,DeparaIMG!F:F,,0)</f>
        <v>ORI269.png</v>
      </c>
    </row>
    <row r="374" spans="1:9" x14ac:dyDescent="0.25">
      <c r="A374" s="2" t="s">
        <v>103</v>
      </c>
      <c r="B374" s="2" t="s">
        <v>62</v>
      </c>
      <c r="C374" t="s">
        <v>112</v>
      </c>
      <c r="D374" t="s">
        <v>26</v>
      </c>
      <c r="E374" s="2">
        <v>2</v>
      </c>
      <c r="F374" t="s">
        <v>72</v>
      </c>
      <c r="G374">
        <v>3.89</v>
      </c>
      <c r="H374">
        <v>3.59</v>
      </c>
      <c r="I374" s="2" t="str">
        <f>_xlfn.XLOOKUP(F374,DeparaIMG!D:D,DeparaIMG!F:F,,0)</f>
        <v>ORI269.png</v>
      </c>
    </row>
    <row r="375" spans="1:9" x14ac:dyDescent="0.25">
      <c r="A375" s="2" t="s">
        <v>103</v>
      </c>
      <c r="B375" s="2" t="s">
        <v>62</v>
      </c>
      <c r="C375" t="s">
        <v>29</v>
      </c>
      <c r="D375" t="s">
        <v>25</v>
      </c>
      <c r="E375" s="2">
        <v>2</v>
      </c>
      <c r="F375" t="s">
        <v>72</v>
      </c>
      <c r="G375">
        <v>3.89</v>
      </c>
      <c r="H375">
        <v>3.59</v>
      </c>
      <c r="I375" s="2" t="str">
        <f>_xlfn.XLOOKUP(F375,DeparaIMG!D:D,DeparaIMG!F:F,,0)</f>
        <v>ORI269.png</v>
      </c>
    </row>
    <row r="376" spans="1:9" x14ac:dyDescent="0.25">
      <c r="A376" s="2" t="s">
        <v>103</v>
      </c>
      <c r="B376" s="2" t="s">
        <v>62</v>
      </c>
      <c r="C376" t="s">
        <v>29</v>
      </c>
      <c r="D376" t="s">
        <v>26</v>
      </c>
      <c r="E376" s="2">
        <v>2</v>
      </c>
      <c r="F376" t="s">
        <v>72</v>
      </c>
      <c r="G376">
        <v>3.89</v>
      </c>
      <c r="H376">
        <v>3.59</v>
      </c>
      <c r="I376" s="2" t="str">
        <f>_xlfn.XLOOKUP(F376,DeparaIMG!D:D,DeparaIMG!F:F,,0)</f>
        <v>ORI269.png</v>
      </c>
    </row>
    <row r="377" spans="1:9" x14ac:dyDescent="0.25">
      <c r="A377" s="2" t="s">
        <v>103</v>
      </c>
      <c r="B377" s="2" t="s">
        <v>62</v>
      </c>
      <c r="C377" t="s">
        <v>87</v>
      </c>
      <c r="D377" t="s">
        <v>25</v>
      </c>
      <c r="E377" s="2">
        <v>2</v>
      </c>
      <c r="F377" t="s">
        <v>72</v>
      </c>
      <c r="G377">
        <v>3.89</v>
      </c>
      <c r="H377">
        <v>3.59</v>
      </c>
      <c r="I377" s="2" t="str">
        <f>_xlfn.XLOOKUP(F377,DeparaIMG!D:D,DeparaIMG!F:F,,0)</f>
        <v>ORI269.png</v>
      </c>
    </row>
    <row r="378" spans="1:9" x14ac:dyDescent="0.25">
      <c r="A378" s="2" t="s">
        <v>103</v>
      </c>
      <c r="B378" s="2" t="s">
        <v>62</v>
      </c>
      <c r="C378" t="s">
        <v>87</v>
      </c>
      <c r="D378" t="s">
        <v>26</v>
      </c>
      <c r="E378" s="2">
        <v>2</v>
      </c>
      <c r="F378" t="s">
        <v>72</v>
      </c>
      <c r="G378">
        <v>3.89</v>
      </c>
      <c r="H378">
        <v>3.59</v>
      </c>
      <c r="I378" s="2" t="str">
        <f>_xlfn.XLOOKUP(F378,DeparaIMG!D:D,DeparaIMG!F:F,,0)</f>
        <v>ORI269.png</v>
      </c>
    </row>
    <row r="379" spans="1:9" x14ac:dyDescent="0.25">
      <c r="A379" s="2" t="s">
        <v>103</v>
      </c>
      <c r="B379" s="2" t="s">
        <v>62</v>
      </c>
      <c r="C379" t="s">
        <v>113</v>
      </c>
      <c r="D379" t="s">
        <v>25</v>
      </c>
      <c r="E379" s="2">
        <v>2</v>
      </c>
      <c r="F379" t="s">
        <v>72</v>
      </c>
      <c r="G379">
        <v>3.89</v>
      </c>
      <c r="H379">
        <v>3.59</v>
      </c>
      <c r="I379" s="2" t="str">
        <f>_xlfn.XLOOKUP(F379,DeparaIMG!D:D,DeparaIMG!F:F,,0)</f>
        <v>ORI269.png</v>
      </c>
    </row>
    <row r="380" spans="1:9" x14ac:dyDescent="0.25">
      <c r="A380" s="2" t="s">
        <v>103</v>
      </c>
      <c r="B380" s="2" t="s">
        <v>62</v>
      </c>
      <c r="C380" t="s">
        <v>113</v>
      </c>
      <c r="D380" t="s">
        <v>26</v>
      </c>
      <c r="E380" s="2">
        <v>2</v>
      </c>
      <c r="F380" t="s">
        <v>72</v>
      </c>
      <c r="G380">
        <v>3.89</v>
      </c>
      <c r="H380">
        <v>3.59</v>
      </c>
      <c r="I380" s="2" t="str">
        <f>_xlfn.XLOOKUP(F380,DeparaIMG!D:D,DeparaIMG!F:F,,0)</f>
        <v>ORI269.png</v>
      </c>
    </row>
    <row r="381" spans="1:9" x14ac:dyDescent="0.25">
      <c r="A381" s="2" t="s">
        <v>103</v>
      </c>
      <c r="B381" s="2" t="s">
        <v>62</v>
      </c>
      <c r="C381" t="s">
        <v>87</v>
      </c>
      <c r="D381" t="s">
        <v>26</v>
      </c>
      <c r="E381" s="2">
        <v>2</v>
      </c>
      <c r="F381" t="s">
        <v>100</v>
      </c>
      <c r="G381">
        <v>3.99</v>
      </c>
      <c r="H381">
        <v>3.69</v>
      </c>
      <c r="I381" s="2" t="str">
        <f>_xlfn.XLOOKUP(F381,DeparaIMG!D:D,DeparaIMG!F:F,,0)</f>
        <v>SPT269.png</v>
      </c>
    </row>
    <row r="382" spans="1:9" x14ac:dyDescent="0.25">
      <c r="A382" s="2" t="s">
        <v>103</v>
      </c>
      <c r="B382" s="2" t="s">
        <v>62</v>
      </c>
      <c r="C382" t="s">
        <v>112</v>
      </c>
      <c r="D382" t="s">
        <v>26</v>
      </c>
      <c r="E382" s="2">
        <v>1</v>
      </c>
      <c r="F382" t="s">
        <v>70</v>
      </c>
      <c r="G382">
        <v>3.99</v>
      </c>
      <c r="H382">
        <v>3.49</v>
      </c>
      <c r="I382" s="2" t="str">
        <f>_xlfn.XLOOKUP(F382,DeparaIMG!D:D,DeparaIMG!F:F,,0)</f>
        <v>BC0350.png</v>
      </c>
    </row>
    <row r="383" spans="1:9" x14ac:dyDescent="0.25">
      <c r="A383" s="2" t="s">
        <v>103</v>
      </c>
      <c r="B383" s="2" t="s">
        <v>62</v>
      </c>
      <c r="C383" t="s">
        <v>112</v>
      </c>
      <c r="D383" t="s">
        <v>26</v>
      </c>
      <c r="E383" s="2">
        <v>2</v>
      </c>
      <c r="F383" t="s">
        <v>70</v>
      </c>
      <c r="G383">
        <v>3.99</v>
      </c>
      <c r="H383">
        <v>3.49</v>
      </c>
      <c r="I383" s="2" t="str">
        <f>_xlfn.XLOOKUP(F383,DeparaIMG!D:D,DeparaIMG!F:F,,0)</f>
        <v>BC0350.png</v>
      </c>
    </row>
    <row r="384" spans="1:9" x14ac:dyDescent="0.25">
      <c r="A384" s="2" t="s">
        <v>103</v>
      </c>
      <c r="B384" s="2" t="s">
        <v>62</v>
      </c>
      <c r="C384" t="s">
        <v>87</v>
      </c>
      <c r="D384" t="s">
        <v>26</v>
      </c>
      <c r="E384" s="2">
        <v>1</v>
      </c>
      <c r="F384" t="s">
        <v>70</v>
      </c>
      <c r="G384">
        <v>3.99</v>
      </c>
      <c r="H384">
        <v>3.49</v>
      </c>
      <c r="I384" s="2" t="str">
        <f>_xlfn.XLOOKUP(F384,DeparaIMG!D:D,DeparaIMG!F:F,,0)</f>
        <v>BC0350.png</v>
      </c>
    </row>
    <row r="385" spans="1:9" x14ac:dyDescent="0.25">
      <c r="A385" s="2" t="s">
        <v>103</v>
      </c>
      <c r="B385" s="2" t="s">
        <v>62</v>
      </c>
      <c r="C385" t="s">
        <v>87</v>
      </c>
      <c r="D385" t="s">
        <v>26</v>
      </c>
      <c r="E385" s="2">
        <v>2</v>
      </c>
      <c r="F385" t="s">
        <v>70</v>
      </c>
      <c r="G385">
        <v>3.99</v>
      </c>
      <c r="H385">
        <v>3.49</v>
      </c>
      <c r="I385" s="2" t="str">
        <f>_xlfn.XLOOKUP(F385,DeparaIMG!D:D,DeparaIMG!F:F,,0)</f>
        <v>BC0350.png</v>
      </c>
    </row>
    <row r="386" spans="1:9" x14ac:dyDescent="0.25">
      <c r="A386" s="2" t="s">
        <v>103</v>
      </c>
      <c r="B386" s="2" t="s">
        <v>62</v>
      </c>
      <c r="C386" t="s">
        <v>29</v>
      </c>
      <c r="D386" t="s">
        <v>26</v>
      </c>
      <c r="E386" s="2">
        <v>1</v>
      </c>
      <c r="F386" t="s">
        <v>70</v>
      </c>
      <c r="G386">
        <v>3.99</v>
      </c>
      <c r="H386">
        <v>3.49</v>
      </c>
      <c r="I386" s="2" t="str">
        <f>_xlfn.XLOOKUP(F386,DeparaIMG!D:D,DeparaIMG!F:F,,0)</f>
        <v>BC0350.png</v>
      </c>
    </row>
    <row r="387" spans="1:9" x14ac:dyDescent="0.25">
      <c r="A387" s="2" t="s">
        <v>103</v>
      </c>
      <c r="B387" s="2" t="s">
        <v>62</v>
      </c>
      <c r="C387" t="s">
        <v>29</v>
      </c>
      <c r="D387" t="s">
        <v>26</v>
      </c>
      <c r="E387" s="2">
        <v>2</v>
      </c>
      <c r="F387" t="s">
        <v>70</v>
      </c>
      <c r="G387">
        <v>3.99</v>
      </c>
      <c r="H387">
        <v>3.49</v>
      </c>
      <c r="I387" s="2" t="str">
        <f>_xlfn.XLOOKUP(F387,DeparaIMG!D:D,DeparaIMG!F:F,,0)</f>
        <v>BC0350.png</v>
      </c>
    </row>
    <row r="388" spans="1:9" x14ac:dyDescent="0.25">
      <c r="A388" s="2" t="s">
        <v>103</v>
      </c>
      <c r="B388" s="2" t="s">
        <v>62</v>
      </c>
      <c r="C388" t="s">
        <v>88</v>
      </c>
      <c r="D388" t="s">
        <v>26</v>
      </c>
      <c r="E388" s="2">
        <v>1</v>
      </c>
      <c r="F388" t="s">
        <v>70</v>
      </c>
      <c r="G388">
        <v>3.99</v>
      </c>
      <c r="H388">
        <v>3.49</v>
      </c>
      <c r="I388" s="2" t="str">
        <f>_xlfn.XLOOKUP(F388,DeparaIMG!D:D,DeparaIMG!F:F,,0)</f>
        <v>BC0350.png</v>
      </c>
    </row>
    <row r="389" spans="1:9" x14ac:dyDescent="0.25">
      <c r="A389" s="2" t="s">
        <v>103</v>
      </c>
      <c r="B389" s="2" t="s">
        <v>62</v>
      </c>
      <c r="C389" t="s">
        <v>88</v>
      </c>
      <c r="D389" t="s">
        <v>26</v>
      </c>
      <c r="E389" s="2">
        <v>2</v>
      </c>
      <c r="F389" t="s">
        <v>70</v>
      </c>
      <c r="G389">
        <v>3.99</v>
      </c>
      <c r="H389">
        <v>3.49</v>
      </c>
      <c r="I389" s="2" t="str">
        <f>_xlfn.XLOOKUP(F389,DeparaIMG!D:D,DeparaIMG!F:F,,0)</f>
        <v>BC0350.png</v>
      </c>
    </row>
    <row r="390" spans="1:9" x14ac:dyDescent="0.25">
      <c r="A390" s="2" t="s">
        <v>103</v>
      </c>
      <c r="B390" s="2" t="s">
        <v>62</v>
      </c>
      <c r="C390" t="s">
        <v>113</v>
      </c>
      <c r="D390" t="s">
        <v>26</v>
      </c>
      <c r="E390" s="2">
        <v>1</v>
      </c>
      <c r="F390" t="s">
        <v>70</v>
      </c>
      <c r="G390">
        <v>3.99</v>
      </c>
      <c r="H390">
        <v>3.49</v>
      </c>
      <c r="I390" s="2" t="str">
        <f>_xlfn.XLOOKUP(F390,DeparaIMG!D:D,DeparaIMG!F:F,,0)</f>
        <v>BC0350.png</v>
      </c>
    </row>
    <row r="391" spans="1:9" x14ac:dyDescent="0.25">
      <c r="A391" s="2" t="s">
        <v>103</v>
      </c>
      <c r="B391" s="2" t="s">
        <v>62</v>
      </c>
      <c r="C391" t="s">
        <v>113</v>
      </c>
      <c r="D391" t="s">
        <v>26</v>
      </c>
      <c r="E391" s="2">
        <v>2</v>
      </c>
      <c r="F391" t="s">
        <v>70</v>
      </c>
      <c r="G391">
        <v>3.99</v>
      </c>
      <c r="H391">
        <v>3.49</v>
      </c>
      <c r="I391" s="2" t="str">
        <f>_xlfn.XLOOKUP(F391,DeparaIMG!D:D,DeparaIMG!F:F,,0)</f>
        <v>BC0350.png</v>
      </c>
    </row>
    <row r="392" spans="1:9" x14ac:dyDescent="0.25">
      <c r="A392" s="2" t="s">
        <v>103</v>
      </c>
      <c r="B392" s="2" t="s">
        <v>62</v>
      </c>
      <c r="C392" t="s">
        <v>90</v>
      </c>
      <c r="D392" t="s">
        <v>26</v>
      </c>
      <c r="E392" s="2">
        <v>1</v>
      </c>
      <c r="F392" t="s">
        <v>70</v>
      </c>
      <c r="G392">
        <v>3.99</v>
      </c>
      <c r="H392">
        <v>3.49</v>
      </c>
      <c r="I392" s="2" t="str">
        <f>_xlfn.XLOOKUP(F392,DeparaIMG!D:D,DeparaIMG!F:F,,0)</f>
        <v>BC0350.png</v>
      </c>
    </row>
    <row r="393" spans="1:9" x14ac:dyDescent="0.25">
      <c r="A393" s="2" t="s">
        <v>103</v>
      </c>
      <c r="B393" s="2" t="s">
        <v>62</v>
      </c>
      <c r="C393" t="s">
        <v>90</v>
      </c>
      <c r="D393" t="s">
        <v>26</v>
      </c>
      <c r="E393" s="2">
        <v>2</v>
      </c>
      <c r="F393" t="s">
        <v>70</v>
      </c>
      <c r="G393">
        <v>3.99</v>
      </c>
      <c r="H393">
        <v>3.49</v>
      </c>
      <c r="I393" s="2" t="str">
        <f>_xlfn.XLOOKUP(F393,DeparaIMG!D:D,DeparaIMG!F:F,,0)</f>
        <v>BC0350.png</v>
      </c>
    </row>
    <row r="394" spans="1:9" x14ac:dyDescent="0.25">
      <c r="A394" s="2" t="s">
        <v>103</v>
      </c>
      <c r="B394" s="2" t="s">
        <v>62</v>
      </c>
      <c r="C394" t="s">
        <v>89</v>
      </c>
      <c r="D394" t="s">
        <v>26</v>
      </c>
      <c r="E394" s="2">
        <v>1</v>
      </c>
      <c r="F394" t="s">
        <v>70</v>
      </c>
      <c r="G394">
        <v>3.99</v>
      </c>
      <c r="H394">
        <v>3.49</v>
      </c>
      <c r="I394" s="2" t="str">
        <f>_xlfn.XLOOKUP(F394,DeparaIMG!D:D,DeparaIMG!F:F,,0)</f>
        <v>BC0350.png</v>
      </c>
    </row>
    <row r="395" spans="1:9" x14ac:dyDescent="0.25">
      <c r="A395" s="2" t="s">
        <v>103</v>
      </c>
      <c r="B395" s="2" t="s">
        <v>62</v>
      </c>
      <c r="C395" t="s">
        <v>89</v>
      </c>
      <c r="D395" t="s">
        <v>26</v>
      </c>
      <c r="E395" s="2">
        <v>2</v>
      </c>
      <c r="F395" t="s">
        <v>70</v>
      </c>
      <c r="G395">
        <v>3.99</v>
      </c>
      <c r="H395">
        <v>3.49</v>
      </c>
      <c r="I395" s="2" t="str">
        <f>_xlfn.XLOOKUP(F395,DeparaIMG!D:D,DeparaIMG!F:F,,0)</f>
        <v>BC0350.png</v>
      </c>
    </row>
    <row r="396" spans="1:9" x14ac:dyDescent="0.25">
      <c r="A396" s="2" t="s">
        <v>103</v>
      </c>
      <c r="B396" s="2" t="s">
        <v>62</v>
      </c>
      <c r="C396" t="s">
        <v>88</v>
      </c>
      <c r="D396" t="s">
        <v>26</v>
      </c>
      <c r="E396" s="2">
        <v>2</v>
      </c>
      <c r="F396" t="s">
        <v>100</v>
      </c>
      <c r="G396">
        <v>3.99</v>
      </c>
      <c r="H396">
        <v>3.69</v>
      </c>
      <c r="I396" s="2" t="str">
        <f>_xlfn.XLOOKUP(F396,DeparaIMG!D:D,DeparaIMG!F:F,,0)</f>
        <v>SPT269.png</v>
      </c>
    </row>
    <row r="397" spans="1:9" x14ac:dyDescent="0.25">
      <c r="A397" s="2" t="s">
        <v>103</v>
      </c>
      <c r="B397" s="2" t="s">
        <v>62</v>
      </c>
      <c r="C397" t="s">
        <v>90</v>
      </c>
      <c r="D397" t="s">
        <v>26</v>
      </c>
      <c r="E397" s="2">
        <v>2</v>
      </c>
      <c r="F397" t="s">
        <v>100</v>
      </c>
      <c r="G397">
        <v>3.99</v>
      </c>
      <c r="H397">
        <v>3.69</v>
      </c>
      <c r="I397" s="2" t="str">
        <f>_xlfn.XLOOKUP(F397,DeparaIMG!D:D,DeparaIMG!F:F,,0)</f>
        <v>SPT269.png</v>
      </c>
    </row>
    <row r="398" spans="1:9" x14ac:dyDescent="0.25">
      <c r="A398" s="2" t="s">
        <v>103</v>
      </c>
      <c r="B398" s="2" t="s">
        <v>62</v>
      </c>
      <c r="C398" t="s">
        <v>89</v>
      </c>
      <c r="D398" t="s">
        <v>26</v>
      </c>
      <c r="E398" s="2">
        <v>2</v>
      </c>
      <c r="F398" t="s">
        <v>100</v>
      </c>
      <c r="G398">
        <v>3.99</v>
      </c>
      <c r="H398">
        <v>3.69</v>
      </c>
      <c r="I398" s="2" t="str">
        <f>_xlfn.XLOOKUP(F398,DeparaIMG!D:D,DeparaIMG!F:F,,0)</f>
        <v>SPT269.png</v>
      </c>
    </row>
    <row r="399" spans="1:9" x14ac:dyDescent="0.25">
      <c r="A399" s="2" t="s">
        <v>103</v>
      </c>
      <c r="B399" s="2" t="s">
        <v>62</v>
      </c>
      <c r="C399" t="s">
        <v>113</v>
      </c>
      <c r="D399" t="s">
        <v>25</v>
      </c>
      <c r="E399" s="2">
        <v>1</v>
      </c>
      <c r="F399" t="s">
        <v>74</v>
      </c>
      <c r="G399">
        <v>4.1900000000000004</v>
      </c>
      <c r="H399">
        <v>3.59</v>
      </c>
      <c r="I399" s="2" t="str">
        <f>_xlfn.XLOOKUP(F399,DeparaIMG!D:D,DeparaIMG!F:F,,0)</f>
        <v>BUDZERO350.png</v>
      </c>
    </row>
    <row r="400" spans="1:9" x14ac:dyDescent="0.25">
      <c r="A400" s="2" t="s">
        <v>103</v>
      </c>
      <c r="B400" s="2" t="s">
        <v>62</v>
      </c>
      <c r="C400" t="s">
        <v>113</v>
      </c>
      <c r="D400" t="s">
        <v>26</v>
      </c>
      <c r="E400" s="2">
        <v>1</v>
      </c>
      <c r="F400" t="s">
        <v>74</v>
      </c>
      <c r="G400">
        <v>4.1900000000000004</v>
      </c>
      <c r="H400">
        <v>3.59</v>
      </c>
      <c r="I400" s="2" t="str">
        <f>_xlfn.XLOOKUP(F400,DeparaIMG!D:D,DeparaIMG!F:F,,0)</f>
        <v>BUDZERO350.png</v>
      </c>
    </row>
    <row r="401" spans="1:9" x14ac:dyDescent="0.25">
      <c r="A401" s="2" t="s">
        <v>103</v>
      </c>
      <c r="B401" s="2" t="s">
        <v>62</v>
      </c>
      <c r="C401" t="s">
        <v>112</v>
      </c>
      <c r="D401" t="s">
        <v>25</v>
      </c>
      <c r="E401" s="2">
        <v>1</v>
      </c>
      <c r="F401" t="s">
        <v>74</v>
      </c>
      <c r="G401">
        <v>4.49</v>
      </c>
      <c r="H401">
        <v>3.89</v>
      </c>
      <c r="I401" s="2" t="str">
        <f>_xlfn.XLOOKUP(F401,DeparaIMG!D:D,DeparaIMG!F:F,,0)</f>
        <v>BUDZERO350.png</v>
      </c>
    </row>
    <row r="402" spans="1:9" x14ac:dyDescent="0.25">
      <c r="A402" s="2" t="s">
        <v>103</v>
      </c>
      <c r="B402" s="2" t="s">
        <v>62</v>
      </c>
      <c r="C402" t="s">
        <v>112</v>
      </c>
      <c r="D402" t="s">
        <v>26</v>
      </c>
      <c r="E402" s="2">
        <v>1</v>
      </c>
      <c r="F402" t="s">
        <v>76</v>
      </c>
      <c r="G402">
        <v>4.49</v>
      </c>
      <c r="H402">
        <v>3.89</v>
      </c>
      <c r="I402" s="2" t="str">
        <f>_xlfn.XLOOKUP(F402,DeparaIMG!D:D,DeparaIMG!F:F,,0)</f>
        <v>BUD350.png</v>
      </c>
    </row>
    <row r="403" spans="1:9" x14ac:dyDescent="0.25">
      <c r="A403" s="2" t="s">
        <v>103</v>
      </c>
      <c r="B403" s="2" t="s">
        <v>62</v>
      </c>
      <c r="C403" t="s">
        <v>112</v>
      </c>
      <c r="D403" t="s">
        <v>26</v>
      </c>
      <c r="E403" s="2">
        <v>1</v>
      </c>
      <c r="F403" t="s">
        <v>74</v>
      </c>
      <c r="G403">
        <v>4.49</v>
      </c>
      <c r="H403">
        <v>3.89</v>
      </c>
      <c r="I403" s="2" t="str">
        <f>_xlfn.XLOOKUP(F403,DeparaIMG!D:D,DeparaIMG!F:F,,0)</f>
        <v>BUDZERO350.png</v>
      </c>
    </row>
    <row r="404" spans="1:9" x14ac:dyDescent="0.25">
      <c r="A404" s="2" t="s">
        <v>103</v>
      </c>
      <c r="B404" s="2" t="s">
        <v>62</v>
      </c>
      <c r="C404" t="s">
        <v>29</v>
      </c>
      <c r="D404" t="s">
        <v>25</v>
      </c>
      <c r="E404" s="2">
        <v>1</v>
      </c>
      <c r="F404" t="s">
        <v>74</v>
      </c>
      <c r="G404">
        <v>4.49</v>
      </c>
      <c r="H404">
        <v>3.89</v>
      </c>
      <c r="I404" s="2" t="str">
        <f>_xlfn.XLOOKUP(F404,DeparaIMG!D:D,DeparaIMG!F:F,,0)</f>
        <v>BUDZERO350.png</v>
      </c>
    </row>
    <row r="405" spans="1:9" x14ac:dyDescent="0.25">
      <c r="A405" s="2" t="s">
        <v>103</v>
      </c>
      <c r="B405" s="2" t="s">
        <v>62</v>
      </c>
      <c r="C405" t="s">
        <v>29</v>
      </c>
      <c r="D405" t="s">
        <v>26</v>
      </c>
      <c r="E405" s="2">
        <v>1</v>
      </c>
      <c r="F405" t="s">
        <v>76</v>
      </c>
      <c r="G405">
        <v>4.49</v>
      </c>
      <c r="H405">
        <v>3.89</v>
      </c>
      <c r="I405" s="2" t="str">
        <f>_xlfn.XLOOKUP(F405,DeparaIMG!D:D,DeparaIMG!F:F,,0)</f>
        <v>BUD350.png</v>
      </c>
    </row>
    <row r="406" spans="1:9" x14ac:dyDescent="0.25">
      <c r="A406" s="2" t="s">
        <v>103</v>
      </c>
      <c r="B406" s="2" t="s">
        <v>62</v>
      </c>
      <c r="C406" t="s">
        <v>29</v>
      </c>
      <c r="D406" t="s">
        <v>26</v>
      </c>
      <c r="E406" s="2">
        <v>1</v>
      </c>
      <c r="F406" t="s">
        <v>74</v>
      </c>
      <c r="G406">
        <v>4.49</v>
      </c>
      <c r="H406">
        <v>3.89</v>
      </c>
      <c r="I406" s="2" t="str">
        <f>_xlfn.XLOOKUP(F406,DeparaIMG!D:D,DeparaIMG!F:F,,0)</f>
        <v>BUDZERO350.png</v>
      </c>
    </row>
    <row r="407" spans="1:9" x14ac:dyDescent="0.25">
      <c r="A407" s="2" t="s">
        <v>103</v>
      </c>
      <c r="B407" s="2" t="s">
        <v>62</v>
      </c>
      <c r="C407" t="s">
        <v>87</v>
      </c>
      <c r="D407" t="s">
        <v>25</v>
      </c>
      <c r="E407" s="2">
        <v>1</v>
      </c>
      <c r="F407" t="s">
        <v>74</v>
      </c>
      <c r="G407">
        <v>4.49</v>
      </c>
      <c r="H407">
        <v>3.89</v>
      </c>
      <c r="I407" s="2" t="str">
        <f>_xlfn.XLOOKUP(F407,DeparaIMG!D:D,DeparaIMG!F:F,,0)</f>
        <v>BUDZERO350.png</v>
      </c>
    </row>
    <row r="408" spans="1:9" x14ac:dyDescent="0.25">
      <c r="A408" s="2" t="s">
        <v>103</v>
      </c>
      <c r="B408" s="2" t="s">
        <v>62</v>
      </c>
      <c r="C408" t="s">
        <v>87</v>
      </c>
      <c r="D408" t="s">
        <v>26</v>
      </c>
      <c r="E408" s="2">
        <v>1</v>
      </c>
      <c r="F408" t="s">
        <v>74</v>
      </c>
      <c r="G408">
        <v>4.49</v>
      </c>
      <c r="H408">
        <v>3.89</v>
      </c>
      <c r="I408" s="2" t="str">
        <f>_xlfn.XLOOKUP(F408,DeparaIMG!D:D,DeparaIMG!F:F,,0)</f>
        <v>BUDZERO350.png</v>
      </c>
    </row>
    <row r="409" spans="1:9" x14ac:dyDescent="0.25">
      <c r="A409" s="2" t="s">
        <v>103</v>
      </c>
      <c r="B409" s="2" t="s">
        <v>62</v>
      </c>
      <c r="C409" t="s">
        <v>88</v>
      </c>
      <c r="D409" t="s">
        <v>25</v>
      </c>
      <c r="E409" s="2">
        <v>1</v>
      </c>
      <c r="F409" t="s">
        <v>74</v>
      </c>
      <c r="G409">
        <v>4.49</v>
      </c>
      <c r="H409">
        <v>3.89</v>
      </c>
      <c r="I409" s="2" t="str">
        <f>_xlfn.XLOOKUP(F409,DeparaIMG!D:D,DeparaIMG!F:F,,0)</f>
        <v>BUDZERO350.png</v>
      </c>
    </row>
    <row r="410" spans="1:9" x14ac:dyDescent="0.25">
      <c r="A410" s="2" t="s">
        <v>103</v>
      </c>
      <c r="B410" s="2" t="s">
        <v>62</v>
      </c>
      <c r="C410" t="s">
        <v>88</v>
      </c>
      <c r="D410" t="s">
        <v>26</v>
      </c>
      <c r="E410" s="2">
        <v>1</v>
      </c>
      <c r="F410" t="s">
        <v>74</v>
      </c>
      <c r="G410">
        <v>4.49</v>
      </c>
      <c r="H410">
        <v>3.89</v>
      </c>
      <c r="I410" s="2" t="str">
        <f>_xlfn.XLOOKUP(F410,DeparaIMG!D:D,DeparaIMG!F:F,,0)</f>
        <v>BUDZERO350.png</v>
      </c>
    </row>
    <row r="411" spans="1:9" x14ac:dyDescent="0.25">
      <c r="A411" s="2" t="s">
        <v>103</v>
      </c>
      <c r="B411" s="2" t="s">
        <v>62</v>
      </c>
      <c r="C411" t="s">
        <v>89</v>
      </c>
      <c r="D411" t="s">
        <v>26</v>
      </c>
      <c r="E411" s="2">
        <v>1</v>
      </c>
      <c r="F411" t="s">
        <v>74</v>
      </c>
      <c r="G411">
        <v>4.49</v>
      </c>
      <c r="H411">
        <v>3.89</v>
      </c>
      <c r="I411" s="2" t="str">
        <f>_xlfn.XLOOKUP(F411,DeparaIMG!D:D,DeparaIMG!F:F,,0)</f>
        <v>BUDZERO350.png</v>
      </c>
    </row>
    <row r="412" spans="1:9" x14ac:dyDescent="0.25">
      <c r="A412" s="2" t="s">
        <v>103</v>
      </c>
      <c r="B412" s="2" t="s">
        <v>62</v>
      </c>
      <c r="C412" t="s">
        <v>89</v>
      </c>
      <c r="D412" t="s">
        <v>25</v>
      </c>
      <c r="E412" s="2">
        <v>1</v>
      </c>
      <c r="F412" t="s">
        <v>74</v>
      </c>
      <c r="G412">
        <v>4.49</v>
      </c>
      <c r="H412">
        <v>3.89</v>
      </c>
      <c r="I412" s="2" t="str">
        <f>_xlfn.XLOOKUP(F412,DeparaIMG!D:D,DeparaIMG!F:F,,0)</f>
        <v>BUDZERO350.png</v>
      </c>
    </row>
    <row r="413" spans="1:9" x14ac:dyDescent="0.25">
      <c r="A413" s="2" t="s">
        <v>103</v>
      </c>
      <c r="B413" s="2" t="s">
        <v>62</v>
      </c>
      <c r="C413" t="s">
        <v>90</v>
      </c>
      <c r="D413" t="s">
        <v>25</v>
      </c>
      <c r="E413" s="2">
        <v>1</v>
      </c>
      <c r="F413" t="s">
        <v>74</v>
      </c>
      <c r="G413">
        <v>4.49</v>
      </c>
      <c r="H413">
        <v>3.89</v>
      </c>
      <c r="I413" s="2" t="str">
        <f>_xlfn.XLOOKUP(F413,DeparaIMG!D:D,DeparaIMG!F:F,,0)</f>
        <v>BUDZERO350.png</v>
      </c>
    </row>
    <row r="414" spans="1:9" x14ac:dyDescent="0.25">
      <c r="A414" s="2" t="s">
        <v>103</v>
      </c>
      <c r="B414" s="2" t="s">
        <v>62</v>
      </c>
      <c r="C414" t="s">
        <v>90</v>
      </c>
      <c r="D414" t="s">
        <v>26</v>
      </c>
      <c r="E414" s="2">
        <v>1</v>
      </c>
      <c r="F414" t="s">
        <v>74</v>
      </c>
      <c r="G414">
        <v>4.49</v>
      </c>
      <c r="H414">
        <v>3.89</v>
      </c>
      <c r="I414" s="2" t="str">
        <f>_xlfn.XLOOKUP(F414,DeparaIMG!D:D,DeparaIMG!F:F,,0)</f>
        <v>BUDZERO350.png</v>
      </c>
    </row>
    <row r="415" spans="1:9" x14ac:dyDescent="0.25">
      <c r="A415" s="2" t="s">
        <v>103</v>
      </c>
      <c r="B415" s="2" t="s">
        <v>62</v>
      </c>
      <c r="C415" t="s">
        <v>113</v>
      </c>
      <c r="D415" t="s">
        <v>26</v>
      </c>
      <c r="E415" s="2">
        <v>1</v>
      </c>
      <c r="F415" t="s">
        <v>76</v>
      </c>
      <c r="G415">
        <v>4.29</v>
      </c>
      <c r="H415">
        <v>3.69</v>
      </c>
      <c r="I415" s="2" t="str">
        <f>_xlfn.XLOOKUP(F415,DeparaIMG!D:D,DeparaIMG!F:F,,0)</f>
        <v>BUD350.png</v>
      </c>
    </row>
    <row r="416" spans="1:9" x14ac:dyDescent="0.25">
      <c r="A416" s="2" t="s">
        <v>103</v>
      </c>
      <c r="B416" s="2" t="s">
        <v>62</v>
      </c>
      <c r="C416" t="s">
        <v>87</v>
      </c>
      <c r="D416" t="s">
        <v>26</v>
      </c>
      <c r="E416" s="2">
        <v>2</v>
      </c>
      <c r="F416" t="s">
        <v>77</v>
      </c>
      <c r="G416">
        <v>4.6900000000000004</v>
      </c>
      <c r="H416">
        <v>4.1900000000000004</v>
      </c>
      <c r="I416" s="2" t="str">
        <f>_xlfn.XLOOKUP(F416,DeparaIMG!D:D,DeparaIMG!F:F,,0)</f>
        <v>COR269.png</v>
      </c>
    </row>
    <row r="417" spans="1:9" x14ac:dyDescent="0.25">
      <c r="A417" s="2" t="s">
        <v>103</v>
      </c>
      <c r="B417" s="2" t="s">
        <v>62</v>
      </c>
      <c r="C417" t="s">
        <v>88</v>
      </c>
      <c r="D417" t="s">
        <v>26</v>
      </c>
      <c r="E417" s="2">
        <v>2</v>
      </c>
      <c r="F417" t="s">
        <v>77</v>
      </c>
      <c r="G417">
        <v>4.6900000000000004</v>
      </c>
      <c r="H417">
        <v>4.1900000000000004</v>
      </c>
      <c r="I417" s="2" t="str">
        <f>_xlfn.XLOOKUP(F417,DeparaIMG!D:D,DeparaIMG!F:F,,0)</f>
        <v>COR269.png</v>
      </c>
    </row>
    <row r="418" spans="1:9" x14ac:dyDescent="0.25">
      <c r="A418" s="2" t="s">
        <v>103</v>
      </c>
      <c r="B418" s="2" t="s">
        <v>62</v>
      </c>
      <c r="C418" t="s">
        <v>90</v>
      </c>
      <c r="D418" t="s">
        <v>26</v>
      </c>
      <c r="E418" s="2">
        <v>2</v>
      </c>
      <c r="F418" t="s">
        <v>77</v>
      </c>
      <c r="G418">
        <v>4.6900000000000004</v>
      </c>
      <c r="H418">
        <v>4.1900000000000004</v>
      </c>
      <c r="I418" s="2" t="str">
        <f>_xlfn.XLOOKUP(F418,DeparaIMG!D:D,DeparaIMG!F:F,,0)</f>
        <v>COR269.png</v>
      </c>
    </row>
    <row r="419" spans="1:9" x14ac:dyDescent="0.25">
      <c r="A419" s="2" t="s">
        <v>103</v>
      </c>
      <c r="B419" s="2" t="s">
        <v>62</v>
      </c>
      <c r="C419" t="s">
        <v>89</v>
      </c>
      <c r="D419" t="s">
        <v>26</v>
      </c>
      <c r="E419" s="2">
        <v>2</v>
      </c>
      <c r="F419" t="s">
        <v>77</v>
      </c>
      <c r="G419">
        <v>4.6900000000000004</v>
      </c>
      <c r="H419">
        <v>4.1900000000000004</v>
      </c>
      <c r="I419" s="2" t="str">
        <f>_xlfn.XLOOKUP(F419,DeparaIMG!D:D,DeparaIMG!F:F,,0)</f>
        <v>COR269.png</v>
      </c>
    </row>
    <row r="420" spans="1:9" x14ac:dyDescent="0.25">
      <c r="A420" s="2" t="s">
        <v>103</v>
      </c>
      <c r="B420" s="2" t="s">
        <v>62</v>
      </c>
      <c r="C420" t="s">
        <v>29</v>
      </c>
      <c r="D420" t="s">
        <v>26</v>
      </c>
      <c r="E420" s="2">
        <v>2</v>
      </c>
      <c r="F420" t="s">
        <v>101</v>
      </c>
      <c r="G420">
        <v>5.19</v>
      </c>
      <c r="H420">
        <v>4.79</v>
      </c>
      <c r="I420" s="2" t="str">
        <f>_xlfn.XLOOKUP(F420,DeparaIMG!D:D,DeparaIMG!F:F,,0)</f>
        <v>SPT350.png</v>
      </c>
    </row>
    <row r="421" spans="1:9" x14ac:dyDescent="0.25">
      <c r="A421" s="2" t="s">
        <v>103</v>
      </c>
      <c r="B421" s="2" t="s">
        <v>62</v>
      </c>
      <c r="C421" t="s">
        <v>113</v>
      </c>
      <c r="D421" t="s">
        <v>26</v>
      </c>
      <c r="E421" s="2">
        <v>2</v>
      </c>
      <c r="F421" t="s">
        <v>101</v>
      </c>
      <c r="G421">
        <v>5.19</v>
      </c>
      <c r="H421">
        <v>4.79</v>
      </c>
      <c r="I421" s="2" t="str">
        <f>_xlfn.XLOOKUP(F421,DeparaIMG!D:D,DeparaIMG!F:F,,0)</f>
        <v>SPT350.png</v>
      </c>
    </row>
    <row r="422" spans="1:9" x14ac:dyDescent="0.25">
      <c r="A422" s="2" t="s">
        <v>103</v>
      </c>
      <c r="B422" s="2" t="s">
        <v>62</v>
      </c>
      <c r="C422" t="s">
        <v>112</v>
      </c>
      <c r="D422" t="s">
        <v>25</v>
      </c>
      <c r="E422" s="2">
        <v>1</v>
      </c>
      <c r="F422" t="s">
        <v>78</v>
      </c>
      <c r="G422">
        <v>5.49</v>
      </c>
      <c r="H422">
        <v>4.99</v>
      </c>
      <c r="I422" s="2" t="str">
        <f>_xlfn.XLOOKUP(F422,DeparaIMG!D:D,DeparaIMG!F:F,,0)</f>
        <v>MIC350.png</v>
      </c>
    </row>
    <row r="423" spans="1:9" x14ac:dyDescent="0.25">
      <c r="A423" s="2" t="s">
        <v>103</v>
      </c>
      <c r="B423" s="2" t="s">
        <v>62</v>
      </c>
      <c r="C423" t="s">
        <v>112</v>
      </c>
      <c r="D423" t="s">
        <v>26</v>
      </c>
      <c r="E423" s="2">
        <v>1</v>
      </c>
      <c r="F423" t="s">
        <v>78</v>
      </c>
      <c r="G423">
        <v>5.49</v>
      </c>
      <c r="H423">
        <v>4.99</v>
      </c>
      <c r="I423" s="2" t="str">
        <f>_xlfn.XLOOKUP(F423,DeparaIMG!D:D,DeparaIMG!F:F,,0)</f>
        <v>MIC350.png</v>
      </c>
    </row>
    <row r="424" spans="1:9" x14ac:dyDescent="0.25">
      <c r="A424" s="2" t="s">
        <v>103</v>
      </c>
      <c r="B424" s="2" t="s">
        <v>62</v>
      </c>
      <c r="C424" t="s">
        <v>29</v>
      </c>
      <c r="D424" t="s">
        <v>25</v>
      </c>
      <c r="E424" s="2">
        <v>1</v>
      </c>
      <c r="F424" t="s">
        <v>78</v>
      </c>
      <c r="G424">
        <v>5.49</v>
      </c>
      <c r="H424">
        <v>4.99</v>
      </c>
      <c r="I424" s="2" t="str">
        <f>_xlfn.XLOOKUP(F424,DeparaIMG!D:D,DeparaIMG!F:F,,0)</f>
        <v>MIC350.png</v>
      </c>
    </row>
    <row r="425" spans="1:9" x14ac:dyDescent="0.25">
      <c r="A425" s="2" t="s">
        <v>103</v>
      </c>
      <c r="B425" s="2" t="s">
        <v>62</v>
      </c>
      <c r="C425" t="s">
        <v>29</v>
      </c>
      <c r="D425" t="s">
        <v>26</v>
      </c>
      <c r="E425" s="2">
        <v>1</v>
      </c>
      <c r="F425" t="s">
        <v>78</v>
      </c>
      <c r="G425">
        <v>5.49</v>
      </c>
      <c r="H425">
        <v>4.99</v>
      </c>
      <c r="I425" s="2" t="str">
        <f>_xlfn.XLOOKUP(F425,DeparaIMG!D:D,DeparaIMG!F:F,,0)</f>
        <v>MIC350.png</v>
      </c>
    </row>
    <row r="426" spans="1:9" x14ac:dyDescent="0.25">
      <c r="A426" s="2" t="s">
        <v>103</v>
      </c>
      <c r="B426" s="2" t="s">
        <v>62</v>
      </c>
      <c r="C426" t="s">
        <v>87</v>
      </c>
      <c r="D426" t="s">
        <v>25</v>
      </c>
      <c r="E426" s="2">
        <v>1</v>
      </c>
      <c r="F426" t="s">
        <v>78</v>
      </c>
      <c r="G426">
        <v>5.49</v>
      </c>
      <c r="H426">
        <v>4.99</v>
      </c>
      <c r="I426" s="2" t="str">
        <f>_xlfn.XLOOKUP(F426,DeparaIMG!D:D,DeparaIMG!F:F,,0)</f>
        <v>MIC350.png</v>
      </c>
    </row>
    <row r="427" spans="1:9" x14ac:dyDescent="0.25">
      <c r="A427" s="2" t="s">
        <v>103</v>
      </c>
      <c r="B427" s="2" t="s">
        <v>62</v>
      </c>
      <c r="C427" t="s">
        <v>87</v>
      </c>
      <c r="D427" t="s">
        <v>26</v>
      </c>
      <c r="E427" s="2">
        <v>1</v>
      </c>
      <c r="F427" t="s">
        <v>78</v>
      </c>
      <c r="G427">
        <v>5.49</v>
      </c>
      <c r="H427">
        <v>4.99</v>
      </c>
      <c r="I427" s="2" t="str">
        <f>_xlfn.XLOOKUP(F427,DeparaIMG!D:D,DeparaIMG!F:F,,0)</f>
        <v>MIC350.png</v>
      </c>
    </row>
    <row r="428" spans="1:9" x14ac:dyDescent="0.25">
      <c r="A428" s="2" t="s">
        <v>103</v>
      </c>
      <c r="B428" s="2" t="s">
        <v>62</v>
      </c>
      <c r="C428" t="s">
        <v>113</v>
      </c>
      <c r="D428" t="s">
        <v>25</v>
      </c>
      <c r="E428" s="2">
        <v>1</v>
      </c>
      <c r="F428" t="s">
        <v>78</v>
      </c>
      <c r="G428">
        <v>5.49</v>
      </c>
      <c r="H428">
        <v>4.99</v>
      </c>
      <c r="I428" s="2" t="str">
        <f>_xlfn.XLOOKUP(F428,DeparaIMG!D:D,DeparaIMG!F:F,,0)</f>
        <v>MIC350.png</v>
      </c>
    </row>
    <row r="429" spans="1:9" x14ac:dyDescent="0.25">
      <c r="A429" s="2" t="s">
        <v>103</v>
      </c>
      <c r="B429" s="2" t="s">
        <v>62</v>
      </c>
      <c r="C429" t="s">
        <v>113</v>
      </c>
      <c r="D429" t="s">
        <v>26</v>
      </c>
      <c r="E429" s="2">
        <v>1</v>
      </c>
      <c r="F429" t="s">
        <v>78</v>
      </c>
      <c r="G429">
        <v>5.49</v>
      </c>
      <c r="H429">
        <v>4.99</v>
      </c>
      <c r="I429" s="2" t="str">
        <f>_xlfn.XLOOKUP(F429,DeparaIMG!D:D,DeparaIMG!F:F,,0)</f>
        <v>MIC350.png</v>
      </c>
    </row>
    <row r="430" spans="1:9" x14ac:dyDescent="0.25">
      <c r="A430" s="2" t="s">
        <v>103</v>
      </c>
      <c r="B430" s="2" t="s">
        <v>62</v>
      </c>
      <c r="C430" t="s">
        <v>88</v>
      </c>
      <c r="D430" t="s">
        <v>25</v>
      </c>
      <c r="E430" s="2">
        <v>1</v>
      </c>
      <c r="F430" t="s">
        <v>78</v>
      </c>
      <c r="G430">
        <v>5.49</v>
      </c>
      <c r="H430">
        <v>4.99</v>
      </c>
      <c r="I430" s="2" t="str">
        <f>_xlfn.XLOOKUP(F430,DeparaIMG!D:D,DeparaIMG!F:F,,0)</f>
        <v>MIC350.png</v>
      </c>
    </row>
    <row r="431" spans="1:9" x14ac:dyDescent="0.25">
      <c r="A431" s="2" t="s">
        <v>103</v>
      </c>
      <c r="B431" s="2" t="s">
        <v>62</v>
      </c>
      <c r="C431" t="s">
        <v>88</v>
      </c>
      <c r="D431" t="s">
        <v>26</v>
      </c>
      <c r="E431" s="2">
        <v>1</v>
      </c>
      <c r="F431" t="s">
        <v>78</v>
      </c>
      <c r="G431">
        <v>5.49</v>
      </c>
      <c r="H431">
        <v>4.99</v>
      </c>
      <c r="I431" s="2" t="str">
        <f>_xlfn.XLOOKUP(F431,DeparaIMG!D:D,DeparaIMG!F:F,,0)</f>
        <v>MIC350.png</v>
      </c>
    </row>
    <row r="432" spans="1:9" x14ac:dyDescent="0.25">
      <c r="A432" s="2" t="s">
        <v>103</v>
      </c>
      <c r="B432" s="2" t="s">
        <v>62</v>
      </c>
      <c r="C432" t="s">
        <v>89</v>
      </c>
      <c r="D432" t="s">
        <v>25</v>
      </c>
      <c r="E432" s="2">
        <v>1</v>
      </c>
      <c r="F432" t="s">
        <v>78</v>
      </c>
      <c r="G432">
        <v>5.49</v>
      </c>
      <c r="H432">
        <v>4.99</v>
      </c>
      <c r="I432" s="2" t="str">
        <f>_xlfn.XLOOKUP(F432,DeparaIMG!D:D,DeparaIMG!F:F,,0)</f>
        <v>MIC350.png</v>
      </c>
    </row>
    <row r="433" spans="1:9" x14ac:dyDescent="0.25">
      <c r="A433" s="2" t="s">
        <v>103</v>
      </c>
      <c r="B433" s="2" t="s">
        <v>62</v>
      </c>
      <c r="C433" t="s">
        <v>90</v>
      </c>
      <c r="D433" t="s">
        <v>25</v>
      </c>
      <c r="E433" s="2">
        <v>1</v>
      </c>
      <c r="F433" t="s">
        <v>78</v>
      </c>
      <c r="G433">
        <v>5.49</v>
      </c>
      <c r="H433">
        <v>4.99</v>
      </c>
      <c r="I433" s="2" t="str">
        <f>_xlfn.XLOOKUP(F433,DeparaIMG!D:D,DeparaIMG!F:F,,0)</f>
        <v>MIC350.png</v>
      </c>
    </row>
    <row r="434" spans="1:9" x14ac:dyDescent="0.25">
      <c r="A434" s="2" t="s">
        <v>103</v>
      </c>
      <c r="B434" s="2" t="s">
        <v>62</v>
      </c>
      <c r="C434" t="s">
        <v>89</v>
      </c>
      <c r="D434" t="s">
        <v>26</v>
      </c>
      <c r="E434" s="2">
        <v>1</v>
      </c>
      <c r="F434" t="s">
        <v>78</v>
      </c>
      <c r="G434">
        <v>5.49</v>
      </c>
      <c r="H434">
        <v>4.99</v>
      </c>
      <c r="I434" s="2" t="str">
        <f>_xlfn.XLOOKUP(F434,DeparaIMG!D:D,DeparaIMG!F:F,,0)</f>
        <v>MIC350.png</v>
      </c>
    </row>
    <row r="435" spans="1:9" x14ac:dyDescent="0.25">
      <c r="A435" s="2" t="s">
        <v>103</v>
      </c>
      <c r="B435" s="2" t="s">
        <v>62</v>
      </c>
      <c r="C435" t="s">
        <v>90</v>
      </c>
      <c r="D435" t="s">
        <v>26</v>
      </c>
      <c r="E435" s="2">
        <v>1</v>
      </c>
      <c r="F435" t="s">
        <v>78</v>
      </c>
      <c r="G435">
        <v>5.49</v>
      </c>
      <c r="H435">
        <v>4.99</v>
      </c>
      <c r="I435" s="2" t="str">
        <f>_xlfn.XLOOKUP(F435,DeparaIMG!D:D,DeparaIMG!F:F,,0)</f>
        <v>MIC350.png</v>
      </c>
    </row>
    <row r="436" spans="1:9" x14ac:dyDescent="0.25">
      <c r="A436" s="2" t="s">
        <v>103</v>
      </c>
      <c r="B436" s="2" t="s">
        <v>62</v>
      </c>
      <c r="C436" t="s">
        <v>112</v>
      </c>
      <c r="D436" t="s">
        <v>26</v>
      </c>
      <c r="E436" s="2">
        <v>2</v>
      </c>
      <c r="F436" t="s">
        <v>79</v>
      </c>
      <c r="G436">
        <v>6.19</v>
      </c>
      <c r="H436">
        <v>5.39</v>
      </c>
      <c r="I436" s="2" t="str">
        <f>_xlfn.XLOOKUP(F436,DeparaIMG!D:D,DeparaIMG!F:F,,0)</f>
        <v>COR350.png</v>
      </c>
    </row>
    <row r="437" spans="1:9" x14ac:dyDescent="0.25">
      <c r="A437" s="2" t="s">
        <v>103</v>
      </c>
      <c r="B437" s="2" t="s">
        <v>62</v>
      </c>
      <c r="C437" t="s">
        <v>112</v>
      </c>
      <c r="D437" t="s">
        <v>26</v>
      </c>
      <c r="E437" s="2">
        <v>2</v>
      </c>
      <c r="F437" t="s">
        <v>80</v>
      </c>
      <c r="G437">
        <v>6.19</v>
      </c>
      <c r="H437">
        <v>5.39</v>
      </c>
      <c r="I437" s="2" t="str">
        <f>_xlfn.XLOOKUP(F437,DeparaIMG!D:D,DeparaIMG!F:F,,0)</f>
        <v>CORCERO350.png</v>
      </c>
    </row>
    <row r="438" spans="1:9" x14ac:dyDescent="0.25">
      <c r="A438" s="2" t="s">
        <v>103</v>
      </c>
      <c r="B438" s="2" t="s">
        <v>62</v>
      </c>
      <c r="C438" t="s">
        <v>112</v>
      </c>
      <c r="D438" t="s">
        <v>25</v>
      </c>
      <c r="E438" s="2">
        <v>2</v>
      </c>
      <c r="F438" t="s">
        <v>80</v>
      </c>
      <c r="G438">
        <v>6.19</v>
      </c>
      <c r="H438">
        <v>5.39</v>
      </c>
      <c r="I438" s="2" t="str">
        <f>_xlfn.XLOOKUP(F438,DeparaIMG!D:D,DeparaIMG!F:F,,0)</f>
        <v>CORCERO350.png</v>
      </c>
    </row>
    <row r="439" spans="1:9" x14ac:dyDescent="0.25">
      <c r="A439" s="2" t="s">
        <v>103</v>
      </c>
      <c r="B439" s="2" t="s">
        <v>62</v>
      </c>
      <c r="C439" t="s">
        <v>112</v>
      </c>
      <c r="D439" t="s">
        <v>26</v>
      </c>
      <c r="E439" s="2">
        <v>1</v>
      </c>
      <c r="F439" t="s">
        <v>82</v>
      </c>
      <c r="G439">
        <v>6.39</v>
      </c>
      <c r="H439">
        <v>5.39</v>
      </c>
      <c r="I439" s="2" t="str">
        <f>_xlfn.XLOOKUP(F439,DeparaIMG!D:D,DeparaIMG!F:F,,0)</f>
        <v>BUDLN.png</v>
      </c>
    </row>
    <row r="440" spans="1:9" x14ac:dyDescent="0.25">
      <c r="A440" s="2" t="s">
        <v>103</v>
      </c>
      <c r="B440" s="2" t="s">
        <v>62</v>
      </c>
      <c r="C440" t="s">
        <v>112</v>
      </c>
      <c r="D440" t="s">
        <v>26</v>
      </c>
      <c r="E440" s="2">
        <v>1</v>
      </c>
      <c r="F440" t="s">
        <v>81</v>
      </c>
      <c r="G440">
        <v>6.39</v>
      </c>
      <c r="H440">
        <v>5.39</v>
      </c>
      <c r="I440" s="2" t="str">
        <f>_xlfn.XLOOKUP(F440,DeparaIMG!D:D,DeparaIMG!F:F,,0)</f>
        <v>BUDZEROLN.png</v>
      </c>
    </row>
    <row r="441" spans="1:9" x14ac:dyDescent="0.25">
      <c r="A441" s="2" t="s">
        <v>103</v>
      </c>
      <c r="B441" s="2" t="s">
        <v>62</v>
      </c>
      <c r="C441" t="s">
        <v>29</v>
      </c>
      <c r="D441" t="s">
        <v>26</v>
      </c>
      <c r="E441" s="2">
        <v>1</v>
      </c>
      <c r="F441" t="s">
        <v>82</v>
      </c>
      <c r="G441">
        <v>6.39</v>
      </c>
      <c r="H441">
        <v>5.39</v>
      </c>
      <c r="I441" s="2" t="str">
        <f>_xlfn.XLOOKUP(F441,DeparaIMG!D:D,DeparaIMG!F:F,,0)</f>
        <v>BUDLN.png</v>
      </c>
    </row>
    <row r="442" spans="1:9" x14ac:dyDescent="0.25">
      <c r="A442" s="2" t="s">
        <v>103</v>
      </c>
      <c r="B442" s="2" t="s">
        <v>62</v>
      </c>
      <c r="C442" t="s">
        <v>29</v>
      </c>
      <c r="D442" t="s">
        <v>26</v>
      </c>
      <c r="E442" s="2">
        <v>1</v>
      </c>
      <c r="F442" t="s">
        <v>81</v>
      </c>
      <c r="G442">
        <v>6.39</v>
      </c>
      <c r="H442">
        <v>5.39</v>
      </c>
      <c r="I442" s="2" t="str">
        <f>_xlfn.XLOOKUP(F442,DeparaIMG!D:D,DeparaIMG!F:F,,0)</f>
        <v>BUDZEROLN.png</v>
      </c>
    </row>
    <row r="443" spans="1:9" x14ac:dyDescent="0.25">
      <c r="A443" s="2" t="s">
        <v>103</v>
      </c>
      <c r="B443" s="2" t="s">
        <v>62</v>
      </c>
      <c r="C443" t="s">
        <v>87</v>
      </c>
      <c r="D443" t="s">
        <v>26</v>
      </c>
      <c r="E443" s="2">
        <v>1</v>
      </c>
      <c r="F443" t="s">
        <v>82</v>
      </c>
      <c r="G443">
        <v>6.39</v>
      </c>
      <c r="H443">
        <v>5.39</v>
      </c>
      <c r="I443" s="2" t="str">
        <f>_xlfn.XLOOKUP(F443,DeparaIMG!D:D,DeparaIMG!F:F,,0)</f>
        <v>BUDLN.png</v>
      </c>
    </row>
    <row r="444" spans="1:9" x14ac:dyDescent="0.25">
      <c r="A444" s="2" t="s">
        <v>103</v>
      </c>
      <c r="B444" s="2" t="s">
        <v>62</v>
      </c>
      <c r="C444" t="s">
        <v>87</v>
      </c>
      <c r="D444" t="s">
        <v>26</v>
      </c>
      <c r="E444" s="2">
        <v>1</v>
      </c>
      <c r="F444" t="s">
        <v>81</v>
      </c>
      <c r="G444">
        <v>6.39</v>
      </c>
      <c r="H444">
        <v>5.39</v>
      </c>
      <c r="I444" s="2" t="str">
        <f>_xlfn.XLOOKUP(F444,DeparaIMG!D:D,DeparaIMG!F:F,,0)</f>
        <v>BUDZEROLN.png</v>
      </c>
    </row>
    <row r="445" spans="1:9" x14ac:dyDescent="0.25">
      <c r="A445" s="2" t="s">
        <v>103</v>
      </c>
      <c r="B445" s="2" t="s">
        <v>62</v>
      </c>
      <c r="C445" t="s">
        <v>88</v>
      </c>
      <c r="D445" t="s">
        <v>26</v>
      </c>
      <c r="E445" s="2">
        <v>1</v>
      </c>
      <c r="F445" t="s">
        <v>82</v>
      </c>
      <c r="G445">
        <v>6.39</v>
      </c>
      <c r="H445">
        <v>5.39</v>
      </c>
      <c r="I445" s="2" t="str">
        <f>_xlfn.XLOOKUP(F445,DeparaIMG!D:D,DeparaIMG!F:F,,0)</f>
        <v>BUDLN.png</v>
      </c>
    </row>
    <row r="446" spans="1:9" x14ac:dyDescent="0.25">
      <c r="A446" s="2" t="s">
        <v>103</v>
      </c>
      <c r="B446" s="2" t="s">
        <v>62</v>
      </c>
      <c r="C446" t="s">
        <v>88</v>
      </c>
      <c r="D446" t="s">
        <v>26</v>
      </c>
      <c r="E446" s="2">
        <v>1</v>
      </c>
      <c r="F446" t="s">
        <v>81</v>
      </c>
      <c r="G446">
        <v>6.39</v>
      </c>
      <c r="H446">
        <v>5.39</v>
      </c>
      <c r="I446" s="2" t="str">
        <f>_xlfn.XLOOKUP(F446,DeparaIMG!D:D,DeparaIMG!F:F,,0)</f>
        <v>BUDZEROLN.png</v>
      </c>
    </row>
    <row r="447" spans="1:9" x14ac:dyDescent="0.25">
      <c r="A447" s="2" t="s">
        <v>103</v>
      </c>
      <c r="B447" s="2" t="s">
        <v>62</v>
      </c>
      <c r="C447" t="s">
        <v>113</v>
      </c>
      <c r="D447" t="s">
        <v>25</v>
      </c>
      <c r="E447" s="2">
        <v>1</v>
      </c>
      <c r="F447" t="s">
        <v>82</v>
      </c>
      <c r="G447">
        <v>6.39</v>
      </c>
      <c r="H447">
        <v>5.39</v>
      </c>
      <c r="I447" s="2" t="str">
        <f>_xlfn.XLOOKUP(F447,DeparaIMG!D:D,DeparaIMG!F:F,,0)</f>
        <v>BUDLN.png</v>
      </c>
    </row>
    <row r="448" spans="1:9" x14ac:dyDescent="0.25">
      <c r="A448" s="2" t="s">
        <v>103</v>
      </c>
      <c r="B448" s="2" t="s">
        <v>62</v>
      </c>
      <c r="C448" t="s">
        <v>113</v>
      </c>
      <c r="D448" t="s">
        <v>26</v>
      </c>
      <c r="E448" s="2">
        <v>1</v>
      </c>
      <c r="F448" t="s">
        <v>82</v>
      </c>
      <c r="G448">
        <v>6.39</v>
      </c>
      <c r="H448">
        <v>5.39</v>
      </c>
      <c r="I448" s="2" t="str">
        <f>_xlfn.XLOOKUP(F448,DeparaIMG!D:D,DeparaIMG!F:F,,0)</f>
        <v>BUDLN.png</v>
      </c>
    </row>
    <row r="449" spans="1:9" x14ac:dyDescent="0.25">
      <c r="A449" s="2" t="s">
        <v>103</v>
      </c>
      <c r="B449" s="2" t="s">
        <v>62</v>
      </c>
      <c r="C449" t="s">
        <v>113</v>
      </c>
      <c r="D449" t="s">
        <v>25</v>
      </c>
      <c r="E449" s="2">
        <v>1</v>
      </c>
      <c r="F449" t="s">
        <v>81</v>
      </c>
      <c r="G449">
        <v>6.39</v>
      </c>
      <c r="H449">
        <v>5.39</v>
      </c>
      <c r="I449" s="2" t="str">
        <f>_xlfn.XLOOKUP(F449,DeparaIMG!D:D,DeparaIMG!F:F,,0)</f>
        <v>BUDZEROLN.png</v>
      </c>
    </row>
    <row r="450" spans="1:9" x14ac:dyDescent="0.25">
      <c r="A450" s="2" t="s">
        <v>103</v>
      </c>
      <c r="B450" s="2" t="s">
        <v>62</v>
      </c>
      <c r="C450" t="s">
        <v>113</v>
      </c>
      <c r="D450" t="s">
        <v>26</v>
      </c>
      <c r="E450" s="2">
        <v>1</v>
      </c>
      <c r="F450" t="s">
        <v>81</v>
      </c>
      <c r="G450">
        <v>6.39</v>
      </c>
      <c r="H450">
        <v>5.39</v>
      </c>
      <c r="I450" s="2" t="str">
        <f>_xlfn.XLOOKUP(F450,DeparaIMG!D:D,DeparaIMG!F:F,,0)</f>
        <v>BUDZEROLN.png</v>
      </c>
    </row>
    <row r="451" spans="1:9" x14ac:dyDescent="0.25">
      <c r="A451" s="2" t="s">
        <v>103</v>
      </c>
      <c r="B451" s="2" t="s">
        <v>62</v>
      </c>
      <c r="C451" t="s">
        <v>89</v>
      </c>
      <c r="D451" t="s">
        <v>26</v>
      </c>
      <c r="E451" s="2">
        <v>1</v>
      </c>
      <c r="F451" t="s">
        <v>82</v>
      </c>
      <c r="G451">
        <v>6.39</v>
      </c>
      <c r="H451">
        <v>5.39</v>
      </c>
      <c r="I451" s="2" t="str">
        <f>_xlfn.XLOOKUP(F451,DeparaIMG!D:D,DeparaIMG!F:F,,0)</f>
        <v>BUDLN.png</v>
      </c>
    </row>
    <row r="452" spans="1:9" x14ac:dyDescent="0.25">
      <c r="A452" s="2" t="s">
        <v>103</v>
      </c>
      <c r="B452" s="2" t="s">
        <v>62</v>
      </c>
      <c r="C452" t="s">
        <v>89</v>
      </c>
      <c r="D452" t="s">
        <v>26</v>
      </c>
      <c r="E452" s="2">
        <v>1</v>
      </c>
      <c r="F452" t="s">
        <v>81</v>
      </c>
      <c r="G452">
        <v>6.39</v>
      </c>
      <c r="H452">
        <v>5.39</v>
      </c>
      <c r="I452" s="2" t="str">
        <f>_xlfn.XLOOKUP(F452,DeparaIMG!D:D,DeparaIMG!F:F,,0)</f>
        <v>BUDZEROLN.png</v>
      </c>
    </row>
    <row r="453" spans="1:9" x14ac:dyDescent="0.25">
      <c r="A453" s="2" t="s">
        <v>103</v>
      </c>
      <c r="B453" s="2" t="s">
        <v>62</v>
      </c>
      <c r="C453" t="s">
        <v>90</v>
      </c>
      <c r="D453" t="s">
        <v>26</v>
      </c>
      <c r="E453" s="2">
        <v>1</v>
      </c>
      <c r="F453" t="s">
        <v>82</v>
      </c>
      <c r="G453">
        <v>6.39</v>
      </c>
      <c r="H453">
        <v>5.39</v>
      </c>
      <c r="I453" s="2" t="str">
        <f>_xlfn.XLOOKUP(F453,DeparaIMG!D:D,DeparaIMG!F:F,,0)</f>
        <v>BUDLN.png</v>
      </c>
    </row>
    <row r="454" spans="1:9" x14ac:dyDescent="0.25">
      <c r="A454" s="2" t="s">
        <v>103</v>
      </c>
      <c r="B454" s="2" t="s">
        <v>62</v>
      </c>
      <c r="C454" t="s">
        <v>90</v>
      </c>
      <c r="D454" t="s">
        <v>26</v>
      </c>
      <c r="E454" s="2">
        <v>1</v>
      </c>
      <c r="F454" t="s">
        <v>81</v>
      </c>
      <c r="G454">
        <v>6.39</v>
      </c>
      <c r="H454">
        <v>5.39</v>
      </c>
      <c r="I454" s="2" t="str">
        <f>_xlfn.XLOOKUP(F454,DeparaIMG!D:D,DeparaIMG!F:F,,0)</f>
        <v>BUDZEROLN.png</v>
      </c>
    </row>
    <row r="455" spans="1:9" x14ac:dyDescent="0.25">
      <c r="A455" s="2" t="s">
        <v>103</v>
      </c>
      <c r="B455" s="2" t="s">
        <v>62</v>
      </c>
      <c r="C455" t="s">
        <v>29</v>
      </c>
      <c r="D455" t="s">
        <v>26</v>
      </c>
      <c r="E455" s="2">
        <v>2</v>
      </c>
      <c r="F455" t="s">
        <v>79</v>
      </c>
      <c r="G455">
        <v>6.29</v>
      </c>
      <c r="H455">
        <v>5.49</v>
      </c>
      <c r="I455" s="2" t="str">
        <f>_xlfn.XLOOKUP(F455,DeparaIMG!D:D,DeparaIMG!F:F,,0)</f>
        <v>COR350.png</v>
      </c>
    </row>
    <row r="456" spans="1:9" x14ac:dyDescent="0.25">
      <c r="A456" s="2" t="s">
        <v>103</v>
      </c>
      <c r="B456" s="2" t="s">
        <v>62</v>
      </c>
      <c r="C456" t="s">
        <v>113</v>
      </c>
      <c r="D456" t="s">
        <v>26</v>
      </c>
      <c r="E456" s="2">
        <v>2</v>
      </c>
      <c r="F456" t="s">
        <v>79</v>
      </c>
      <c r="G456">
        <v>6.29</v>
      </c>
      <c r="H456">
        <v>5.49</v>
      </c>
      <c r="I456" s="2" t="str">
        <f>_xlfn.XLOOKUP(F456,DeparaIMG!D:D,DeparaIMG!F:F,,0)</f>
        <v>COR350.png</v>
      </c>
    </row>
    <row r="457" spans="1:9" x14ac:dyDescent="0.25">
      <c r="A457" s="2" t="s">
        <v>103</v>
      </c>
      <c r="B457" s="2" t="s">
        <v>62</v>
      </c>
      <c r="C457" t="s">
        <v>29</v>
      </c>
      <c r="D457" t="s">
        <v>26</v>
      </c>
      <c r="E457" s="2">
        <v>2</v>
      </c>
      <c r="F457" t="s">
        <v>80</v>
      </c>
      <c r="G457">
        <v>6.29</v>
      </c>
      <c r="H457">
        <v>5.49</v>
      </c>
      <c r="I457" s="2" t="str">
        <f>_xlfn.XLOOKUP(F457,DeparaIMG!D:D,DeparaIMG!F:F,,0)</f>
        <v>CORCERO350.png</v>
      </c>
    </row>
    <row r="458" spans="1:9" x14ac:dyDescent="0.25">
      <c r="A458" s="2" t="s">
        <v>103</v>
      </c>
      <c r="B458" s="2" t="s">
        <v>62</v>
      </c>
      <c r="C458" t="s">
        <v>87</v>
      </c>
      <c r="D458" t="s">
        <v>26</v>
      </c>
      <c r="E458" s="2">
        <v>2</v>
      </c>
      <c r="F458" t="s">
        <v>80</v>
      </c>
      <c r="G458">
        <v>6.29</v>
      </c>
      <c r="H458">
        <v>5.49</v>
      </c>
      <c r="I458" s="2" t="str">
        <f>_xlfn.XLOOKUP(F458,DeparaIMG!D:D,DeparaIMG!F:F,,0)</f>
        <v>CORCERO350.png</v>
      </c>
    </row>
    <row r="459" spans="1:9" x14ac:dyDescent="0.25">
      <c r="A459" s="2" t="s">
        <v>103</v>
      </c>
      <c r="B459" s="2" t="s">
        <v>62</v>
      </c>
      <c r="C459" t="s">
        <v>88</v>
      </c>
      <c r="D459" t="s">
        <v>26</v>
      </c>
      <c r="E459" s="2">
        <v>2</v>
      </c>
      <c r="F459" t="s">
        <v>80</v>
      </c>
      <c r="G459">
        <v>6.29</v>
      </c>
      <c r="H459">
        <v>5.49</v>
      </c>
      <c r="I459" s="2" t="str">
        <f>_xlfn.XLOOKUP(F459,DeparaIMG!D:D,DeparaIMG!F:F,,0)</f>
        <v>CORCERO350.png</v>
      </c>
    </row>
    <row r="460" spans="1:9" x14ac:dyDescent="0.25">
      <c r="A460" s="2" t="s">
        <v>103</v>
      </c>
      <c r="B460" s="2" t="s">
        <v>62</v>
      </c>
      <c r="C460" t="s">
        <v>113</v>
      </c>
      <c r="D460" t="s">
        <v>26</v>
      </c>
      <c r="E460" s="2">
        <v>2</v>
      </c>
      <c r="F460" t="s">
        <v>80</v>
      </c>
      <c r="G460">
        <v>6.29</v>
      </c>
      <c r="H460">
        <v>5.49</v>
      </c>
      <c r="I460" s="2" t="str">
        <f>_xlfn.XLOOKUP(F460,DeparaIMG!D:D,DeparaIMG!F:F,,0)</f>
        <v>CORCERO350.png</v>
      </c>
    </row>
    <row r="461" spans="1:9" x14ac:dyDescent="0.25">
      <c r="A461" s="2" t="s">
        <v>103</v>
      </c>
      <c r="B461" s="2" t="s">
        <v>62</v>
      </c>
      <c r="C461" t="s">
        <v>90</v>
      </c>
      <c r="D461" t="s">
        <v>26</v>
      </c>
      <c r="E461" s="2">
        <v>2</v>
      </c>
      <c r="F461" t="s">
        <v>80</v>
      </c>
      <c r="G461">
        <v>6.29</v>
      </c>
      <c r="H461">
        <v>5.49</v>
      </c>
      <c r="I461" s="2" t="str">
        <f>_xlfn.XLOOKUP(F461,DeparaIMG!D:D,DeparaIMG!F:F,,0)</f>
        <v>CORCERO350.png</v>
      </c>
    </row>
    <row r="462" spans="1:9" x14ac:dyDescent="0.25">
      <c r="A462" s="2" t="s">
        <v>103</v>
      </c>
      <c r="B462" s="2" t="s">
        <v>62</v>
      </c>
      <c r="C462" t="s">
        <v>89</v>
      </c>
      <c r="D462" t="s">
        <v>26</v>
      </c>
      <c r="E462" s="2">
        <v>2</v>
      </c>
      <c r="F462" t="s">
        <v>80</v>
      </c>
      <c r="G462">
        <v>6.29</v>
      </c>
      <c r="H462">
        <v>5.49</v>
      </c>
      <c r="I462" s="2" t="str">
        <f>_xlfn.XLOOKUP(F462,DeparaIMG!D:D,DeparaIMG!F:F,,0)</f>
        <v>CORCERO350.png</v>
      </c>
    </row>
    <row r="463" spans="1:9" x14ac:dyDescent="0.25">
      <c r="A463" s="2" t="s">
        <v>103</v>
      </c>
      <c r="B463" s="2" t="s">
        <v>62</v>
      </c>
      <c r="C463" t="s">
        <v>29</v>
      </c>
      <c r="D463" t="s">
        <v>25</v>
      </c>
      <c r="E463" s="2">
        <v>2</v>
      </c>
      <c r="F463" t="s">
        <v>80</v>
      </c>
      <c r="G463">
        <v>6.29</v>
      </c>
      <c r="H463">
        <v>5.49</v>
      </c>
      <c r="I463" s="2" t="str">
        <f>_xlfn.XLOOKUP(F463,DeparaIMG!D:D,DeparaIMG!F:F,,0)</f>
        <v>CORCERO350.png</v>
      </c>
    </row>
    <row r="464" spans="1:9" x14ac:dyDescent="0.25">
      <c r="A464" s="2" t="s">
        <v>103</v>
      </c>
      <c r="B464" s="2" t="s">
        <v>62</v>
      </c>
      <c r="C464" t="s">
        <v>87</v>
      </c>
      <c r="D464" t="s">
        <v>25</v>
      </c>
      <c r="E464" s="2">
        <v>2</v>
      </c>
      <c r="F464" t="s">
        <v>80</v>
      </c>
      <c r="G464">
        <v>6.29</v>
      </c>
      <c r="H464">
        <v>5.49</v>
      </c>
      <c r="I464" s="2" t="str">
        <f>_xlfn.XLOOKUP(F464,DeparaIMG!D:D,DeparaIMG!F:F,,0)</f>
        <v>CORCERO350.png</v>
      </c>
    </row>
    <row r="465" spans="1:9" x14ac:dyDescent="0.25">
      <c r="A465" s="2" t="s">
        <v>103</v>
      </c>
      <c r="B465" s="2" t="s">
        <v>62</v>
      </c>
      <c r="C465" t="s">
        <v>88</v>
      </c>
      <c r="D465" t="s">
        <v>25</v>
      </c>
      <c r="E465" s="2">
        <v>2</v>
      </c>
      <c r="F465" t="s">
        <v>80</v>
      </c>
      <c r="G465">
        <v>6.29</v>
      </c>
      <c r="H465">
        <v>5.49</v>
      </c>
      <c r="I465" s="2" t="str">
        <f>_xlfn.XLOOKUP(F465,DeparaIMG!D:D,DeparaIMG!F:F,,0)</f>
        <v>CORCERO350.png</v>
      </c>
    </row>
    <row r="466" spans="1:9" x14ac:dyDescent="0.25">
      <c r="A466" s="2" t="s">
        <v>103</v>
      </c>
      <c r="B466" s="2" t="s">
        <v>62</v>
      </c>
      <c r="C466" t="s">
        <v>113</v>
      </c>
      <c r="D466" t="s">
        <v>25</v>
      </c>
      <c r="E466" s="2">
        <v>2</v>
      </c>
      <c r="F466" t="s">
        <v>80</v>
      </c>
      <c r="G466">
        <v>6.29</v>
      </c>
      <c r="H466">
        <v>5.49</v>
      </c>
      <c r="I466" s="2" t="str">
        <f>_xlfn.XLOOKUP(F466,DeparaIMG!D:D,DeparaIMG!F:F,,0)</f>
        <v>CORCERO350.png</v>
      </c>
    </row>
    <row r="467" spans="1:9" x14ac:dyDescent="0.25">
      <c r="A467" s="2" t="s">
        <v>103</v>
      </c>
      <c r="B467" s="2" t="s">
        <v>62</v>
      </c>
      <c r="C467" t="s">
        <v>90</v>
      </c>
      <c r="D467" t="s">
        <v>25</v>
      </c>
      <c r="E467" s="2">
        <v>2</v>
      </c>
      <c r="F467" t="s">
        <v>80</v>
      </c>
      <c r="G467">
        <v>6.29</v>
      </c>
      <c r="H467">
        <v>5.49</v>
      </c>
      <c r="I467" s="2" t="str">
        <f>_xlfn.XLOOKUP(F467,DeparaIMG!D:D,DeparaIMG!F:F,,0)</f>
        <v>CORCERO350.png</v>
      </c>
    </row>
    <row r="468" spans="1:9" x14ac:dyDescent="0.25">
      <c r="A468" s="2" t="s">
        <v>103</v>
      </c>
      <c r="B468" s="2" t="s">
        <v>62</v>
      </c>
      <c r="C468" t="s">
        <v>89</v>
      </c>
      <c r="D468" t="s">
        <v>25</v>
      </c>
      <c r="E468" s="2">
        <v>2</v>
      </c>
      <c r="F468" t="s">
        <v>80</v>
      </c>
      <c r="G468">
        <v>6.29</v>
      </c>
      <c r="H468">
        <v>5.49</v>
      </c>
      <c r="I468" s="2" t="str">
        <f>_xlfn.XLOOKUP(F468,DeparaIMG!D:D,DeparaIMG!F:F,,0)</f>
        <v>CORCERO350.png</v>
      </c>
    </row>
    <row r="469" spans="1:9" x14ac:dyDescent="0.25">
      <c r="A469" s="2" t="s">
        <v>103</v>
      </c>
      <c r="B469" s="2" t="s">
        <v>62</v>
      </c>
      <c r="C469" t="s">
        <v>112</v>
      </c>
      <c r="D469" t="s">
        <v>25</v>
      </c>
      <c r="E469" s="2">
        <v>2</v>
      </c>
      <c r="F469" t="s">
        <v>83</v>
      </c>
      <c r="G469">
        <v>6.69</v>
      </c>
      <c r="H469">
        <v>5.99</v>
      </c>
      <c r="I469" s="2" t="str">
        <f>_xlfn.XLOOKUP(F469,DeparaIMG!D:D,DeparaIMG!F:F,,0)</f>
        <v>MICLN.png</v>
      </c>
    </row>
    <row r="470" spans="1:9" x14ac:dyDescent="0.25">
      <c r="A470" s="2" t="s">
        <v>103</v>
      </c>
      <c r="B470" s="2" t="s">
        <v>62</v>
      </c>
      <c r="C470" t="s">
        <v>112</v>
      </c>
      <c r="D470" t="s">
        <v>26</v>
      </c>
      <c r="E470" s="2">
        <v>2</v>
      </c>
      <c r="F470" t="s">
        <v>83</v>
      </c>
      <c r="G470">
        <v>6.69</v>
      </c>
      <c r="H470">
        <v>5.99</v>
      </c>
      <c r="I470" s="2" t="str">
        <f>_xlfn.XLOOKUP(F470,DeparaIMG!D:D,DeparaIMG!F:F,,0)</f>
        <v>MICLN.png</v>
      </c>
    </row>
    <row r="471" spans="1:9" x14ac:dyDescent="0.25">
      <c r="A471" s="2" t="s">
        <v>103</v>
      </c>
      <c r="B471" s="2" t="s">
        <v>62</v>
      </c>
      <c r="C471" t="s">
        <v>29</v>
      </c>
      <c r="D471" t="s">
        <v>25</v>
      </c>
      <c r="E471" s="2">
        <v>2</v>
      </c>
      <c r="F471" t="s">
        <v>83</v>
      </c>
      <c r="G471">
        <v>6.69</v>
      </c>
      <c r="H471">
        <v>5.99</v>
      </c>
      <c r="I471" s="2" t="str">
        <f>_xlfn.XLOOKUP(F471,DeparaIMG!D:D,DeparaIMG!F:F,,0)</f>
        <v>MICLN.png</v>
      </c>
    </row>
    <row r="472" spans="1:9" x14ac:dyDescent="0.25">
      <c r="A472" s="2" t="s">
        <v>103</v>
      </c>
      <c r="B472" s="2" t="s">
        <v>62</v>
      </c>
      <c r="C472" t="s">
        <v>29</v>
      </c>
      <c r="D472" t="s">
        <v>26</v>
      </c>
      <c r="E472" s="2">
        <v>2</v>
      </c>
      <c r="F472" t="s">
        <v>83</v>
      </c>
      <c r="G472">
        <v>6.69</v>
      </c>
      <c r="H472">
        <v>5.99</v>
      </c>
      <c r="I472" s="2" t="str">
        <f>_xlfn.XLOOKUP(F472,DeparaIMG!D:D,DeparaIMG!F:F,,0)</f>
        <v>MICLN.png</v>
      </c>
    </row>
    <row r="473" spans="1:9" x14ac:dyDescent="0.25">
      <c r="A473" s="2" t="s">
        <v>103</v>
      </c>
      <c r="B473" s="2" t="s">
        <v>62</v>
      </c>
      <c r="C473" t="s">
        <v>87</v>
      </c>
      <c r="D473" t="s">
        <v>25</v>
      </c>
      <c r="E473" s="2">
        <v>2</v>
      </c>
      <c r="F473" t="s">
        <v>83</v>
      </c>
      <c r="G473">
        <v>6.69</v>
      </c>
      <c r="H473">
        <v>5.99</v>
      </c>
      <c r="I473" s="2" t="str">
        <f>_xlfn.XLOOKUP(F473,DeparaIMG!D:D,DeparaIMG!F:F,,0)</f>
        <v>MICLN.png</v>
      </c>
    </row>
    <row r="474" spans="1:9" x14ac:dyDescent="0.25">
      <c r="A474" s="2" t="s">
        <v>103</v>
      </c>
      <c r="B474" s="2" t="s">
        <v>62</v>
      </c>
      <c r="C474" t="s">
        <v>87</v>
      </c>
      <c r="D474" t="s">
        <v>26</v>
      </c>
      <c r="E474" s="2">
        <v>2</v>
      </c>
      <c r="F474" t="s">
        <v>83</v>
      </c>
      <c r="G474">
        <v>6.69</v>
      </c>
      <c r="H474">
        <v>5.99</v>
      </c>
      <c r="I474" s="2" t="str">
        <f>_xlfn.XLOOKUP(F474,DeparaIMG!D:D,DeparaIMG!F:F,,0)</f>
        <v>MICLN.png</v>
      </c>
    </row>
    <row r="475" spans="1:9" x14ac:dyDescent="0.25">
      <c r="A475" s="2" t="s">
        <v>103</v>
      </c>
      <c r="B475" s="2" t="s">
        <v>62</v>
      </c>
      <c r="C475" t="s">
        <v>88</v>
      </c>
      <c r="D475" t="s">
        <v>25</v>
      </c>
      <c r="E475" s="2">
        <v>2</v>
      </c>
      <c r="F475" t="s">
        <v>83</v>
      </c>
      <c r="G475">
        <v>6.69</v>
      </c>
      <c r="H475">
        <v>5.99</v>
      </c>
      <c r="I475" s="2" t="str">
        <f>_xlfn.XLOOKUP(F475,DeparaIMG!D:D,DeparaIMG!F:F,,0)</f>
        <v>MICLN.png</v>
      </c>
    </row>
    <row r="476" spans="1:9" x14ac:dyDescent="0.25">
      <c r="A476" s="2" t="s">
        <v>103</v>
      </c>
      <c r="B476" s="2" t="s">
        <v>62</v>
      </c>
      <c r="C476" t="s">
        <v>88</v>
      </c>
      <c r="D476" t="s">
        <v>26</v>
      </c>
      <c r="E476" s="2">
        <v>2</v>
      </c>
      <c r="F476" t="s">
        <v>83</v>
      </c>
      <c r="G476">
        <v>6.69</v>
      </c>
      <c r="H476">
        <v>5.99</v>
      </c>
      <c r="I476" s="2" t="str">
        <f>_xlfn.XLOOKUP(F476,DeparaIMG!D:D,DeparaIMG!F:F,,0)</f>
        <v>MICLN.png</v>
      </c>
    </row>
    <row r="477" spans="1:9" x14ac:dyDescent="0.25">
      <c r="A477" s="2" t="s">
        <v>103</v>
      </c>
      <c r="B477" s="2" t="s">
        <v>62</v>
      </c>
      <c r="C477" t="s">
        <v>113</v>
      </c>
      <c r="D477" t="s">
        <v>25</v>
      </c>
      <c r="E477" s="2">
        <v>2</v>
      </c>
      <c r="F477" t="s">
        <v>83</v>
      </c>
      <c r="G477">
        <v>6.69</v>
      </c>
      <c r="H477">
        <v>5.99</v>
      </c>
      <c r="I477" s="2" t="str">
        <f>_xlfn.XLOOKUP(F477,DeparaIMG!D:D,DeparaIMG!F:F,,0)</f>
        <v>MICLN.png</v>
      </c>
    </row>
    <row r="478" spans="1:9" x14ac:dyDescent="0.25">
      <c r="A478" s="2" t="s">
        <v>103</v>
      </c>
      <c r="B478" s="2" t="s">
        <v>62</v>
      </c>
      <c r="C478" t="s">
        <v>113</v>
      </c>
      <c r="D478" t="s">
        <v>26</v>
      </c>
      <c r="E478" s="2">
        <v>2</v>
      </c>
      <c r="F478" t="s">
        <v>83</v>
      </c>
      <c r="G478">
        <v>6.69</v>
      </c>
      <c r="H478">
        <v>5.99</v>
      </c>
      <c r="I478" s="2" t="str">
        <f>_xlfn.XLOOKUP(F478,DeparaIMG!D:D,DeparaIMG!F:F,,0)</f>
        <v>MICLN.png</v>
      </c>
    </row>
    <row r="479" spans="1:9" x14ac:dyDescent="0.25">
      <c r="A479" s="2" t="s">
        <v>103</v>
      </c>
      <c r="B479" s="2" t="s">
        <v>62</v>
      </c>
      <c r="C479" t="s">
        <v>90</v>
      </c>
      <c r="D479" t="s">
        <v>26</v>
      </c>
      <c r="E479" s="2">
        <v>2</v>
      </c>
      <c r="F479" t="s">
        <v>83</v>
      </c>
      <c r="G479">
        <v>6.69</v>
      </c>
      <c r="H479">
        <v>5.99</v>
      </c>
      <c r="I479" s="2" t="str">
        <f>_xlfn.XLOOKUP(F479,DeparaIMG!D:D,DeparaIMG!F:F,,0)</f>
        <v>MICLN.png</v>
      </c>
    </row>
    <row r="480" spans="1:9" x14ac:dyDescent="0.25">
      <c r="A480" s="2" t="s">
        <v>103</v>
      </c>
      <c r="B480" s="2" t="s">
        <v>62</v>
      </c>
      <c r="C480" t="s">
        <v>89</v>
      </c>
      <c r="D480" t="s">
        <v>26</v>
      </c>
      <c r="E480" s="2">
        <v>2</v>
      </c>
      <c r="F480" t="s">
        <v>83</v>
      </c>
      <c r="G480">
        <v>6.69</v>
      </c>
      <c r="H480">
        <v>5.99</v>
      </c>
      <c r="I480" s="2" t="str">
        <f>_xlfn.XLOOKUP(F480,DeparaIMG!D:D,DeparaIMG!F:F,,0)</f>
        <v>MICLN.png</v>
      </c>
    </row>
    <row r="481" spans="1:9" x14ac:dyDescent="0.25">
      <c r="A481" s="2" t="s">
        <v>103</v>
      </c>
      <c r="B481" s="2" t="s">
        <v>62</v>
      </c>
      <c r="C481" t="s">
        <v>89</v>
      </c>
      <c r="D481" t="s">
        <v>25</v>
      </c>
      <c r="E481" s="2">
        <v>2</v>
      </c>
      <c r="F481" t="s">
        <v>83</v>
      </c>
      <c r="G481">
        <v>6.69</v>
      </c>
      <c r="H481">
        <v>5.99</v>
      </c>
      <c r="I481" s="2" t="str">
        <f>_xlfn.XLOOKUP(F481,DeparaIMG!D:D,DeparaIMG!F:F,,0)</f>
        <v>MICLN.png</v>
      </c>
    </row>
    <row r="482" spans="1:9" x14ac:dyDescent="0.25">
      <c r="A482" s="2" t="s">
        <v>103</v>
      </c>
      <c r="B482" s="2" t="s">
        <v>62</v>
      </c>
      <c r="C482" t="s">
        <v>90</v>
      </c>
      <c r="D482" t="s">
        <v>25</v>
      </c>
      <c r="E482" s="2">
        <v>2</v>
      </c>
      <c r="F482" t="s">
        <v>83</v>
      </c>
      <c r="G482">
        <v>6.69</v>
      </c>
      <c r="H482">
        <v>5.99</v>
      </c>
      <c r="I482" s="2" t="str">
        <f>_xlfn.XLOOKUP(F482,DeparaIMG!D:D,DeparaIMG!F:F,,0)</f>
        <v>MICLN.png</v>
      </c>
    </row>
    <row r="483" spans="1:9" x14ac:dyDescent="0.25">
      <c r="A483" s="2" t="s">
        <v>103</v>
      </c>
      <c r="B483" s="2" t="s">
        <v>62</v>
      </c>
      <c r="C483" t="s">
        <v>88</v>
      </c>
      <c r="D483" t="s">
        <v>25</v>
      </c>
      <c r="E483" s="2">
        <v>1</v>
      </c>
      <c r="F483" t="s">
        <v>85</v>
      </c>
      <c r="G483">
        <v>7.99</v>
      </c>
      <c r="H483">
        <v>6.99</v>
      </c>
      <c r="I483" s="2" t="str">
        <f>_xlfn.XLOOKUP(F483,DeparaIMG!D:D,DeparaIMG!F:F,,0)</f>
        <v>CORLN.png</v>
      </c>
    </row>
    <row r="484" spans="1:9" x14ac:dyDescent="0.25">
      <c r="A484" s="2" t="s">
        <v>103</v>
      </c>
      <c r="B484" s="2" t="s">
        <v>62</v>
      </c>
      <c r="C484" t="s">
        <v>113</v>
      </c>
      <c r="D484" t="s">
        <v>26</v>
      </c>
      <c r="E484" s="2">
        <v>1</v>
      </c>
      <c r="F484" t="s">
        <v>85</v>
      </c>
      <c r="G484">
        <v>7.99</v>
      </c>
      <c r="H484">
        <v>6.99</v>
      </c>
      <c r="I484" s="2" t="str">
        <f>_xlfn.XLOOKUP(F484,DeparaIMG!D:D,DeparaIMG!F:F,,0)</f>
        <v>CORLN.png</v>
      </c>
    </row>
    <row r="485" spans="1:9" x14ac:dyDescent="0.25">
      <c r="A485" s="2" t="s">
        <v>103</v>
      </c>
      <c r="B485" s="2" t="s">
        <v>62</v>
      </c>
      <c r="C485" t="s">
        <v>89</v>
      </c>
      <c r="D485" t="s">
        <v>26</v>
      </c>
      <c r="E485" s="2">
        <v>1</v>
      </c>
      <c r="F485" t="s">
        <v>85</v>
      </c>
      <c r="G485">
        <v>7.99</v>
      </c>
      <c r="H485">
        <v>6.99</v>
      </c>
      <c r="I485" s="2" t="str">
        <f>_xlfn.XLOOKUP(F485,DeparaIMG!D:D,DeparaIMG!F:F,,0)</f>
        <v>CORLN.png</v>
      </c>
    </row>
    <row r="486" spans="1:9" x14ac:dyDescent="0.25">
      <c r="A486" s="2" t="s">
        <v>103</v>
      </c>
      <c r="B486" s="2" t="s">
        <v>62</v>
      </c>
      <c r="C486" t="s">
        <v>90</v>
      </c>
      <c r="D486" t="s">
        <v>26</v>
      </c>
      <c r="E486" s="2">
        <v>1</v>
      </c>
      <c r="F486" t="s">
        <v>85</v>
      </c>
      <c r="G486">
        <v>7.99</v>
      </c>
      <c r="H486">
        <v>6.99</v>
      </c>
      <c r="I486" s="2" t="str">
        <f>_xlfn.XLOOKUP(F486,DeparaIMG!D:D,DeparaIMG!F:F,,0)</f>
        <v>CORLN.png</v>
      </c>
    </row>
    <row r="487" spans="1:9" x14ac:dyDescent="0.25">
      <c r="A487" s="2" t="s">
        <v>103</v>
      </c>
      <c r="B487" s="2" t="s">
        <v>62</v>
      </c>
      <c r="C487" t="s">
        <v>89</v>
      </c>
      <c r="D487" t="s">
        <v>25</v>
      </c>
      <c r="E487" s="2">
        <v>1</v>
      </c>
      <c r="F487" t="s">
        <v>85</v>
      </c>
      <c r="G487">
        <v>7.99</v>
      </c>
      <c r="H487">
        <v>6.99</v>
      </c>
      <c r="I487" s="2" t="str">
        <f>_xlfn.XLOOKUP(F487,DeparaIMG!D:D,DeparaIMG!F:F,,0)</f>
        <v>CORLN.png</v>
      </c>
    </row>
    <row r="488" spans="1:9" x14ac:dyDescent="0.25">
      <c r="A488" s="2" t="s">
        <v>103</v>
      </c>
      <c r="B488" s="2" t="s">
        <v>62</v>
      </c>
      <c r="C488" t="s">
        <v>90</v>
      </c>
      <c r="D488" t="s">
        <v>25</v>
      </c>
      <c r="E488" s="2">
        <v>1</v>
      </c>
      <c r="F488" t="s">
        <v>85</v>
      </c>
      <c r="G488">
        <v>7.99</v>
      </c>
      <c r="H488">
        <v>6.99</v>
      </c>
      <c r="I488" s="2" t="str">
        <f>_xlfn.XLOOKUP(F488,DeparaIMG!D:D,DeparaIMG!F:F,,0)</f>
        <v>CORLN.png</v>
      </c>
    </row>
    <row r="489" spans="1:9" x14ac:dyDescent="0.25">
      <c r="A489" s="2" t="s">
        <v>103</v>
      </c>
      <c r="B489" s="2" t="s">
        <v>62</v>
      </c>
      <c r="C489" t="s">
        <v>88</v>
      </c>
      <c r="D489" t="s">
        <v>25</v>
      </c>
      <c r="E489" s="2">
        <v>1</v>
      </c>
      <c r="F489" t="s">
        <v>86</v>
      </c>
      <c r="G489">
        <v>7.99</v>
      </c>
      <c r="H489">
        <v>6.99</v>
      </c>
      <c r="I489" s="2" t="str">
        <f>_xlfn.XLOOKUP(F489,DeparaIMG!D:D,DeparaIMG!F:F,,0)</f>
        <v>CORCEROLN.png</v>
      </c>
    </row>
    <row r="490" spans="1:9" x14ac:dyDescent="0.25">
      <c r="A490" s="2" t="s">
        <v>103</v>
      </c>
      <c r="B490" s="2" t="s">
        <v>62</v>
      </c>
      <c r="C490" t="s">
        <v>113</v>
      </c>
      <c r="D490" t="s">
        <v>26</v>
      </c>
      <c r="E490" s="2">
        <v>1</v>
      </c>
      <c r="F490" t="s">
        <v>86</v>
      </c>
      <c r="G490">
        <v>7.99</v>
      </c>
      <c r="H490">
        <v>6.99</v>
      </c>
      <c r="I490" s="2" t="str">
        <f>_xlfn.XLOOKUP(F490,DeparaIMG!D:D,DeparaIMG!F:F,,0)</f>
        <v>CORCEROLN.png</v>
      </c>
    </row>
    <row r="491" spans="1:9" x14ac:dyDescent="0.25">
      <c r="A491" s="2" t="s">
        <v>103</v>
      </c>
      <c r="B491" s="2" t="s">
        <v>62</v>
      </c>
      <c r="C491" t="s">
        <v>89</v>
      </c>
      <c r="D491" t="s">
        <v>26</v>
      </c>
      <c r="E491" s="2">
        <v>1</v>
      </c>
      <c r="F491" t="s">
        <v>86</v>
      </c>
      <c r="G491">
        <v>7.99</v>
      </c>
      <c r="H491">
        <v>6.99</v>
      </c>
      <c r="I491" s="2" t="str">
        <f>_xlfn.XLOOKUP(F491,DeparaIMG!D:D,DeparaIMG!F:F,,0)</f>
        <v>CORCEROLN.png</v>
      </c>
    </row>
    <row r="492" spans="1:9" x14ac:dyDescent="0.25">
      <c r="A492" s="2" t="s">
        <v>103</v>
      </c>
      <c r="B492" s="2" t="s">
        <v>62</v>
      </c>
      <c r="C492" t="s">
        <v>90</v>
      </c>
      <c r="D492" t="s">
        <v>26</v>
      </c>
      <c r="E492" s="2">
        <v>1</v>
      </c>
      <c r="F492" t="s">
        <v>86</v>
      </c>
      <c r="G492">
        <v>7.99</v>
      </c>
      <c r="H492">
        <v>6.99</v>
      </c>
      <c r="I492" s="2" t="str">
        <f>_xlfn.XLOOKUP(F492,DeparaIMG!D:D,DeparaIMG!F:F,,0)</f>
        <v>CORCEROLN.png</v>
      </c>
    </row>
    <row r="493" spans="1:9" x14ac:dyDescent="0.25">
      <c r="A493" s="2" t="s">
        <v>103</v>
      </c>
      <c r="B493" s="2" t="s">
        <v>62</v>
      </c>
      <c r="C493" t="s">
        <v>89</v>
      </c>
      <c r="D493" t="s">
        <v>25</v>
      </c>
      <c r="E493" s="2">
        <v>1</v>
      </c>
      <c r="F493" t="s">
        <v>86</v>
      </c>
      <c r="G493">
        <v>7.99</v>
      </c>
      <c r="H493">
        <v>6.99</v>
      </c>
      <c r="I493" s="2" t="str">
        <f>_xlfn.XLOOKUP(F493,DeparaIMG!D:D,DeparaIMG!F:F,,0)</f>
        <v>CORCEROLN.png</v>
      </c>
    </row>
    <row r="494" spans="1:9" x14ac:dyDescent="0.25">
      <c r="A494" s="2" t="s">
        <v>103</v>
      </c>
      <c r="B494" s="2" t="s">
        <v>62</v>
      </c>
      <c r="C494" t="s">
        <v>90</v>
      </c>
      <c r="D494" t="s">
        <v>25</v>
      </c>
      <c r="E494" s="2">
        <v>1</v>
      </c>
      <c r="F494" t="s">
        <v>86</v>
      </c>
      <c r="G494">
        <v>7.99</v>
      </c>
      <c r="H494">
        <v>6.99</v>
      </c>
      <c r="I494" s="2" t="str">
        <f>_xlfn.XLOOKUP(F494,DeparaIMG!D:D,DeparaIMG!F:F,,0)</f>
        <v>CORCEROLN.png</v>
      </c>
    </row>
    <row r="495" spans="1:9" x14ac:dyDescent="0.25">
      <c r="A495" s="2" t="s">
        <v>103</v>
      </c>
      <c r="B495" s="2" t="s">
        <v>62</v>
      </c>
      <c r="C495" t="s">
        <v>112</v>
      </c>
      <c r="D495" t="s">
        <v>25</v>
      </c>
      <c r="E495" s="2">
        <v>1</v>
      </c>
      <c r="F495" t="s">
        <v>85</v>
      </c>
      <c r="G495">
        <v>7.99</v>
      </c>
      <c r="H495">
        <v>6.99</v>
      </c>
      <c r="I495" s="2" t="str">
        <f>_xlfn.XLOOKUP(F495,DeparaIMG!D:D,DeparaIMG!F:F,,0)</f>
        <v>CORLN.png</v>
      </c>
    </row>
    <row r="496" spans="1:9" x14ac:dyDescent="0.25">
      <c r="A496" s="2" t="s">
        <v>103</v>
      </c>
      <c r="B496" s="2" t="s">
        <v>62</v>
      </c>
      <c r="C496" t="s">
        <v>112</v>
      </c>
      <c r="D496" t="s">
        <v>26</v>
      </c>
      <c r="E496" s="2">
        <v>1</v>
      </c>
      <c r="F496" t="s">
        <v>85</v>
      </c>
      <c r="G496">
        <v>7.99</v>
      </c>
      <c r="H496">
        <v>6.99</v>
      </c>
      <c r="I496" s="2" t="str">
        <f>_xlfn.XLOOKUP(F496,DeparaIMG!D:D,DeparaIMG!F:F,,0)</f>
        <v>CORLN.png</v>
      </c>
    </row>
    <row r="497" spans="1:9" x14ac:dyDescent="0.25">
      <c r="A497" s="2" t="s">
        <v>103</v>
      </c>
      <c r="B497" s="2" t="s">
        <v>62</v>
      </c>
      <c r="C497" t="s">
        <v>29</v>
      </c>
      <c r="D497" t="s">
        <v>25</v>
      </c>
      <c r="E497" s="2">
        <v>1</v>
      </c>
      <c r="F497" t="s">
        <v>85</v>
      </c>
      <c r="G497">
        <v>7.99</v>
      </c>
      <c r="H497">
        <v>6.99</v>
      </c>
      <c r="I497" s="2" t="str">
        <f>_xlfn.XLOOKUP(F497,DeparaIMG!D:D,DeparaIMG!F:F,,0)</f>
        <v>CORLN.png</v>
      </c>
    </row>
    <row r="498" spans="1:9" x14ac:dyDescent="0.25">
      <c r="A498" s="2" t="s">
        <v>103</v>
      </c>
      <c r="B498" s="2" t="s">
        <v>62</v>
      </c>
      <c r="C498" t="s">
        <v>29</v>
      </c>
      <c r="D498" t="s">
        <v>26</v>
      </c>
      <c r="E498" s="2">
        <v>1</v>
      </c>
      <c r="F498" t="s">
        <v>85</v>
      </c>
      <c r="G498">
        <v>7.99</v>
      </c>
      <c r="H498">
        <v>6.99</v>
      </c>
      <c r="I498" s="2" t="str">
        <f>_xlfn.XLOOKUP(F498,DeparaIMG!D:D,DeparaIMG!F:F,,0)</f>
        <v>CORLN.png</v>
      </c>
    </row>
    <row r="499" spans="1:9" x14ac:dyDescent="0.25">
      <c r="A499" s="2" t="s">
        <v>103</v>
      </c>
      <c r="B499" s="2" t="s">
        <v>62</v>
      </c>
      <c r="C499" t="s">
        <v>87</v>
      </c>
      <c r="D499" t="s">
        <v>25</v>
      </c>
      <c r="E499" s="2">
        <v>1</v>
      </c>
      <c r="F499" t="s">
        <v>85</v>
      </c>
      <c r="G499">
        <v>7.99</v>
      </c>
      <c r="H499">
        <v>6.99</v>
      </c>
      <c r="I499" s="2" t="str">
        <f>_xlfn.XLOOKUP(F499,DeparaIMG!D:D,DeparaIMG!F:F,,0)</f>
        <v>CORLN.png</v>
      </c>
    </row>
    <row r="500" spans="1:9" x14ac:dyDescent="0.25">
      <c r="A500" s="2" t="s">
        <v>103</v>
      </c>
      <c r="B500" s="2" t="s">
        <v>62</v>
      </c>
      <c r="C500" t="s">
        <v>87</v>
      </c>
      <c r="D500" t="s">
        <v>26</v>
      </c>
      <c r="E500" s="2">
        <v>1</v>
      </c>
      <c r="F500" t="s">
        <v>85</v>
      </c>
      <c r="G500">
        <v>7.99</v>
      </c>
      <c r="H500">
        <v>6.99</v>
      </c>
      <c r="I500" s="2" t="str">
        <f>_xlfn.XLOOKUP(F500,DeparaIMG!D:D,DeparaIMG!F:F,,0)</f>
        <v>CORLN.png</v>
      </c>
    </row>
    <row r="501" spans="1:9" x14ac:dyDescent="0.25">
      <c r="A501" s="2" t="s">
        <v>103</v>
      </c>
      <c r="B501" s="2" t="s">
        <v>62</v>
      </c>
      <c r="C501" t="s">
        <v>88</v>
      </c>
      <c r="D501" t="s">
        <v>26</v>
      </c>
      <c r="E501" s="2">
        <v>1</v>
      </c>
      <c r="F501" t="s">
        <v>85</v>
      </c>
      <c r="G501">
        <v>7.99</v>
      </c>
      <c r="H501">
        <v>6.99</v>
      </c>
      <c r="I501" s="2" t="str">
        <f>_xlfn.XLOOKUP(F501,DeparaIMG!D:D,DeparaIMG!F:F,,0)</f>
        <v>CORLN.png</v>
      </c>
    </row>
    <row r="502" spans="1:9" x14ac:dyDescent="0.25">
      <c r="A502" s="2" t="s">
        <v>103</v>
      </c>
      <c r="B502" s="2" t="s">
        <v>62</v>
      </c>
      <c r="C502" t="s">
        <v>113</v>
      </c>
      <c r="D502" t="s">
        <v>25</v>
      </c>
      <c r="E502" s="2">
        <v>1</v>
      </c>
      <c r="F502" t="s">
        <v>85</v>
      </c>
      <c r="G502">
        <v>7.99</v>
      </c>
      <c r="H502">
        <v>6.99</v>
      </c>
      <c r="I502" s="2" t="str">
        <f>_xlfn.XLOOKUP(F502,DeparaIMG!D:D,DeparaIMG!F:F,,0)</f>
        <v>CORLN.png</v>
      </c>
    </row>
    <row r="503" spans="1:9" x14ac:dyDescent="0.25">
      <c r="A503" s="2" t="s">
        <v>103</v>
      </c>
      <c r="B503" s="2" t="s">
        <v>62</v>
      </c>
      <c r="C503" t="s">
        <v>112</v>
      </c>
      <c r="D503" t="s">
        <v>25</v>
      </c>
      <c r="E503" s="2">
        <v>1</v>
      </c>
      <c r="F503" t="s">
        <v>86</v>
      </c>
      <c r="G503">
        <v>7.99</v>
      </c>
      <c r="H503">
        <v>6.99</v>
      </c>
      <c r="I503" s="2" t="str">
        <f>_xlfn.XLOOKUP(F503,DeparaIMG!D:D,DeparaIMG!F:F,,0)</f>
        <v>CORCEROLN.png</v>
      </c>
    </row>
    <row r="504" spans="1:9" x14ac:dyDescent="0.25">
      <c r="A504" s="2" t="s">
        <v>103</v>
      </c>
      <c r="B504" s="2" t="s">
        <v>62</v>
      </c>
      <c r="C504" t="s">
        <v>112</v>
      </c>
      <c r="D504" t="s">
        <v>26</v>
      </c>
      <c r="E504" s="2">
        <v>1</v>
      </c>
      <c r="F504" t="s">
        <v>86</v>
      </c>
      <c r="G504">
        <v>7.99</v>
      </c>
      <c r="H504">
        <v>6.99</v>
      </c>
      <c r="I504" s="2" t="str">
        <f>_xlfn.XLOOKUP(F504,DeparaIMG!D:D,DeparaIMG!F:F,,0)</f>
        <v>CORCEROLN.png</v>
      </c>
    </row>
    <row r="505" spans="1:9" x14ac:dyDescent="0.25">
      <c r="A505" s="2" t="s">
        <v>103</v>
      </c>
      <c r="B505" s="2" t="s">
        <v>62</v>
      </c>
      <c r="C505" t="s">
        <v>29</v>
      </c>
      <c r="D505" t="s">
        <v>25</v>
      </c>
      <c r="E505" s="2">
        <v>1</v>
      </c>
      <c r="F505" t="s">
        <v>86</v>
      </c>
      <c r="G505">
        <v>7.99</v>
      </c>
      <c r="H505">
        <v>6.99</v>
      </c>
      <c r="I505" s="2" t="str">
        <f>_xlfn.XLOOKUP(F505,DeparaIMG!D:D,DeparaIMG!F:F,,0)</f>
        <v>CORCEROLN.png</v>
      </c>
    </row>
    <row r="506" spans="1:9" x14ac:dyDescent="0.25">
      <c r="A506" s="2" t="s">
        <v>103</v>
      </c>
      <c r="B506" s="2" t="s">
        <v>62</v>
      </c>
      <c r="C506" t="s">
        <v>29</v>
      </c>
      <c r="D506" t="s">
        <v>26</v>
      </c>
      <c r="E506" s="2">
        <v>1</v>
      </c>
      <c r="F506" t="s">
        <v>86</v>
      </c>
      <c r="G506">
        <v>7.99</v>
      </c>
      <c r="H506">
        <v>6.99</v>
      </c>
      <c r="I506" s="2" t="str">
        <f>_xlfn.XLOOKUP(F506,DeparaIMG!D:D,DeparaIMG!F:F,,0)</f>
        <v>CORCEROLN.png</v>
      </c>
    </row>
    <row r="507" spans="1:9" x14ac:dyDescent="0.25">
      <c r="A507" s="2" t="s">
        <v>103</v>
      </c>
      <c r="B507" s="2" t="s">
        <v>62</v>
      </c>
      <c r="C507" t="s">
        <v>87</v>
      </c>
      <c r="D507" t="s">
        <v>25</v>
      </c>
      <c r="E507" s="2">
        <v>1</v>
      </c>
      <c r="F507" t="s">
        <v>86</v>
      </c>
      <c r="G507">
        <v>7.99</v>
      </c>
      <c r="H507">
        <v>6.99</v>
      </c>
      <c r="I507" s="2" t="str">
        <f>_xlfn.XLOOKUP(F507,DeparaIMG!D:D,DeparaIMG!F:F,,0)</f>
        <v>CORCEROLN.png</v>
      </c>
    </row>
    <row r="508" spans="1:9" x14ac:dyDescent="0.25">
      <c r="A508" s="2" t="s">
        <v>103</v>
      </c>
      <c r="B508" s="2" t="s">
        <v>62</v>
      </c>
      <c r="C508" t="s">
        <v>87</v>
      </c>
      <c r="D508" t="s">
        <v>26</v>
      </c>
      <c r="E508" s="2">
        <v>1</v>
      </c>
      <c r="F508" t="s">
        <v>86</v>
      </c>
      <c r="G508">
        <v>7.99</v>
      </c>
      <c r="H508">
        <v>6.99</v>
      </c>
      <c r="I508" s="2" t="str">
        <f>_xlfn.XLOOKUP(F508,DeparaIMG!D:D,DeparaIMG!F:F,,0)</f>
        <v>CORCEROLN.png</v>
      </c>
    </row>
    <row r="509" spans="1:9" x14ac:dyDescent="0.25">
      <c r="A509" s="2" t="s">
        <v>103</v>
      </c>
      <c r="B509" s="2" t="s">
        <v>62</v>
      </c>
      <c r="C509" t="s">
        <v>88</v>
      </c>
      <c r="D509" t="s">
        <v>26</v>
      </c>
      <c r="E509" s="2">
        <v>1</v>
      </c>
      <c r="F509" t="s">
        <v>86</v>
      </c>
      <c r="G509">
        <v>7.99</v>
      </c>
      <c r="H509">
        <v>6.99</v>
      </c>
      <c r="I509" s="2" t="str">
        <f>_xlfn.XLOOKUP(F509,DeparaIMG!D:D,DeparaIMG!F:F,,0)</f>
        <v>CORCEROLN.png</v>
      </c>
    </row>
    <row r="510" spans="1:9" x14ac:dyDescent="0.25">
      <c r="A510" s="2" t="s">
        <v>103</v>
      </c>
      <c r="B510" s="2" t="s">
        <v>62</v>
      </c>
      <c r="C510" t="s">
        <v>113</v>
      </c>
      <c r="D510" t="s">
        <v>25</v>
      </c>
      <c r="E510" s="2">
        <v>1</v>
      </c>
      <c r="F510" t="s">
        <v>86</v>
      </c>
      <c r="G510">
        <v>7.99</v>
      </c>
      <c r="H510">
        <v>6.99</v>
      </c>
      <c r="I510" s="2" t="str">
        <f>_xlfn.XLOOKUP(F510,DeparaIMG!D:D,DeparaIMG!F:F,,0)</f>
        <v>CORCEROLN.png</v>
      </c>
    </row>
    <row r="511" spans="1:9" x14ac:dyDescent="0.25">
      <c r="A511" s="2" t="s">
        <v>99</v>
      </c>
      <c r="B511" s="2" t="s">
        <v>62</v>
      </c>
      <c r="C511" t="s">
        <v>29</v>
      </c>
      <c r="D511" t="s">
        <v>25</v>
      </c>
      <c r="E511" s="2">
        <v>1</v>
      </c>
      <c r="F511" t="s">
        <v>68</v>
      </c>
      <c r="G511">
        <v>3.09</v>
      </c>
      <c r="H511">
        <v>2.79</v>
      </c>
      <c r="I511" s="2" t="str">
        <f>_xlfn.XLOOKUP(F511,DeparaIMG!D:D,DeparaIMG!F:F,,0)</f>
        <v>BC269.png</v>
      </c>
    </row>
    <row r="512" spans="1:9" x14ac:dyDescent="0.25">
      <c r="A512" s="2" t="s">
        <v>99</v>
      </c>
      <c r="B512" s="2" t="s">
        <v>62</v>
      </c>
      <c r="C512" t="s">
        <v>87</v>
      </c>
      <c r="D512" t="s">
        <v>25</v>
      </c>
      <c r="E512" s="2">
        <v>2</v>
      </c>
      <c r="F512" t="s">
        <v>66</v>
      </c>
      <c r="G512">
        <v>2.99</v>
      </c>
      <c r="H512">
        <v>2.69</v>
      </c>
      <c r="I512" s="2" t="str">
        <f>_xlfn.XLOOKUP(F512,DeparaIMG!D:D,DeparaIMG!F:F,,0)</f>
        <v>SK269.png</v>
      </c>
    </row>
    <row r="513" spans="1:9" x14ac:dyDescent="0.25">
      <c r="A513" s="2" t="s">
        <v>99</v>
      </c>
      <c r="B513" s="2" t="s">
        <v>62</v>
      </c>
      <c r="C513" t="s">
        <v>87</v>
      </c>
      <c r="D513" t="s">
        <v>26</v>
      </c>
      <c r="E513" s="2">
        <v>2</v>
      </c>
      <c r="F513" t="s">
        <v>66</v>
      </c>
      <c r="G513">
        <v>2.99</v>
      </c>
      <c r="H513">
        <v>2.69</v>
      </c>
      <c r="I513" s="2" t="str">
        <f>_xlfn.XLOOKUP(F513,DeparaIMG!D:D,DeparaIMG!F:F,,0)</f>
        <v>SK269.png</v>
      </c>
    </row>
    <row r="514" spans="1:9" x14ac:dyDescent="0.25">
      <c r="A514" s="2" t="s">
        <v>99</v>
      </c>
      <c r="B514" s="2" t="s">
        <v>62</v>
      </c>
      <c r="C514" t="s">
        <v>89</v>
      </c>
      <c r="D514" t="s">
        <v>25</v>
      </c>
      <c r="E514" s="2">
        <v>1</v>
      </c>
      <c r="F514" t="s">
        <v>68</v>
      </c>
      <c r="G514">
        <v>3.09</v>
      </c>
      <c r="H514">
        <v>2.79</v>
      </c>
      <c r="I514" s="2" t="str">
        <f>_xlfn.XLOOKUP(F514,DeparaIMG!D:D,DeparaIMG!F:F,,0)</f>
        <v>BC269.png</v>
      </c>
    </row>
    <row r="515" spans="1:9" x14ac:dyDescent="0.25">
      <c r="A515" s="2" t="s">
        <v>99</v>
      </c>
      <c r="B515" s="2" t="s">
        <v>62</v>
      </c>
      <c r="C515" t="s">
        <v>89</v>
      </c>
      <c r="D515" t="s">
        <v>26</v>
      </c>
      <c r="E515" s="2">
        <v>1</v>
      </c>
      <c r="F515" t="s">
        <v>68</v>
      </c>
      <c r="G515">
        <v>3.09</v>
      </c>
      <c r="H515">
        <v>2.79</v>
      </c>
      <c r="I515" s="2" t="str">
        <f>_xlfn.XLOOKUP(F515,DeparaIMG!D:D,DeparaIMG!F:F,,0)</f>
        <v>BC269.png</v>
      </c>
    </row>
    <row r="516" spans="1:9" x14ac:dyDescent="0.25">
      <c r="A516" s="2" t="s">
        <v>99</v>
      </c>
      <c r="B516" s="2" t="s">
        <v>62</v>
      </c>
      <c r="C516" t="s">
        <v>112</v>
      </c>
      <c r="D516" t="s">
        <v>25</v>
      </c>
      <c r="E516" s="2">
        <v>2</v>
      </c>
      <c r="F516" t="s">
        <v>67</v>
      </c>
      <c r="G516">
        <v>3.19</v>
      </c>
      <c r="H516">
        <v>2.89</v>
      </c>
      <c r="I516" s="2" t="str">
        <f>_xlfn.XLOOKUP(F516,DeparaIMG!D:D,DeparaIMG!F:F,,0)</f>
        <v>AP269.png</v>
      </c>
    </row>
    <row r="517" spans="1:9" x14ac:dyDescent="0.25">
      <c r="A517" s="2" t="s">
        <v>99</v>
      </c>
      <c r="B517" s="2" t="s">
        <v>62</v>
      </c>
      <c r="C517" t="s">
        <v>29</v>
      </c>
      <c r="D517" t="s">
        <v>25</v>
      </c>
      <c r="E517" s="2">
        <v>2</v>
      </c>
      <c r="F517" t="s">
        <v>67</v>
      </c>
      <c r="G517">
        <v>3.19</v>
      </c>
      <c r="H517">
        <v>2.89</v>
      </c>
      <c r="I517" s="2" t="str">
        <f>_xlfn.XLOOKUP(F517,DeparaIMG!D:D,DeparaIMG!F:F,,0)</f>
        <v>AP269.png</v>
      </c>
    </row>
    <row r="518" spans="1:9" x14ac:dyDescent="0.25">
      <c r="A518" s="2" t="s">
        <v>99</v>
      </c>
      <c r="B518" s="2" t="s">
        <v>62</v>
      </c>
      <c r="C518" t="s">
        <v>112</v>
      </c>
      <c r="D518" t="s">
        <v>25</v>
      </c>
      <c r="E518" s="2">
        <v>1</v>
      </c>
      <c r="F518" t="s">
        <v>68</v>
      </c>
      <c r="G518">
        <v>3.09</v>
      </c>
      <c r="H518">
        <v>2.79</v>
      </c>
      <c r="I518" s="2" t="str">
        <f>_xlfn.XLOOKUP(F518,DeparaIMG!D:D,DeparaIMG!F:F,,0)</f>
        <v>BC269.png</v>
      </c>
    </row>
    <row r="519" spans="1:9" x14ac:dyDescent="0.25">
      <c r="A519" s="2" t="s">
        <v>99</v>
      </c>
      <c r="B519" s="2" t="s">
        <v>62</v>
      </c>
      <c r="C519" t="s">
        <v>112</v>
      </c>
      <c r="D519" t="s">
        <v>26</v>
      </c>
      <c r="E519" s="2">
        <v>1</v>
      </c>
      <c r="F519" t="s">
        <v>68</v>
      </c>
      <c r="G519">
        <v>3.09</v>
      </c>
      <c r="H519">
        <v>2.79</v>
      </c>
      <c r="I519" s="2" t="str">
        <f>_xlfn.XLOOKUP(F519,DeparaIMG!D:D,DeparaIMG!F:F,,0)</f>
        <v>BC269.png</v>
      </c>
    </row>
    <row r="520" spans="1:9" x14ac:dyDescent="0.25">
      <c r="A520" s="2" t="s">
        <v>99</v>
      </c>
      <c r="B520" s="2" t="s">
        <v>62</v>
      </c>
      <c r="C520" t="s">
        <v>87</v>
      </c>
      <c r="D520" t="s">
        <v>25</v>
      </c>
      <c r="E520" s="2">
        <v>1</v>
      </c>
      <c r="F520" t="s">
        <v>68</v>
      </c>
      <c r="G520">
        <v>3.09</v>
      </c>
      <c r="H520">
        <v>2.79</v>
      </c>
      <c r="I520" s="2" t="str">
        <f>_xlfn.XLOOKUP(F520,DeparaIMG!D:D,DeparaIMG!F:F,,0)</f>
        <v>BC269.png</v>
      </c>
    </row>
    <row r="521" spans="1:9" x14ac:dyDescent="0.25">
      <c r="A521" s="2" t="s">
        <v>99</v>
      </c>
      <c r="B521" s="2" t="s">
        <v>62</v>
      </c>
      <c r="C521" t="s">
        <v>87</v>
      </c>
      <c r="D521" t="s">
        <v>26</v>
      </c>
      <c r="E521" s="2">
        <v>1</v>
      </c>
      <c r="F521" t="s">
        <v>68</v>
      </c>
      <c r="G521">
        <v>3.09</v>
      </c>
      <c r="H521">
        <v>2.79</v>
      </c>
      <c r="I521" s="2" t="str">
        <f>_xlfn.XLOOKUP(F521,DeparaIMG!D:D,DeparaIMG!F:F,,0)</f>
        <v>BC269.png</v>
      </c>
    </row>
    <row r="522" spans="1:9" x14ac:dyDescent="0.25">
      <c r="A522" s="2" t="s">
        <v>99</v>
      </c>
      <c r="B522" s="2" t="s">
        <v>62</v>
      </c>
      <c r="C522" t="s">
        <v>113</v>
      </c>
      <c r="D522" t="s">
        <v>25</v>
      </c>
      <c r="E522" s="2">
        <v>1</v>
      </c>
      <c r="F522" t="s">
        <v>68</v>
      </c>
      <c r="G522">
        <v>3.09</v>
      </c>
      <c r="H522">
        <v>2.79</v>
      </c>
      <c r="I522" s="2" t="str">
        <f>_xlfn.XLOOKUP(F522,DeparaIMG!D:D,DeparaIMG!F:F,,0)</f>
        <v>BC269.png</v>
      </c>
    </row>
    <row r="523" spans="1:9" x14ac:dyDescent="0.25">
      <c r="A523" s="2" t="s">
        <v>99</v>
      </c>
      <c r="B523" s="2" t="s">
        <v>62</v>
      </c>
      <c r="C523" t="s">
        <v>113</v>
      </c>
      <c r="D523" t="s">
        <v>25</v>
      </c>
      <c r="E523" s="2">
        <v>2</v>
      </c>
      <c r="F523" t="s">
        <v>66</v>
      </c>
      <c r="G523">
        <v>3.19</v>
      </c>
      <c r="H523">
        <v>2.89</v>
      </c>
      <c r="I523" s="2" t="str">
        <f>_xlfn.XLOOKUP(F523,DeparaIMG!D:D,DeparaIMG!F:F,,0)</f>
        <v>SK269.png</v>
      </c>
    </row>
    <row r="524" spans="1:9" x14ac:dyDescent="0.25">
      <c r="A524" s="2" t="s">
        <v>99</v>
      </c>
      <c r="B524" s="2" t="s">
        <v>62</v>
      </c>
      <c r="C524" t="s">
        <v>113</v>
      </c>
      <c r="D524" t="s">
        <v>26</v>
      </c>
      <c r="E524" s="2">
        <v>2</v>
      </c>
      <c r="F524" t="s">
        <v>66</v>
      </c>
      <c r="G524">
        <v>3.19</v>
      </c>
      <c r="H524">
        <v>2.89</v>
      </c>
      <c r="I524" s="2" t="str">
        <f>_xlfn.XLOOKUP(F524,DeparaIMG!D:D,DeparaIMG!F:F,,0)</f>
        <v>SK269.png</v>
      </c>
    </row>
    <row r="525" spans="1:9" x14ac:dyDescent="0.25">
      <c r="A525" s="2" t="s">
        <v>99</v>
      </c>
      <c r="B525" s="2" t="s">
        <v>62</v>
      </c>
      <c r="C525" t="s">
        <v>88</v>
      </c>
      <c r="D525" t="s">
        <v>25</v>
      </c>
      <c r="E525" s="2">
        <v>2</v>
      </c>
      <c r="F525" t="s">
        <v>66</v>
      </c>
      <c r="G525">
        <v>3.19</v>
      </c>
      <c r="H525">
        <v>2.89</v>
      </c>
      <c r="I525" s="2" t="str">
        <f>_xlfn.XLOOKUP(F525,DeparaIMG!D:D,DeparaIMG!F:F,,0)</f>
        <v>SK269.png</v>
      </c>
    </row>
    <row r="526" spans="1:9" x14ac:dyDescent="0.25">
      <c r="A526" s="2" t="s">
        <v>99</v>
      </c>
      <c r="B526" s="2" t="s">
        <v>62</v>
      </c>
      <c r="C526" t="s">
        <v>88</v>
      </c>
      <c r="D526" t="s">
        <v>25</v>
      </c>
      <c r="E526" s="2">
        <v>1</v>
      </c>
      <c r="F526" t="s">
        <v>68</v>
      </c>
      <c r="G526">
        <v>3.19</v>
      </c>
      <c r="H526">
        <v>2.89</v>
      </c>
      <c r="I526" s="2" t="str">
        <f>_xlfn.XLOOKUP(F526,DeparaIMG!D:D,DeparaIMG!F:F,,0)</f>
        <v>BC269.png</v>
      </c>
    </row>
    <row r="527" spans="1:9" x14ac:dyDescent="0.25">
      <c r="A527" s="2" t="s">
        <v>99</v>
      </c>
      <c r="B527" s="2" t="s">
        <v>62</v>
      </c>
      <c r="C527" t="s">
        <v>88</v>
      </c>
      <c r="D527" t="s">
        <v>26</v>
      </c>
      <c r="E527" s="2">
        <v>1</v>
      </c>
      <c r="F527" t="s">
        <v>68</v>
      </c>
      <c r="G527">
        <v>3.19</v>
      </c>
      <c r="H527">
        <v>2.89</v>
      </c>
      <c r="I527" s="2" t="str">
        <f>_xlfn.XLOOKUP(F527,DeparaIMG!D:D,DeparaIMG!F:F,,0)</f>
        <v>BC269.png</v>
      </c>
    </row>
    <row r="528" spans="1:9" x14ac:dyDescent="0.25">
      <c r="A528" s="2" t="s">
        <v>99</v>
      </c>
      <c r="B528" s="2" t="s">
        <v>62</v>
      </c>
      <c r="C528" t="s">
        <v>88</v>
      </c>
      <c r="D528" t="s">
        <v>26</v>
      </c>
      <c r="E528" s="2">
        <v>2</v>
      </c>
      <c r="F528" t="s">
        <v>66</v>
      </c>
      <c r="G528">
        <v>3.19</v>
      </c>
      <c r="H528">
        <v>2.89</v>
      </c>
      <c r="I528" s="2" t="str">
        <f>_xlfn.XLOOKUP(F528,DeparaIMG!D:D,DeparaIMG!F:F,,0)</f>
        <v>SK269.png</v>
      </c>
    </row>
    <row r="529" spans="1:9" x14ac:dyDescent="0.25">
      <c r="A529" s="2" t="s">
        <v>99</v>
      </c>
      <c r="B529" s="2" t="s">
        <v>62</v>
      </c>
      <c r="C529" t="s">
        <v>89</v>
      </c>
      <c r="D529" t="s">
        <v>25</v>
      </c>
      <c r="E529" s="2">
        <v>2</v>
      </c>
      <c r="F529" t="s">
        <v>66</v>
      </c>
      <c r="G529">
        <v>3.29</v>
      </c>
      <c r="H529">
        <v>2.99</v>
      </c>
      <c r="I529" s="2" t="str">
        <f>_xlfn.XLOOKUP(F529,DeparaIMG!D:D,DeparaIMG!F:F,,0)</f>
        <v>SK269.png</v>
      </c>
    </row>
    <row r="530" spans="1:9" x14ac:dyDescent="0.25">
      <c r="A530" s="2" t="s">
        <v>99</v>
      </c>
      <c r="B530" s="2" t="s">
        <v>62</v>
      </c>
      <c r="C530" t="s">
        <v>90</v>
      </c>
      <c r="D530" t="s">
        <v>25</v>
      </c>
      <c r="E530" s="2">
        <v>2</v>
      </c>
      <c r="F530" t="s">
        <v>66</v>
      </c>
      <c r="G530">
        <v>3.29</v>
      </c>
      <c r="H530">
        <v>2.99</v>
      </c>
      <c r="I530" s="2" t="str">
        <f>_xlfn.XLOOKUP(F530,DeparaIMG!D:D,DeparaIMG!F:F,,0)</f>
        <v>SK269.png</v>
      </c>
    </row>
    <row r="531" spans="1:9" x14ac:dyDescent="0.25">
      <c r="A531" s="2" t="s">
        <v>99</v>
      </c>
      <c r="B531" s="2" t="s">
        <v>62</v>
      </c>
      <c r="C531" t="s">
        <v>90</v>
      </c>
      <c r="D531" t="s">
        <v>25</v>
      </c>
      <c r="E531" s="2">
        <v>2</v>
      </c>
      <c r="F531" t="s">
        <v>67</v>
      </c>
      <c r="G531">
        <v>3.39</v>
      </c>
      <c r="H531">
        <v>2.99</v>
      </c>
      <c r="I531" s="2" t="str">
        <f>_xlfn.XLOOKUP(F531,DeparaIMG!D:D,DeparaIMG!F:F,,0)</f>
        <v>AP269.png</v>
      </c>
    </row>
    <row r="532" spans="1:9" x14ac:dyDescent="0.25">
      <c r="A532" s="2" t="s">
        <v>99</v>
      </c>
      <c r="B532" s="2" t="s">
        <v>62</v>
      </c>
      <c r="C532" t="s">
        <v>90</v>
      </c>
      <c r="D532" t="s">
        <v>26</v>
      </c>
      <c r="E532" s="2">
        <v>2</v>
      </c>
      <c r="F532" t="s">
        <v>67</v>
      </c>
      <c r="G532">
        <v>3.39</v>
      </c>
      <c r="H532">
        <v>2.99</v>
      </c>
      <c r="I532" s="2" t="str">
        <f>_xlfn.XLOOKUP(F532,DeparaIMG!D:D,DeparaIMG!F:F,,0)</f>
        <v>AP269.png</v>
      </c>
    </row>
    <row r="533" spans="1:9" x14ac:dyDescent="0.25">
      <c r="A533" s="2" t="s">
        <v>99</v>
      </c>
      <c r="B533" s="2" t="s">
        <v>62</v>
      </c>
      <c r="C533" t="s">
        <v>89</v>
      </c>
      <c r="D533" t="s">
        <v>26</v>
      </c>
      <c r="E533" s="2">
        <v>2</v>
      </c>
      <c r="F533" t="s">
        <v>66</v>
      </c>
      <c r="G533">
        <v>3.29</v>
      </c>
      <c r="H533">
        <v>2.99</v>
      </c>
      <c r="I533" s="2" t="str">
        <f>_xlfn.XLOOKUP(F533,DeparaIMG!D:D,DeparaIMG!F:F,,0)</f>
        <v>SK269.png</v>
      </c>
    </row>
    <row r="534" spans="1:9" x14ac:dyDescent="0.25">
      <c r="A534" s="2" t="s">
        <v>99</v>
      </c>
      <c r="B534" s="2" t="s">
        <v>62</v>
      </c>
      <c r="C534" t="s">
        <v>90</v>
      </c>
      <c r="D534" t="s">
        <v>26</v>
      </c>
      <c r="E534" s="2">
        <v>2</v>
      </c>
      <c r="F534" t="s">
        <v>66</v>
      </c>
      <c r="G534">
        <v>3.29</v>
      </c>
      <c r="H534">
        <v>2.99</v>
      </c>
      <c r="I534" s="2" t="str">
        <f>_xlfn.XLOOKUP(F534,DeparaIMG!D:D,DeparaIMG!F:F,,0)</f>
        <v>SK269.png</v>
      </c>
    </row>
    <row r="535" spans="1:9" x14ac:dyDescent="0.25">
      <c r="A535" s="2" t="s">
        <v>99</v>
      </c>
      <c r="B535" s="2" t="s">
        <v>62</v>
      </c>
      <c r="C535" t="s">
        <v>112</v>
      </c>
      <c r="D535" t="s">
        <v>25</v>
      </c>
      <c r="E535" s="2">
        <v>1</v>
      </c>
      <c r="F535" t="s">
        <v>69</v>
      </c>
      <c r="G535">
        <v>3.39</v>
      </c>
      <c r="H535">
        <v>2.99</v>
      </c>
      <c r="I535" s="2" t="str">
        <f>_xlfn.XLOOKUP(F535,DeparaIMG!D:D,DeparaIMG!F:F,,0)</f>
        <v>BUD269.png</v>
      </c>
    </row>
    <row r="536" spans="1:9" x14ac:dyDescent="0.25">
      <c r="A536" s="2" t="s">
        <v>99</v>
      </c>
      <c r="B536" s="2" t="s">
        <v>62</v>
      </c>
      <c r="C536" t="s">
        <v>29</v>
      </c>
      <c r="D536" t="s">
        <v>25</v>
      </c>
      <c r="E536" s="2">
        <v>1</v>
      </c>
      <c r="F536" t="s">
        <v>69</v>
      </c>
      <c r="G536">
        <v>3.39</v>
      </c>
      <c r="H536">
        <v>2.99</v>
      </c>
      <c r="I536" s="2" t="str">
        <f>_xlfn.XLOOKUP(F536,DeparaIMG!D:D,DeparaIMG!F:F,,0)</f>
        <v>BUD269.png</v>
      </c>
    </row>
    <row r="537" spans="1:9" x14ac:dyDescent="0.25">
      <c r="A537" s="2" t="s">
        <v>99</v>
      </c>
      <c r="B537" s="2" t="s">
        <v>62</v>
      </c>
      <c r="C537" t="s">
        <v>87</v>
      </c>
      <c r="D537" t="s">
        <v>25</v>
      </c>
      <c r="E537" s="2">
        <v>1</v>
      </c>
      <c r="F537" t="s">
        <v>69</v>
      </c>
      <c r="G537">
        <v>3.39</v>
      </c>
      <c r="H537">
        <v>2.99</v>
      </c>
      <c r="I537" s="2" t="str">
        <f>_xlfn.XLOOKUP(F537,DeparaIMG!D:D,DeparaIMG!F:F,,0)</f>
        <v>BUD269.png</v>
      </c>
    </row>
    <row r="538" spans="1:9" x14ac:dyDescent="0.25">
      <c r="A538" s="2" t="s">
        <v>99</v>
      </c>
      <c r="B538" s="2" t="s">
        <v>62</v>
      </c>
      <c r="C538" t="s">
        <v>87</v>
      </c>
      <c r="D538" t="s">
        <v>26</v>
      </c>
      <c r="E538" s="2">
        <v>1</v>
      </c>
      <c r="F538" t="s">
        <v>69</v>
      </c>
      <c r="G538">
        <v>3.39</v>
      </c>
      <c r="H538">
        <v>2.99</v>
      </c>
      <c r="I538" s="2" t="str">
        <f>_xlfn.XLOOKUP(F538,DeparaIMG!D:D,DeparaIMG!F:F,,0)</f>
        <v>BUD269.png</v>
      </c>
    </row>
    <row r="539" spans="1:9" x14ac:dyDescent="0.25">
      <c r="A539" s="2" t="s">
        <v>99</v>
      </c>
      <c r="B539" s="2" t="s">
        <v>62</v>
      </c>
      <c r="C539" t="s">
        <v>113</v>
      </c>
      <c r="D539" t="s">
        <v>25</v>
      </c>
      <c r="E539" s="2">
        <v>1</v>
      </c>
      <c r="F539" t="s">
        <v>69</v>
      </c>
      <c r="G539">
        <v>3.39</v>
      </c>
      <c r="H539">
        <v>2.99</v>
      </c>
      <c r="I539" s="2" t="str">
        <f>_xlfn.XLOOKUP(F539,DeparaIMG!D:D,DeparaIMG!F:F,,0)</f>
        <v>BUD269.png</v>
      </c>
    </row>
    <row r="540" spans="1:9" x14ac:dyDescent="0.25">
      <c r="A540" s="2" t="s">
        <v>99</v>
      </c>
      <c r="B540" s="2" t="s">
        <v>62</v>
      </c>
      <c r="C540" t="s">
        <v>88</v>
      </c>
      <c r="D540" t="s">
        <v>25</v>
      </c>
      <c r="E540" s="2">
        <v>1</v>
      </c>
      <c r="F540" t="s">
        <v>69</v>
      </c>
      <c r="G540">
        <v>3.49</v>
      </c>
      <c r="H540">
        <v>3.09</v>
      </c>
      <c r="I540" s="2" t="str">
        <f>_xlfn.XLOOKUP(F540,DeparaIMG!D:D,DeparaIMG!F:F,,0)</f>
        <v>BUD269.png</v>
      </c>
    </row>
    <row r="541" spans="1:9" x14ac:dyDescent="0.25">
      <c r="A541" s="2" t="s">
        <v>99</v>
      </c>
      <c r="B541" s="2" t="s">
        <v>62</v>
      </c>
      <c r="C541" t="s">
        <v>88</v>
      </c>
      <c r="D541" t="s">
        <v>26</v>
      </c>
      <c r="E541" s="2">
        <v>1</v>
      </c>
      <c r="F541" t="s">
        <v>69</v>
      </c>
      <c r="G541">
        <v>3.49</v>
      </c>
      <c r="H541">
        <v>3.09</v>
      </c>
      <c r="I541" s="2" t="str">
        <f>_xlfn.XLOOKUP(F541,DeparaIMG!D:D,DeparaIMG!F:F,,0)</f>
        <v>BUD269.png</v>
      </c>
    </row>
    <row r="542" spans="1:9" x14ac:dyDescent="0.25">
      <c r="A542" s="2" t="s">
        <v>99</v>
      </c>
      <c r="B542" s="2" t="s">
        <v>62</v>
      </c>
      <c r="C542" t="s">
        <v>89</v>
      </c>
      <c r="D542" t="s">
        <v>25</v>
      </c>
      <c r="E542" s="2">
        <v>1</v>
      </c>
      <c r="F542" t="s">
        <v>69</v>
      </c>
      <c r="G542">
        <v>3.49</v>
      </c>
      <c r="H542">
        <v>3.09</v>
      </c>
      <c r="I542" s="2" t="str">
        <f>_xlfn.XLOOKUP(F542,DeparaIMG!D:D,DeparaIMG!F:F,,0)</f>
        <v>BUD269.png</v>
      </c>
    </row>
    <row r="543" spans="1:9" x14ac:dyDescent="0.25">
      <c r="A543" s="2" t="s">
        <v>99</v>
      </c>
      <c r="B543" s="2" t="s">
        <v>62</v>
      </c>
      <c r="C543" t="s">
        <v>89</v>
      </c>
      <c r="D543" t="s">
        <v>26</v>
      </c>
      <c r="E543" s="2">
        <v>1</v>
      </c>
      <c r="F543" t="s">
        <v>69</v>
      </c>
      <c r="G543">
        <v>3.49</v>
      </c>
      <c r="H543">
        <v>3.09</v>
      </c>
      <c r="I543" s="2" t="str">
        <f>_xlfn.XLOOKUP(F543,DeparaIMG!D:D,DeparaIMG!F:F,,0)</f>
        <v>BUD269.png</v>
      </c>
    </row>
    <row r="544" spans="1:9" x14ac:dyDescent="0.25">
      <c r="A544" s="2" t="s">
        <v>99</v>
      </c>
      <c r="B544" s="2" t="s">
        <v>62</v>
      </c>
      <c r="C544" t="s">
        <v>90</v>
      </c>
      <c r="D544" t="s">
        <v>26</v>
      </c>
      <c r="E544" s="2">
        <v>1</v>
      </c>
      <c r="F544" t="s">
        <v>69</v>
      </c>
      <c r="G544">
        <v>3.49</v>
      </c>
      <c r="H544">
        <v>3.09</v>
      </c>
      <c r="I544" s="2" t="str">
        <f>_xlfn.XLOOKUP(F544,DeparaIMG!D:D,DeparaIMG!F:F,,0)</f>
        <v>BUD269.png</v>
      </c>
    </row>
    <row r="545" spans="1:9" x14ac:dyDescent="0.25">
      <c r="A545" s="2" t="s">
        <v>99</v>
      </c>
      <c r="B545" s="2" t="s">
        <v>62</v>
      </c>
      <c r="C545" t="s">
        <v>90</v>
      </c>
      <c r="D545" t="s">
        <v>25</v>
      </c>
      <c r="E545" s="2">
        <v>1</v>
      </c>
      <c r="F545" t="s">
        <v>69</v>
      </c>
      <c r="G545">
        <v>3.49</v>
      </c>
      <c r="H545">
        <v>3.09</v>
      </c>
      <c r="I545" s="2" t="str">
        <f>_xlfn.XLOOKUP(F545,DeparaIMG!D:D,DeparaIMG!F:F,,0)</f>
        <v>BUD269.png</v>
      </c>
    </row>
    <row r="546" spans="1:9" x14ac:dyDescent="0.25">
      <c r="A546" s="2" t="s">
        <v>99</v>
      </c>
      <c r="B546" s="2" t="s">
        <v>62</v>
      </c>
      <c r="C546" t="s">
        <v>113</v>
      </c>
      <c r="D546" t="s">
        <v>26</v>
      </c>
      <c r="E546" s="2">
        <v>1</v>
      </c>
      <c r="F546" t="s">
        <v>71</v>
      </c>
      <c r="G546">
        <v>3.59</v>
      </c>
      <c r="H546">
        <v>3.19</v>
      </c>
      <c r="I546" s="2" t="str">
        <f>_xlfn.XLOOKUP(F546,DeparaIMG!D:D,DeparaIMG!F:F,,0)</f>
        <v>BC350.png</v>
      </c>
    </row>
    <row r="547" spans="1:9" x14ac:dyDescent="0.25">
      <c r="A547" s="2" t="s">
        <v>99</v>
      </c>
      <c r="B547" s="2" t="s">
        <v>62</v>
      </c>
      <c r="C547" t="s">
        <v>112</v>
      </c>
      <c r="D547" t="s">
        <v>25</v>
      </c>
      <c r="E547" s="2">
        <v>1</v>
      </c>
      <c r="F547" t="s">
        <v>70</v>
      </c>
      <c r="G547">
        <v>3.69</v>
      </c>
      <c r="H547">
        <v>3.19</v>
      </c>
      <c r="I547" s="2" t="str">
        <f>_xlfn.XLOOKUP(F547,DeparaIMG!D:D,DeparaIMG!F:F,,0)</f>
        <v>BC0350.png</v>
      </c>
    </row>
    <row r="548" spans="1:9" x14ac:dyDescent="0.25">
      <c r="A548" s="2" t="s">
        <v>99</v>
      </c>
      <c r="B548" s="2" t="s">
        <v>62</v>
      </c>
      <c r="C548" t="s">
        <v>112</v>
      </c>
      <c r="D548" t="s">
        <v>25</v>
      </c>
      <c r="E548" s="2">
        <v>2</v>
      </c>
      <c r="F548" t="s">
        <v>70</v>
      </c>
      <c r="G548">
        <v>3.69</v>
      </c>
      <c r="H548">
        <v>3.19</v>
      </c>
      <c r="I548" s="2" t="str">
        <f>_xlfn.XLOOKUP(F548,DeparaIMG!D:D,DeparaIMG!F:F,,0)</f>
        <v>BC0350.png</v>
      </c>
    </row>
    <row r="549" spans="1:9" x14ac:dyDescent="0.25">
      <c r="A549" s="2" t="s">
        <v>99</v>
      </c>
      <c r="B549" s="2" t="s">
        <v>62</v>
      </c>
      <c r="C549" t="s">
        <v>29</v>
      </c>
      <c r="D549" t="s">
        <v>25</v>
      </c>
      <c r="E549" s="2">
        <v>1</v>
      </c>
      <c r="F549" t="s">
        <v>70</v>
      </c>
      <c r="G549">
        <v>3.69</v>
      </c>
      <c r="H549">
        <v>3.19</v>
      </c>
      <c r="I549" s="2" t="str">
        <f>_xlfn.XLOOKUP(F549,DeparaIMG!D:D,DeparaIMG!F:F,,0)</f>
        <v>BC0350.png</v>
      </c>
    </row>
    <row r="550" spans="1:9" x14ac:dyDescent="0.25">
      <c r="A550" s="2" t="s">
        <v>99</v>
      </c>
      <c r="B550" s="2" t="s">
        <v>62</v>
      </c>
      <c r="C550" t="s">
        <v>29</v>
      </c>
      <c r="D550" t="s">
        <v>25</v>
      </c>
      <c r="E550" s="2">
        <v>2</v>
      </c>
      <c r="F550" t="s">
        <v>70</v>
      </c>
      <c r="G550">
        <v>3.69</v>
      </c>
      <c r="H550">
        <v>3.19</v>
      </c>
      <c r="I550" s="2" t="str">
        <f>_xlfn.XLOOKUP(F550,DeparaIMG!D:D,DeparaIMG!F:F,,0)</f>
        <v>BC0350.png</v>
      </c>
    </row>
    <row r="551" spans="1:9" x14ac:dyDescent="0.25">
      <c r="A551" s="2" t="s">
        <v>99</v>
      </c>
      <c r="B551" s="2" t="s">
        <v>62</v>
      </c>
      <c r="C551" t="s">
        <v>88</v>
      </c>
      <c r="D551" t="s">
        <v>25</v>
      </c>
      <c r="E551" s="2">
        <v>1</v>
      </c>
      <c r="F551" t="s">
        <v>70</v>
      </c>
      <c r="G551">
        <v>3.69</v>
      </c>
      <c r="H551">
        <v>3.19</v>
      </c>
      <c r="I551" s="2" t="str">
        <f>_xlfn.XLOOKUP(F551,DeparaIMG!D:D,DeparaIMG!F:F,,0)</f>
        <v>BC0350.png</v>
      </c>
    </row>
    <row r="552" spans="1:9" x14ac:dyDescent="0.25">
      <c r="A552" s="2" t="s">
        <v>99</v>
      </c>
      <c r="B552" s="2" t="s">
        <v>62</v>
      </c>
      <c r="C552" t="s">
        <v>88</v>
      </c>
      <c r="D552" t="s">
        <v>25</v>
      </c>
      <c r="E552" s="2">
        <v>2</v>
      </c>
      <c r="F552" t="s">
        <v>70</v>
      </c>
      <c r="G552">
        <v>3.69</v>
      </c>
      <c r="H552">
        <v>3.19</v>
      </c>
      <c r="I552" s="2" t="str">
        <f>_xlfn.XLOOKUP(F552,DeparaIMG!D:D,DeparaIMG!F:F,,0)</f>
        <v>BC0350.png</v>
      </c>
    </row>
    <row r="553" spans="1:9" x14ac:dyDescent="0.25">
      <c r="A553" s="2" t="s">
        <v>99</v>
      </c>
      <c r="B553" s="2" t="s">
        <v>62</v>
      </c>
      <c r="C553" t="s">
        <v>113</v>
      </c>
      <c r="D553" t="s">
        <v>25</v>
      </c>
      <c r="E553" s="2">
        <v>1</v>
      </c>
      <c r="F553" t="s">
        <v>70</v>
      </c>
      <c r="G553">
        <v>3.69</v>
      </c>
      <c r="H553">
        <v>3.19</v>
      </c>
      <c r="I553" s="2" t="str">
        <f>_xlfn.XLOOKUP(F553,DeparaIMG!D:D,DeparaIMG!F:F,,0)</f>
        <v>BC0350.png</v>
      </c>
    </row>
    <row r="554" spans="1:9" x14ac:dyDescent="0.25">
      <c r="A554" s="2" t="s">
        <v>99</v>
      </c>
      <c r="B554" s="2" t="s">
        <v>62</v>
      </c>
      <c r="C554" t="s">
        <v>113</v>
      </c>
      <c r="D554" t="s">
        <v>25</v>
      </c>
      <c r="E554" s="2">
        <v>2</v>
      </c>
      <c r="F554" t="s">
        <v>70</v>
      </c>
      <c r="G554">
        <v>3.69</v>
      </c>
      <c r="H554">
        <v>3.19</v>
      </c>
      <c r="I554" s="2" t="str">
        <f>_xlfn.XLOOKUP(F554,DeparaIMG!D:D,DeparaIMG!F:F,,0)</f>
        <v>BC0350.png</v>
      </c>
    </row>
    <row r="555" spans="1:9" x14ac:dyDescent="0.25">
      <c r="A555" s="2" t="s">
        <v>99</v>
      </c>
      <c r="B555" s="2" t="s">
        <v>62</v>
      </c>
      <c r="C555" t="s">
        <v>89</v>
      </c>
      <c r="D555" t="s">
        <v>25</v>
      </c>
      <c r="E555" s="2">
        <v>1</v>
      </c>
      <c r="F555" t="s">
        <v>70</v>
      </c>
      <c r="G555">
        <v>3.69</v>
      </c>
      <c r="H555">
        <v>3.19</v>
      </c>
      <c r="I555" s="2" t="str">
        <f>_xlfn.XLOOKUP(F555,DeparaIMG!D:D,DeparaIMG!F:F,,0)</f>
        <v>BC0350.png</v>
      </c>
    </row>
    <row r="556" spans="1:9" x14ac:dyDescent="0.25">
      <c r="A556" s="2" t="s">
        <v>99</v>
      </c>
      <c r="B556" s="2" t="s">
        <v>62</v>
      </c>
      <c r="C556" t="s">
        <v>89</v>
      </c>
      <c r="D556" t="s">
        <v>25</v>
      </c>
      <c r="E556" s="2">
        <v>2</v>
      </c>
      <c r="F556" t="s">
        <v>70</v>
      </c>
      <c r="G556">
        <v>3.69</v>
      </c>
      <c r="H556">
        <v>3.19</v>
      </c>
      <c r="I556" s="2" t="str">
        <f>_xlfn.XLOOKUP(F556,DeparaIMG!D:D,DeparaIMG!F:F,,0)</f>
        <v>BC0350.png</v>
      </c>
    </row>
    <row r="557" spans="1:9" x14ac:dyDescent="0.25">
      <c r="A557" s="2" t="s">
        <v>99</v>
      </c>
      <c r="B557" s="2" t="s">
        <v>62</v>
      </c>
      <c r="C557" t="s">
        <v>90</v>
      </c>
      <c r="D557" t="s">
        <v>25</v>
      </c>
      <c r="E557" s="2">
        <v>1</v>
      </c>
      <c r="F557" t="s">
        <v>70</v>
      </c>
      <c r="G557">
        <v>3.69</v>
      </c>
      <c r="H557">
        <v>3.19</v>
      </c>
      <c r="I557" s="2" t="str">
        <f>_xlfn.XLOOKUP(F557,DeparaIMG!D:D,DeparaIMG!F:F,,0)</f>
        <v>BC0350.png</v>
      </c>
    </row>
    <row r="558" spans="1:9" x14ac:dyDescent="0.25">
      <c r="A558" s="2" t="s">
        <v>99</v>
      </c>
      <c r="B558" s="2" t="s">
        <v>62</v>
      </c>
      <c r="C558" t="s">
        <v>90</v>
      </c>
      <c r="D558" t="s">
        <v>25</v>
      </c>
      <c r="E558" s="2">
        <v>2</v>
      </c>
      <c r="F558" t="s">
        <v>70</v>
      </c>
      <c r="G558">
        <v>3.69</v>
      </c>
      <c r="H558">
        <v>3.19</v>
      </c>
      <c r="I558" s="2" t="str">
        <f>_xlfn.XLOOKUP(F558,DeparaIMG!D:D,DeparaIMG!F:F,,0)</f>
        <v>BC0350.png</v>
      </c>
    </row>
    <row r="559" spans="1:9" x14ac:dyDescent="0.25">
      <c r="A559" s="2" t="s">
        <v>99</v>
      </c>
      <c r="B559" s="2" t="s">
        <v>62</v>
      </c>
      <c r="C559" t="s">
        <v>87</v>
      </c>
      <c r="D559" t="s">
        <v>25</v>
      </c>
      <c r="E559" s="2">
        <v>1</v>
      </c>
      <c r="F559" t="s">
        <v>70</v>
      </c>
      <c r="G559">
        <v>3.69</v>
      </c>
      <c r="H559">
        <v>3.19</v>
      </c>
      <c r="I559" s="2" t="str">
        <f>_xlfn.XLOOKUP(F559,DeparaIMG!D:D,DeparaIMG!F:F,,0)</f>
        <v>BC0350.png</v>
      </c>
    </row>
    <row r="560" spans="1:9" x14ac:dyDescent="0.25">
      <c r="A560" s="2" t="s">
        <v>99</v>
      </c>
      <c r="B560" s="2" t="s">
        <v>62</v>
      </c>
      <c r="C560" t="s">
        <v>87</v>
      </c>
      <c r="D560" t="s">
        <v>25</v>
      </c>
      <c r="E560" s="2">
        <v>2</v>
      </c>
      <c r="F560" t="s">
        <v>70</v>
      </c>
      <c r="G560">
        <v>3.69</v>
      </c>
      <c r="H560">
        <v>3.19</v>
      </c>
      <c r="I560" s="2" t="str">
        <f>_xlfn.XLOOKUP(F560,DeparaIMG!D:D,DeparaIMG!F:F,,0)</f>
        <v>BC0350.png</v>
      </c>
    </row>
    <row r="561" spans="1:9" x14ac:dyDescent="0.25">
      <c r="A561" s="2" t="s">
        <v>99</v>
      </c>
      <c r="B561" s="2" t="s">
        <v>62</v>
      </c>
      <c r="C561" t="s">
        <v>29</v>
      </c>
      <c r="D561" t="s">
        <v>26</v>
      </c>
      <c r="E561" s="2">
        <v>1</v>
      </c>
      <c r="F561" t="s">
        <v>71</v>
      </c>
      <c r="G561">
        <v>3.79</v>
      </c>
      <c r="H561">
        <v>3.29</v>
      </c>
      <c r="I561" s="2" t="str">
        <f>_xlfn.XLOOKUP(F561,DeparaIMG!D:D,DeparaIMG!F:F,,0)</f>
        <v>BC350.png</v>
      </c>
    </row>
    <row r="562" spans="1:9" x14ac:dyDescent="0.25">
      <c r="A562" s="2" t="s">
        <v>99</v>
      </c>
      <c r="B562" s="2" t="s">
        <v>62</v>
      </c>
      <c r="C562" t="s">
        <v>112</v>
      </c>
      <c r="D562" t="s">
        <v>26</v>
      </c>
      <c r="E562" s="2">
        <v>2</v>
      </c>
      <c r="F562" t="s">
        <v>73</v>
      </c>
      <c r="G562">
        <v>3.99</v>
      </c>
      <c r="H562">
        <v>3.59</v>
      </c>
      <c r="I562" s="2" t="str">
        <f>_xlfn.XLOOKUP(F562,DeparaIMG!D:D,DeparaIMG!F:F,,0)</f>
        <v>AP350.png</v>
      </c>
    </row>
    <row r="563" spans="1:9" x14ac:dyDescent="0.25">
      <c r="A563" s="2" t="s">
        <v>99</v>
      </c>
      <c r="B563" s="2" t="s">
        <v>62</v>
      </c>
      <c r="C563" t="s">
        <v>29</v>
      </c>
      <c r="D563" t="s">
        <v>26</v>
      </c>
      <c r="E563" s="2">
        <v>2</v>
      </c>
      <c r="F563" t="s">
        <v>73</v>
      </c>
      <c r="G563">
        <v>3.99</v>
      </c>
      <c r="H563">
        <v>3.59</v>
      </c>
      <c r="I563" s="2" t="str">
        <f>_xlfn.XLOOKUP(F563,DeparaIMG!D:D,DeparaIMG!F:F,,0)</f>
        <v>AP350.png</v>
      </c>
    </row>
    <row r="564" spans="1:9" x14ac:dyDescent="0.25">
      <c r="A564" s="2" t="s">
        <v>99</v>
      </c>
      <c r="B564" s="2" t="s">
        <v>62</v>
      </c>
      <c r="C564" t="s">
        <v>112</v>
      </c>
      <c r="D564" t="s">
        <v>26</v>
      </c>
      <c r="E564" s="2">
        <v>1</v>
      </c>
      <c r="F564" t="s">
        <v>70</v>
      </c>
      <c r="G564">
        <v>3.99</v>
      </c>
      <c r="H564">
        <v>3.49</v>
      </c>
      <c r="I564" s="2" t="str">
        <f>_xlfn.XLOOKUP(F564,DeparaIMG!D:D,DeparaIMG!F:F,,0)</f>
        <v>BC0350.png</v>
      </c>
    </row>
    <row r="565" spans="1:9" x14ac:dyDescent="0.25">
      <c r="A565" s="2" t="s">
        <v>99</v>
      </c>
      <c r="B565" s="2" t="s">
        <v>62</v>
      </c>
      <c r="C565" t="s">
        <v>112</v>
      </c>
      <c r="D565" t="s">
        <v>26</v>
      </c>
      <c r="E565" s="2">
        <v>2</v>
      </c>
      <c r="F565" t="s">
        <v>70</v>
      </c>
      <c r="G565">
        <v>3.99</v>
      </c>
      <c r="H565">
        <v>3.49</v>
      </c>
      <c r="I565" s="2" t="str">
        <f>_xlfn.XLOOKUP(F565,DeparaIMG!D:D,DeparaIMG!F:F,,0)</f>
        <v>BC0350.png</v>
      </c>
    </row>
    <row r="566" spans="1:9" x14ac:dyDescent="0.25">
      <c r="A566" s="2" t="s">
        <v>99</v>
      </c>
      <c r="B566" s="2" t="s">
        <v>62</v>
      </c>
      <c r="C566" t="s">
        <v>87</v>
      </c>
      <c r="D566" t="s">
        <v>26</v>
      </c>
      <c r="E566" s="2">
        <v>1</v>
      </c>
      <c r="F566" t="s">
        <v>70</v>
      </c>
      <c r="G566">
        <v>3.99</v>
      </c>
      <c r="H566">
        <v>3.49</v>
      </c>
      <c r="I566" s="2" t="str">
        <f>_xlfn.XLOOKUP(F566,DeparaIMG!D:D,DeparaIMG!F:F,,0)</f>
        <v>BC0350.png</v>
      </c>
    </row>
    <row r="567" spans="1:9" x14ac:dyDescent="0.25">
      <c r="A567" s="2" t="s">
        <v>99</v>
      </c>
      <c r="B567" s="2" t="s">
        <v>62</v>
      </c>
      <c r="C567" t="s">
        <v>87</v>
      </c>
      <c r="D567" t="s">
        <v>26</v>
      </c>
      <c r="E567" s="2">
        <v>2</v>
      </c>
      <c r="F567" t="s">
        <v>70</v>
      </c>
      <c r="G567">
        <v>3.99</v>
      </c>
      <c r="H567">
        <v>3.49</v>
      </c>
      <c r="I567" s="2" t="str">
        <f>_xlfn.XLOOKUP(F567,DeparaIMG!D:D,DeparaIMG!F:F,,0)</f>
        <v>BC0350.png</v>
      </c>
    </row>
    <row r="568" spans="1:9" x14ac:dyDescent="0.25">
      <c r="A568" s="2" t="s">
        <v>99</v>
      </c>
      <c r="B568" s="2" t="s">
        <v>62</v>
      </c>
      <c r="C568" t="s">
        <v>112</v>
      </c>
      <c r="D568" t="s">
        <v>25</v>
      </c>
      <c r="E568" s="2">
        <v>2</v>
      </c>
      <c r="F568" t="s">
        <v>72</v>
      </c>
      <c r="G568">
        <v>3.89</v>
      </c>
      <c r="H568">
        <v>3.49</v>
      </c>
      <c r="I568" s="2" t="str">
        <f>_xlfn.XLOOKUP(F568,DeparaIMG!D:D,DeparaIMG!F:F,,0)</f>
        <v>ORI269.png</v>
      </c>
    </row>
    <row r="569" spans="1:9" x14ac:dyDescent="0.25">
      <c r="A569" s="2" t="s">
        <v>99</v>
      </c>
      <c r="B569" s="2" t="s">
        <v>62</v>
      </c>
      <c r="C569" t="s">
        <v>112</v>
      </c>
      <c r="D569" t="s">
        <v>26</v>
      </c>
      <c r="E569" s="2">
        <v>2</v>
      </c>
      <c r="F569" t="s">
        <v>72</v>
      </c>
      <c r="G569">
        <v>3.89</v>
      </c>
      <c r="H569">
        <v>3.49</v>
      </c>
      <c r="I569" s="2" t="str">
        <f>_xlfn.XLOOKUP(F569,DeparaIMG!D:D,DeparaIMG!F:F,,0)</f>
        <v>ORI269.png</v>
      </c>
    </row>
    <row r="570" spans="1:9" x14ac:dyDescent="0.25">
      <c r="A570" s="2" t="s">
        <v>99</v>
      </c>
      <c r="B570" s="2" t="s">
        <v>62</v>
      </c>
      <c r="C570" t="s">
        <v>29</v>
      </c>
      <c r="D570" t="s">
        <v>25</v>
      </c>
      <c r="E570" s="2">
        <v>2</v>
      </c>
      <c r="F570" t="s">
        <v>72</v>
      </c>
      <c r="G570">
        <v>3.89</v>
      </c>
      <c r="H570">
        <v>3.49</v>
      </c>
      <c r="I570" s="2" t="str">
        <f>_xlfn.XLOOKUP(F570,DeparaIMG!D:D,DeparaIMG!F:F,,0)</f>
        <v>ORI269.png</v>
      </c>
    </row>
    <row r="571" spans="1:9" x14ac:dyDescent="0.25">
      <c r="A571" s="2" t="s">
        <v>99</v>
      </c>
      <c r="B571" s="2" t="s">
        <v>62</v>
      </c>
      <c r="C571" t="s">
        <v>88</v>
      </c>
      <c r="D571" t="s">
        <v>25</v>
      </c>
      <c r="E571" s="2">
        <v>2</v>
      </c>
      <c r="F571" t="s">
        <v>72</v>
      </c>
      <c r="G571">
        <v>3.89</v>
      </c>
      <c r="H571">
        <v>3.49</v>
      </c>
      <c r="I571" s="2" t="str">
        <f>_xlfn.XLOOKUP(F571,DeparaIMG!D:D,DeparaIMG!F:F,,0)</f>
        <v>ORI269.png</v>
      </c>
    </row>
    <row r="572" spans="1:9" x14ac:dyDescent="0.25">
      <c r="A572" s="2" t="s">
        <v>99</v>
      </c>
      <c r="B572" s="2" t="s">
        <v>62</v>
      </c>
      <c r="C572" t="s">
        <v>88</v>
      </c>
      <c r="D572" t="s">
        <v>26</v>
      </c>
      <c r="E572" s="2">
        <v>2</v>
      </c>
      <c r="F572" t="s">
        <v>72</v>
      </c>
      <c r="G572">
        <v>3.89</v>
      </c>
      <c r="H572">
        <v>3.49</v>
      </c>
      <c r="I572" s="2" t="str">
        <f>_xlfn.XLOOKUP(F572,DeparaIMG!D:D,DeparaIMG!F:F,,0)</f>
        <v>ORI269.png</v>
      </c>
    </row>
    <row r="573" spans="1:9" x14ac:dyDescent="0.25">
      <c r="A573" s="2" t="s">
        <v>99</v>
      </c>
      <c r="B573" s="2" t="s">
        <v>62</v>
      </c>
      <c r="C573" t="s">
        <v>89</v>
      </c>
      <c r="D573" t="s">
        <v>25</v>
      </c>
      <c r="E573" s="2">
        <v>2</v>
      </c>
      <c r="F573" t="s">
        <v>72</v>
      </c>
      <c r="G573">
        <v>3.89</v>
      </c>
      <c r="H573">
        <v>3.49</v>
      </c>
      <c r="I573" s="2" t="str">
        <f>_xlfn.XLOOKUP(F573,DeparaIMG!D:D,DeparaIMG!F:F,,0)</f>
        <v>ORI269.png</v>
      </c>
    </row>
    <row r="574" spans="1:9" x14ac:dyDescent="0.25">
      <c r="A574" s="2" t="s">
        <v>99</v>
      </c>
      <c r="B574" s="2" t="s">
        <v>62</v>
      </c>
      <c r="C574" t="s">
        <v>90</v>
      </c>
      <c r="D574" t="s">
        <v>25</v>
      </c>
      <c r="E574" s="2">
        <v>2</v>
      </c>
      <c r="F574" t="s">
        <v>72</v>
      </c>
      <c r="G574">
        <v>3.89</v>
      </c>
      <c r="H574">
        <v>3.49</v>
      </c>
      <c r="I574" s="2" t="str">
        <f>_xlfn.XLOOKUP(F574,DeparaIMG!D:D,DeparaIMG!F:F,,0)</f>
        <v>ORI269.png</v>
      </c>
    </row>
    <row r="575" spans="1:9" x14ac:dyDescent="0.25">
      <c r="A575" s="2" t="s">
        <v>99</v>
      </c>
      <c r="B575" s="2" t="s">
        <v>62</v>
      </c>
      <c r="C575" t="s">
        <v>89</v>
      </c>
      <c r="D575" t="s">
        <v>26</v>
      </c>
      <c r="E575" s="2">
        <v>2</v>
      </c>
      <c r="F575" t="s">
        <v>72</v>
      </c>
      <c r="G575">
        <v>3.89</v>
      </c>
      <c r="H575">
        <v>3.49</v>
      </c>
      <c r="I575" s="2" t="str">
        <f>_xlfn.XLOOKUP(F575,DeparaIMG!D:D,DeparaIMG!F:F,,0)</f>
        <v>ORI269.png</v>
      </c>
    </row>
    <row r="576" spans="1:9" x14ac:dyDescent="0.25">
      <c r="A576" s="2" t="s">
        <v>99</v>
      </c>
      <c r="B576" s="2" t="s">
        <v>62</v>
      </c>
      <c r="C576" t="s">
        <v>90</v>
      </c>
      <c r="D576" t="s">
        <v>26</v>
      </c>
      <c r="E576" s="2">
        <v>2</v>
      </c>
      <c r="F576" t="s">
        <v>72</v>
      </c>
      <c r="G576">
        <v>3.89</v>
      </c>
      <c r="H576">
        <v>3.49</v>
      </c>
      <c r="I576" s="2" t="str">
        <f>_xlfn.XLOOKUP(F576,DeparaIMG!D:D,DeparaIMG!F:F,,0)</f>
        <v>ORI269.png</v>
      </c>
    </row>
    <row r="577" spans="1:9" x14ac:dyDescent="0.25">
      <c r="A577" s="2" t="s">
        <v>99</v>
      </c>
      <c r="B577" s="2" t="s">
        <v>62</v>
      </c>
      <c r="C577" t="s">
        <v>29</v>
      </c>
      <c r="D577" t="s">
        <v>26</v>
      </c>
      <c r="E577" s="2">
        <v>2</v>
      </c>
      <c r="F577" t="s">
        <v>72</v>
      </c>
      <c r="G577">
        <v>3.89</v>
      </c>
      <c r="H577">
        <v>3.49</v>
      </c>
      <c r="I577" s="2" t="str">
        <f>_xlfn.XLOOKUP(F577,DeparaIMG!D:D,DeparaIMG!F:F,,0)</f>
        <v>ORI269.png</v>
      </c>
    </row>
    <row r="578" spans="1:9" x14ac:dyDescent="0.25">
      <c r="A578" s="2" t="s">
        <v>99</v>
      </c>
      <c r="B578" s="2" t="s">
        <v>62</v>
      </c>
      <c r="C578" t="s">
        <v>87</v>
      </c>
      <c r="D578" t="s">
        <v>25</v>
      </c>
      <c r="E578" s="2">
        <v>2</v>
      </c>
      <c r="F578" t="s">
        <v>72</v>
      </c>
      <c r="G578">
        <v>3.89</v>
      </c>
      <c r="H578">
        <v>3.49</v>
      </c>
      <c r="I578" s="2" t="str">
        <f>_xlfn.XLOOKUP(F578,DeparaIMG!D:D,DeparaIMG!F:F,,0)</f>
        <v>ORI269.png</v>
      </c>
    </row>
    <row r="579" spans="1:9" x14ac:dyDescent="0.25">
      <c r="A579" s="2" t="s">
        <v>99</v>
      </c>
      <c r="B579" s="2" t="s">
        <v>62</v>
      </c>
      <c r="C579" t="s">
        <v>87</v>
      </c>
      <c r="D579" t="s">
        <v>26</v>
      </c>
      <c r="E579" s="2">
        <v>2</v>
      </c>
      <c r="F579" t="s">
        <v>72</v>
      </c>
      <c r="G579">
        <v>3.89</v>
      </c>
      <c r="H579">
        <v>3.49</v>
      </c>
      <c r="I579" s="2" t="str">
        <f>_xlfn.XLOOKUP(F579,DeparaIMG!D:D,DeparaIMG!F:F,,0)</f>
        <v>ORI269.png</v>
      </c>
    </row>
    <row r="580" spans="1:9" x14ac:dyDescent="0.25">
      <c r="A580" s="2" t="s">
        <v>99</v>
      </c>
      <c r="B580" s="2" t="s">
        <v>62</v>
      </c>
      <c r="C580" t="s">
        <v>113</v>
      </c>
      <c r="D580" t="s">
        <v>25</v>
      </c>
      <c r="E580" s="2">
        <v>2</v>
      </c>
      <c r="F580" t="s">
        <v>72</v>
      </c>
      <c r="G580">
        <v>3.89</v>
      </c>
      <c r="H580">
        <v>3.49</v>
      </c>
      <c r="I580" s="2" t="str">
        <f>_xlfn.XLOOKUP(F580,DeparaIMG!D:D,DeparaIMG!F:F,,0)</f>
        <v>ORI269.png</v>
      </c>
    </row>
    <row r="581" spans="1:9" x14ac:dyDescent="0.25">
      <c r="A581" s="2" t="s">
        <v>99</v>
      </c>
      <c r="B581" s="2" t="s">
        <v>62</v>
      </c>
      <c r="C581" t="s">
        <v>113</v>
      </c>
      <c r="D581" t="s">
        <v>26</v>
      </c>
      <c r="E581" s="2">
        <v>2</v>
      </c>
      <c r="F581" t="s">
        <v>72</v>
      </c>
      <c r="G581">
        <v>3.89</v>
      </c>
      <c r="H581">
        <v>3.49</v>
      </c>
      <c r="I581" s="2" t="str">
        <f>_xlfn.XLOOKUP(F581,DeparaIMG!D:D,DeparaIMG!F:F,,0)</f>
        <v>ORI269.png</v>
      </c>
    </row>
    <row r="582" spans="1:9" x14ac:dyDescent="0.25">
      <c r="A582" s="2" t="s">
        <v>99</v>
      </c>
      <c r="B582" s="2" t="s">
        <v>62</v>
      </c>
      <c r="C582" t="s">
        <v>29</v>
      </c>
      <c r="D582" t="s">
        <v>26</v>
      </c>
      <c r="E582" s="2">
        <v>1</v>
      </c>
      <c r="F582" t="s">
        <v>70</v>
      </c>
      <c r="G582">
        <v>3.99</v>
      </c>
      <c r="H582">
        <v>3.49</v>
      </c>
      <c r="I582" s="2" t="str">
        <f>_xlfn.XLOOKUP(F582,DeparaIMG!D:D,DeparaIMG!F:F,,0)</f>
        <v>BC0350.png</v>
      </c>
    </row>
    <row r="583" spans="1:9" x14ac:dyDescent="0.25">
      <c r="A583" s="2" t="s">
        <v>99</v>
      </c>
      <c r="B583" s="2" t="s">
        <v>62</v>
      </c>
      <c r="C583" t="s">
        <v>29</v>
      </c>
      <c r="D583" t="s">
        <v>26</v>
      </c>
      <c r="E583" s="2">
        <v>2</v>
      </c>
      <c r="F583" t="s">
        <v>70</v>
      </c>
      <c r="G583">
        <v>3.99</v>
      </c>
      <c r="H583">
        <v>3.49</v>
      </c>
      <c r="I583" s="2" t="str">
        <f>_xlfn.XLOOKUP(F583,DeparaIMG!D:D,DeparaIMG!F:F,,0)</f>
        <v>BC0350.png</v>
      </c>
    </row>
    <row r="584" spans="1:9" x14ac:dyDescent="0.25">
      <c r="A584" s="2" t="s">
        <v>99</v>
      </c>
      <c r="B584" s="2" t="s">
        <v>62</v>
      </c>
      <c r="C584" t="s">
        <v>88</v>
      </c>
      <c r="D584" t="s">
        <v>26</v>
      </c>
      <c r="E584" s="2">
        <v>1</v>
      </c>
      <c r="F584" t="s">
        <v>70</v>
      </c>
      <c r="G584">
        <v>3.99</v>
      </c>
      <c r="H584">
        <v>3.49</v>
      </c>
      <c r="I584" s="2" t="str">
        <f>_xlfn.XLOOKUP(F584,DeparaIMG!D:D,DeparaIMG!F:F,,0)</f>
        <v>BC0350.png</v>
      </c>
    </row>
    <row r="585" spans="1:9" x14ac:dyDescent="0.25">
      <c r="A585" s="2" t="s">
        <v>99</v>
      </c>
      <c r="B585" s="2" t="s">
        <v>62</v>
      </c>
      <c r="C585" t="s">
        <v>88</v>
      </c>
      <c r="D585" t="s">
        <v>26</v>
      </c>
      <c r="E585" s="2">
        <v>2</v>
      </c>
      <c r="F585" t="s">
        <v>70</v>
      </c>
      <c r="G585">
        <v>3.99</v>
      </c>
      <c r="H585">
        <v>3.49</v>
      </c>
      <c r="I585" s="2" t="str">
        <f>_xlfn.XLOOKUP(F585,DeparaIMG!D:D,DeparaIMG!F:F,,0)</f>
        <v>BC0350.png</v>
      </c>
    </row>
    <row r="586" spans="1:9" x14ac:dyDescent="0.25">
      <c r="A586" s="2" t="s">
        <v>99</v>
      </c>
      <c r="B586" s="2" t="s">
        <v>62</v>
      </c>
      <c r="C586" t="s">
        <v>113</v>
      </c>
      <c r="D586" t="s">
        <v>26</v>
      </c>
      <c r="E586" s="2">
        <v>1</v>
      </c>
      <c r="F586" t="s">
        <v>70</v>
      </c>
      <c r="G586">
        <v>3.99</v>
      </c>
      <c r="H586">
        <v>3.49</v>
      </c>
      <c r="I586" s="2" t="str">
        <f>_xlfn.XLOOKUP(F586,DeparaIMG!D:D,DeparaIMG!F:F,,0)</f>
        <v>BC0350.png</v>
      </c>
    </row>
    <row r="587" spans="1:9" x14ac:dyDescent="0.25">
      <c r="A587" s="2" t="s">
        <v>99</v>
      </c>
      <c r="B587" s="2" t="s">
        <v>62</v>
      </c>
      <c r="C587" t="s">
        <v>113</v>
      </c>
      <c r="D587" t="s">
        <v>26</v>
      </c>
      <c r="E587" s="2">
        <v>2</v>
      </c>
      <c r="F587" t="s">
        <v>70</v>
      </c>
      <c r="G587">
        <v>3.99</v>
      </c>
      <c r="H587">
        <v>3.49</v>
      </c>
      <c r="I587" s="2" t="str">
        <f>_xlfn.XLOOKUP(F587,DeparaIMG!D:D,DeparaIMG!F:F,,0)</f>
        <v>BC0350.png</v>
      </c>
    </row>
    <row r="588" spans="1:9" x14ac:dyDescent="0.25">
      <c r="A588" s="2" t="s">
        <v>99</v>
      </c>
      <c r="B588" s="2" t="s">
        <v>62</v>
      </c>
      <c r="C588" t="s">
        <v>90</v>
      </c>
      <c r="D588" t="s">
        <v>26</v>
      </c>
      <c r="E588" s="2">
        <v>1</v>
      </c>
      <c r="F588" t="s">
        <v>70</v>
      </c>
      <c r="G588">
        <v>3.99</v>
      </c>
      <c r="H588">
        <v>3.49</v>
      </c>
      <c r="I588" s="2" t="str">
        <f>_xlfn.XLOOKUP(F588,DeparaIMG!D:D,DeparaIMG!F:F,,0)</f>
        <v>BC0350.png</v>
      </c>
    </row>
    <row r="589" spans="1:9" x14ac:dyDescent="0.25">
      <c r="A589" s="2" t="s">
        <v>99</v>
      </c>
      <c r="B589" s="2" t="s">
        <v>62</v>
      </c>
      <c r="C589" t="s">
        <v>90</v>
      </c>
      <c r="D589" t="s">
        <v>26</v>
      </c>
      <c r="E589" s="2">
        <v>2</v>
      </c>
      <c r="F589" t="s">
        <v>70</v>
      </c>
      <c r="G589">
        <v>3.99</v>
      </c>
      <c r="H589">
        <v>3.49</v>
      </c>
      <c r="I589" s="2" t="str">
        <f>_xlfn.XLOOKUP(F589,DeparaIMG!D:D,DeparaIMG!F:F,,0)</f>
        <v>BC0350.png</v>
      </c>
    </row>
    <row r="590" spans="1:9" x14ac:dyDescent="0.25">
      <c r="A590" s="2" t="s">
        <v>99</v>
      </c>
      <c r="B590" s="2" t="s">
        <v>62</v>
      </c>
      <c r="C590" t="s">
        <v>89</v>
      </c>
      <c r="D590" t="s">
        <v>26</v>
      </c>
      <c r="E590" s="2">
        <v>1</v>
      </c>
      <c r="F590" t="s">
        <v>70</v>
      </c>
      <c r="G590">
        <v>3.99</v>
      </c>
      <c r="H590">
        <v>3.49</v>
      </c>
      <c r="I590" s="2" t="str">
        <f>_xlfn.XLOOKUP(F590,DeparaIMG!D:D,DeparaIMG!F:F,,0)</f>
        <v>BC0350.png</v>
      </c>
    </row>
    <row r="591" spans="1:9" x14ac:dyDescent="0.25">
      <c r="A591" s="2" t="s">
        <v>99</v>
      </c>
      <c r="B591" s="2" t="s">
        <v>62</v>
      </c>
      <c r="C591" t="s">
        <v>89</v>
      </c>
      <c r="D591" t="s">
        <v>26</v>
      </c>
      <c r="E591" s="2">
        <v>2</v>
      </c>
      <c r="F591" t="s">
        <v>70</v>
      </c>
      <c r="G591">
        <v>3.99</v>
      </c>
      <c r="H591">
        <v>3.49</v>
      </c>
      <c r="I591" s="2" t="str">
        <f>_xlfn.XLOOKUP(F591,DeparaIMG!D:D,DeparaIMG!F:F,,0)</f>
        <v>BC0350.png</v>
      </c>
    </row>
    <row r="592" spans="1:9" x14ac:dyDescent="0.25">
      <c r="A592" s="2" t="s">
        <v>99</v>
      </c>
      <c r="B592" s="2" t="s">
        <v>62</v>
      </c>
      <c r="C592" t="s">
        <v>113</v>
      </c>
      <c r="D592" t="s">
        <v>25</v>
      </c>
      <c r="E592" s="2">
        <v>1</v>
      </c>
      <c r="F592" t="s">
        <v>74</v>
      </c>
      <c r="G592">
        <v>4.1900000000000004</v>
      </c>
      <c r="H592">
        <v>3.59</v>
      </c>
      <c r="I592" s="2" t="str">
        <f>_xlfn.XLOOKUP(F592,DeparaIMG!D:D,DeparaIMG!F:F,,0)</f>
        <v>BUDZERO350.png</v>
      </c>
    </row>
    <row r="593" spans="1:9" x14ac:dyDescent="0.25">
      <c r="A593" s="2" t="s">
        <v>99</v>
      </c>
      <c r="B593" s="2" t="s">
        <v>62</v>
      </c>
      <c r="C593" t="s">
        <v>113</v>
      </c>
      <c r="D593" t="s">
        <v>26</v>
      </c>
      <c r="E593" s="2">
        <v>1</v>
      </c>
      <c r="F593" t="s">
        <v>74</v>
      </c>
      <c r="G593">
        <v>4.1900000000000004</v>
      </c>
      <c r="H593">
        <v>3.59</v>
      </c>
      <c r="I593" s="2" t="str">
        <f>_xlfn.XLOOKUP(F593,DeparaIMG!D:D,DeparaIMG!F:F,,0)</f>
        <v>BUDZERO350.png</v>
      </c>
    </row>
    <row r="594" spans="1:9" x14ac:dyDescent="0.25">
      <c r="A594" s="2" t="s">
        <v>99</v>
      </c>
      <c r="B594" s="2" t="s">
        <v>62</v>
      </c>
      <c r="C594" t="s">
        <v>112</v>
      </c>
      <c r="D594" t="s">
        <v>25</v>
      </c>
      <c r="E594" s="2">
        <v>1</v>
      </c>
      <c r="F594" t="s">
        <v>74</v>
      </c>
      <c r="G594">
        <v>4.29</v>
      </c>
      <c r="H594">
        <v>3.69</v>
      </c>
      <c r="I594" s="2" t="str">
        <f>_xlfn.XLOOKUP(F594,DeparaIMG!D:D,DeparaIMG!F:F,,0)</f>
        <v>BUDZERO350.png</v>
      </c>
    </row>
    <row r="595" spans="1:9" x14ac:dyDescent="0.25">
      <c r="A595" s="2" t="s">
        <v>99</v>
      </c>
      <c r="B595" s="2" t="s">
        <v>62</v>
      </c>
      <c r="C595" t="s">
        <v>112</v>
      </c>
      <c r="D595" t="s">
        <v>26</v>
      </c>
      <c r="E595" s="2">
        <v>1</v>
      </c>
      <c r="F595" t="s">
        <v>76</v>
      </c>
      <c r="G595">
        <v>4.29</v>
      </c>
      <c r="H595">
        <v>3.69</v>
      </c>
      <c r="I595" s="2" t="str">
        <f>_xlfn.XLOOKUP(F595,DeparaIMG!D:D,DeparaIMG!F:F,,0)</f>
        <v>BUD350.png</v>
      </c>
    </row>
    <row r="596" spans="1:9" x14ac:dyDescent="0.25">
      <c r="A596" s="2" t="s">
        <v>99</v>
      </c>
      <c r="B596" s="2" t="s">
        <v>62</v>
      </c>
      <c r="C596" t="s">
        <v>112</v>
      </c>
      <c r="D596" t="s">
        <v>26</v>
      </c>
      <c r="E596" s="2">
        <v>1</v>
      </c>
      <c r="F596" t="s">
        <v>74</v>
      </c>
      <c r="G596">
        <v>4.29</v>
      </c>
      <c r="H596">
        <v>3.69</v>
      </c>
      <c r="I596" s="2" t="str">
        <f>_xlfn.XLOOKUP(F596,DeparaIMG!D:D,DeparaIMG!F:F,,0)</f>
        <v>BUDZERO350.png</v>
      </c>
    </row>
    <row r="597" spans="1:9" x14ac:dyDescent="0.25">
      <c r="A597" s="2" t="s">
        <v>99</v>
      </c>
      <c r="B597" s="2" t="s">
        <v>62</v>
      </c>
      <c r="C597" t="s">
        <v>29</v>
      </c>
      <c r="D597" t="s">
        <v>25</v>
      </c>
      <c r="E597" s="2">
        <v>1</v>
      </c>
      <c r="F597" t="s">
        <v>74</v>
      </c>
      <c r="G597">
        <v>4.29</v>
      </c>
      <c r="H597">
        <v>3.69</v>
      </c>
      <c r="I597" s="2" t="str">
        <f>_xlfn.XLOOKUP(F597,DeparaIMG!D:D,DeparaIMG!F:F,,0)</f>
        <v>BUDZERO350.png</v>
      </c>
    </row>
    <row r="598" spans="1:9" x14ac:dyDescent="0.25">
      <c r="A598" s="2" t="s">
        <v>99</v>
      </c>
      <c r="B598" s="2" t="s">
        <v>62</v>
      </c>
      <c r="C598" t="s">
        <v>29</v>
      </c>
      <c r="D598" t="s">
        <v>26</v>
      </c>
      <c r="E598" s="2">
        <v>1</v>
      </c>
      <c r="F598" t="s">
        <v>76</v>
      </c>
      <c r="G598">
        <v>4.29</v>
      </c>
      <c r="H598">
        <v>3.69</v>
      </c>
      <c r="I598" s="2" t="str">
        <f>_xlfn.XLOOKUP(F598,DeparaIMG!D:D,DeparaIMG!F:F,,0)</f>
        <v>BUD350.png</v>
      </c>
    </row>
    <row r="599" spans="1:9" x14ac:dyDescent="0.25">
      <c r="A599" s="2" t="s">
        <v>99</v>
      </c>
      <c r="B599" s="2" t="s">
        <v>62</v>
      </c>
      <c r="C599" t="s">
        <v>29</v>
      </c>
      <c r="D599" t="s">
        <v>26</v>
      </c>
      <c r="E599" s="2">
        <v>1</v>
      </c>
      <c r="F599" t="s">
        <v>74</v>
      </c>
      <c r="G599">
        <v>4.29</v>
      </c>
      <c r="H599">
        <v>3.69</v>
      </c>
      <c r="I599" s="2" t="str">
        <f>_xlfn.XLOOKUP(F599,DeparaIMG!D:D,DeparaIMG!F:F,,0)</f>
        <v>BUDZERO350.png</v>
      </c>
    </row>
    <row r="600" spans="1:9" x14ac:dyDescent="0.25">
      <c r="A600" s="2" t="s">
        <v>99</v>
      </c>
      <c r="B600" s="2" t="s">
        <v>62</v>
      </c>
      <c r="C600" t="s">
        <v>87</v>
      </c>
      <c r="D600" t="s">
        <v>25</v>
      </c>
      <c r="E600" s="2">
        <v>1</v>
      </c>
      <c r="F600" t="s">
        <v>74</v>
      </c>
      <c r="G600">
        <v>4.29</v>
      </c>
      <c r="H600">
        <v>3.69</v>
      </c>
      <c r="I600" s="2" t="str">
        <f>_xlfn.XLOOKUP(F600,DeparaIMG!D:D,DeparaIMG!F:F,,0)</f>
        <v>BUDZERO350.png</v>
      </c>
    </row>
    <row r="601" spans="1:9" x14ac:dyDescent="0.25">
      <c r="A601" s="2" t="s">
        <v>99</v>
      </c>
      <c r="B601" s="2" t="s">
        <v>62</v>
      </c>
      <c r="C601" t="s">
        <v>87</v>
      </c>
      <c r="D601" t="s">
        <v>26</v>
      </c>
      <c r="E601" s="2">
        <v>1</v>
      </c>
      <c r="F601" t="s">
        <v>74</v>
      </c>
      <c r="G601">
        <v>4.29</v>
      </c>
      <c r="H601">
        <v>3.69</v>
      </c>
      <c r="I601" s="2" t="str">
        <f>_xlfn.XLOOKUP(F601,DeparaIMG!D:D,DeparaIMG!F:F,,0)</f>
        <v>BUDZERO350.png</v>
      </c>
    </row>
    <row r="602" spans="1:9" x14ac:dyDescent="0.25">
      <c r="A602" s="2" t="s">
        <v>99</v>
      </c>
      <c r="B602" s="2" t="s">
        <v>62</v>
      </c>
      <c r="C602" t="s">
        <v>88</v>
      </c>
      <c r="D602" t="s">
        <v>25</v>
      </c>
      <c r="E602" s="2">
        <v>1</v>
      </c>
      <c r="F602" t="s">
        <v>74</v>
      </c>
      <c r="G602">
        <v>4.29</v>
      </c>
      <c r="H602">
        <v>3.69</v>
      </c>
      <c r="I602" s="2" t="str">
        <f>_xlfn.XLOOKUP(F602,DeparaIMG!D:D,DeparaIMG!F:F,,0)</f>
        <v>BUDZERO350.png</v>
      </c>
    </row>
    <row r="603" spans="1:9" x14ac:dyDescent="0.25">
      <c r="A603" s="2" t="s">
        <v>99</v>
      </c>
      <c r="B603" s="2" t="s">
        <v>62</v>
      </c>
      <c r="C603" t="s">
        <v>88</v>
      </c>
      <c r="D603" t="s">
        <v>26</v>
      </c>
      <c r="E603" s="2">
        <v>1</v>
      </c>
      <c r="F603" t="s">
        <v>74</v>
      </c>
      <c r="G603">
        <v>4.29</v>
      </c>
      <c r="H603">
        <v>3.69</v>
      </c>
      <c r="I603" s="2" t="str">
        <f>_xlfn.XLOOKUP(F603,DeparaIMG!D:D,DeparaIMG!F:F,,0)</f>
        <v>BUDZERO350.png</v>
      </c>
    </row>
    <row r="604" spans="1:9" x14ac:dyDescent="0.25">
      <c r="A604" s="2" t="s">
        <v>99</v>
      </c>
      <c r="B604" s="2" t="s">
        <v>62</v>
      </c>
      <c r="C604" t="s">
        <v>89</v>
      </c>
      <c r="D604" t="s">
        <v>26</v>
      </c>
      <c r="E604" s="2">
        <v>1</v>
      </c>
      <c r="F604" t="s">
        <v>74</v>
      </c>
      <c r="G604">
        <v>4.29</v>
      </c>
      <c r="H604">
        <v>3.69</v>
      </c>
      <c r="I604" s="2" t="str">
        <f>_xlfn.XLOOKUP(F604,DeparaIMG!D:D,DeparaIMG!F:F,,0)</f>
        <v>BUDZERO350.png</v>
      </c>
    </row>
    <row r="605" spans="1:9" x14ac:dyDescent="0.25">
      <c r="A605" s="2" t="s">
        <v>99</v>
      </c>
      <c r="B605" s="2" t="s">
        <v>62</v>
      </c>
      <c r="C605" t="s">
        <v>89</v>
      </c>
      <c r="D605" t="s">
        <v>25</v>
      </c>
      <c r="E605" s="2">
        <v>1</v>
      </c>
      <c r="F605" t="s">
        <v>74</v>
      </c>
      <c r="G605">
        <v>4.29</v>
      </c>
      <c r="H605">
        <v>3.69</v>
      </c>
      <c r="I605" s="2" t="str">
        <f>_xlfn.XLOOKUP(F605,DeparaIMG!D:D,DeparaIMG!F:F,,0)</f>
        <v>BUDZERO350.png</v>
      </c>
    </row>
    <row r="606" spans="1:9" x14ac:dyDescent="0.25">
      <c r="A606" s="2" t="s">
        <v>99</v>
      </c>
      <c r="B606" s="2" t="s">
        <v>62</v>
      </c>
      <c r="C606" t="s">
        <v>90</v>
      </c>
      <c r="D606" t="s">
        <v>25</v>
      </c>
      <c r="E606" s="2">
        <v>1</v>
      </c>
      <c r="F606" t="s">
        <v>74</v>
      </c>
      <c r="G606">
        <v>4.29</v>
      </c>
      <c r="H606">
        <v>3.69</v>
      </c>
      <c r="I606" s="2" t="str">
        <f>_xlfn.XLOOKUP(F606,DeparaIMG!D:D,DeparaIMG!F:F,,0)</f>
        <v>BUDZERO350.png</v>
      </c>
    </row>
    <row r="607" spans="1:9" x14ac:dyDescent="0.25">
      <c r="A607" s="2" t="s">
        <v>99</v>
      </c>
      <c r="B607" s="2" t="s">
        <v>62</v>
      </c>
      <c r="C607" t="s">
        <v>90</v>
      </c>
      <c r="D607" t="s">
        <v>26</v>
      </c>
      <c r="E607" s="2">
        <v>1</v>
      </c>
      <c r="F607" t="s">
        <v>74</v>
      </c>
      <c r="G607">
        <v>4.29</v>
      </c>
      <c r="H607">
        <v>3.69</v>
      </c>
      <c r="I607" s="2" t="str">
        <f>_xlfn.XLOOKUP(F607,DeparaIMG!D:D,DeparaIMG!F:F,,0)</f>
        <v>BUDZERO350.png</v>
      </c>
    </row>
    <row r="608" spans="1:9" x14ac:dyDescent="0.25">
      <c r="A608" s="2" t="s">
        <v>99</v>
      </c>
      <c r="B608" s="2" t="s">
        <v>62</v>
      </c>
      <c r="C608" t="s">
        <v>113</v>
      </c>
      <c r="D608" t="s">
        <v>26</v>
      </c>
      <c r="E608" s="2">
        <v>1</v>
      </c>
      <c r="F608" t="s">
        <v>76</v>
      </c>
      <c r="G608">
        <v>4.29</v>
      </c>
      <c r="H608">
        <v>3.69</v>
      </c>
      <c r="I608" s="2" t="str">
        <f>_xlfn.XLOOKUP(F608,DeparaIMG!D:D,DeparaIMG!F:F,,0)</f>
        <v>BUD350.png</v>
      </c>
    </row>
    <row r="609" spans="1:9" x14ac:dyDescent="0.25">
      <c r="A609" s="2" t="s">
        <v>99</v>
      </c>
      <c r="B609" s="2" t="s">
        <v>62</v>
      </c>
      <c r="C609" t="s">
        <v>87</v>
      </c>
      <c r="D609" t="s">
        <v>26</v>
      </c>
      <c r="E609" s="2">
        <v>2</v>
      </c>
      <c r="F609" t="s">
        <v>100</v>
      </c>
      <c r="G609">
        <v>3.99</v>
      </c>
      <c r="H609">
        <v>3.69</v>
      </c>
      <c r="I609" s="2" t="str">
        <f>_xlfn.XLOOKUP(F609,DeparaIMG!D:D,DeparaIMG!F:F,,0)</f>
        <v>SPT269.png</v>
      </c>
    </row>
    <row r="610" spans="1:9" x14ac:dyDescent="0.25">
      <c r="A610" s="2" t="s">
        <v>99</v>
      </c>
      <c r="B610" s="2" t="s">
        <v>62</v>
      </c>
      <c r="C610" t="s">
        <v>88</v>
      </c>
      <c r="D610" t="s">
        <v>26</v>
      </c>
      <c r="E610" s="2">
        <v>2</v>
      </c>
      <c r="F610" t="s">
        <v>100</v>
      </c>
      <c r="G610">
        <v>3.99</v>
      </c>
      <c r="H610">
        <v>3.69</v>
      </c>
      <c r="I610" s="2" t="str">
        <f>_xlfn.XLOOKUP(F610,DeparaIMG!D:D,DeparaIMG!F:F,,0)</f>
        <v>SPT269.png</v>
      </c>
    </row>
    <row r="611" spans="1:9" x14ac:dyDescent="0.25">
      <c r="A611" s="2" t="s">
        <v>99</v>
      </c>
      <c r="B611" s="2" t="s">
        <v>62</v>
      </c>
      <c r="C611" t="s">
        <v>90</v>
      </c>
      <c r="D611" t="s">
        <v>26</v>
      </c>
      <c r="E611" s="2">
        <v>2</v>
      </c>
      <c r="F611" t="s">
        <v>100</v>
      </c>
      <c r="G611">
        <v>3.99</v>
      </c>
      <c r="H611">
        <v>3.69</v>
      </c>
      <c r="I611" s="2" t="str">
        <f>_xlfn.XLOOKUP(F611,DeparaIMG!D:D,DeparaIMG!F:F,,0)</f>
        <v>SPT269.png</v>
      </c>
    </row>
    <row r="612" spans="1:9" x14ac:dyDescent="0.25">
      <c r="A612" s="2" t="s">
        <v>99</v>
      </c>
      <c r="B612" s="2" t="s">
        <v>62</v>
      </c>
      <c r="C612" t="s">
        <v>89</v>
      </c>
      <c r="D612" t="s">
        <v>26</v>
      </c>
      <c r="E612" s="2">
        <v>2</v>
      </c>
      <c r="F612" t="s">
        <v>100</v>
      </c>
      <c r="G612">
        <v>3.99</v>
      </c>
      <c r="H612">
        <v>3.69</v>
      </c>
      <c r="I612" s="2" t="str">
        <f>_xlfn.XLOOKUP(F612,DeparaIMG!D:D,DeparaIMG!F:F,,0)</f>
        <v>SPT269.png</v>
      </c>
    </row>
    <row r="613" spans="1:9" x14ac:dyDescent="0.25">
      <c r="A613" s="2" t="s">
        <v>99</v>
      </c>
      <c r="B613" s="2" t="s">
        <v>62</v>
      </c>
      <c r="C613" t="s">
        <v>87</v>
      </c>
      <c r="D613" t="s">
        <v>26</v>
      </c>
      <c r="E613" s="2">
        <v>2</v>
      </c>
      <c r="F613" t="s">
        <v>77</v>
      </c>
      <c r="G613">
        <v>4.6900000000000004</v>
      </c>
      <c r="H613">
        <v>4.1900000000000004</v>
      </c>
      <c r="I613" s="2" t="str">
        <f>_xlfn.XLOOKUP(F613,DeparaIMG!D:D,DeparaIMG!F:F,,0)</f>
        <v>COR269.png</v>
      </c>
    </row>
    <row r="614" spans="1:9" x14ac:dyDescent="0.25">
      <c r="A614" s="2" t="s">
        <v>99</v>
      </c>
      <c r="B614" s="2" t="s">
        <v>62</v>
      </c>
      <c r="C614" t="s">
        <v>88</v>
      </c>
      <c r="D614" t="s">
        <v>26</v>
      </c>
      <c r="E614" s="2">
        <v>2</v>
      </c>
      <c r="F614" t="s">
        <v>77</v>
      </c>
      <c r="G614">
        <v>4.6900000000000004</v>
      </c>
      <c r="H614">
        <v>4.1900000000000004</v>
      </c>
      <c r="I614" s="2" t="str">
        <f>_xlfn.XLOOKUP(F614,DeparaIMG!D:D,DeparaIMG!F:F,,0)</f>
        <v>COR269.png</v>
      </c>
    </row>
    <row r="615" spans="1:9" x14ac:dyDescent="0.25">
      <c r="A615" s="2" t="s">
        <v>99</v>
      </c>
      <c r="B615" s="2" t="s">
        <v>62</v>
      </c>
      <c r="C615" t="s">
        <v>90</v>
      </c>
      <c r="D615" t="s">
        <v>26</v>
      </c>
      <c r="E615" s="2">
        <v>2</v>
      </c>
      <c r="F615" t="s">
        <v>77</v>
      </c>
      <c r="G615">
        <v>4.6900000000000004</v>
      </c>
      <c r="H615">
        <v>4.1900000000000004</v>
      </c>
      <c r="I615" s="2" t="str">
        <f>_xlfn.XLOOKUP(F615,DeparaIMG!D:D,DeparaIMG!F:F,,0)</f>
        <v>COR269.png</v>
      </c>
    </row>
    <row r="616" spans="1:9" x14ac:dyDescent="0.25">
      <c r="A616" s="2" t="s">
        <v>99</v>
      </c>
      <c r="B616" s="2" t="s">
        <v>62</v>
      </c>
      <c r="C616" t="s">
        <v>89</v>
      </c>
      <c r="D616" t="s">
        <v>26</v>
      </c>
      <c r="E616" s="2">
        <v>2</v>
      </c>
      <c r="F616" t="s">
        <v>77</v>
      </c>
      <c r="G616">
        <v>4.6900000000000004</v>
      </c>
      <c r="H616">
        <v>4.1900000000000004</v>
      </c>
      <c r="I616" s="2" t="str">
        <f>_xlfn.XLOOKUP(F616,DeparaIMG!D:D,DeparaIMG!F:F,,0)</f>
        <v>COR269.png</v>
      </c>
    </row>
    <row r="617" spans="1:9" x14ac:dyDescent="0.25">
      <c r="A617" s="2" t="s">
        <v>99</v>
      </c>
      <c r="B617" s="2" t="s">
        <v>62</v>
      </c>
      <c r="C617" t="s">
        <v>112</v>
      </c>
      <c r="D617" t="s">
        <v>26</v>
      </c>
      <c r="E617" s="2">
        <v>2</v>
      </c>
      <c r="F617" t="s">
        <v>101</v>
      </c>
      <c r="G617">
        <v>5.19</v>
      </c>
      <c r="H617">
        <v>4.6900000000000004</v>
      </c>
      <c r="I617" s="2" t="str">
        <f>_xlfn.XLOOKUP(F617,DeparaIMG!D:D,DeparaIMG!F:F,,0)</f>
        <v>SPT350.png</v>
      </c>
    </row>
    <row r="618" spans="1:9" x14ac:dyDescent="0.25">
      <c r="A618" s="2" t="s">
        <v>99</v>
      </c>
      <c r="B618" s="2" t="s">
        <v>62</v>
      </c>
      <c r="C618" t="s">
        <v>29</v>
      </c>
      <c r="D618" t="s">
        <v>26</v>
      </c>
      <c r="E618" s="2">
        <v>2</v>
      </c>
      <c r="F618" t="s">
        <v>101</v>
      </c>
      <c r="G618">
        <v>5.19</v>
      </c>
      <c r="H618">
        <v>4.6900000000000004</v>
      </c>
      <c r="I618" s="2" t="str">
        <f>_xlfn.XLOOKUP(F618,DeparaIMG!D:D,DeparaIMG!F:F,,0)</f>
        <v>SPT350.png</v>
      </c>
    </row>
    <row r="619" spans="1:9" x14ac:dyDescent="0.25">
      <c r="A619" s="2" t="s">
        <v>99</v>
      </c>
      <c r="B619" s="2" t="s">
        <v>62</v>
      </c>
      <c r="C619" t="s">
        <v>113</v>
      </c>
      <c r="D619" t="s">
        <v>26</v>
      </c>
      <c r="E619" s="2">
        <v>2</v>
      </c>
      <c r="F619" t="s">
        <v>101</v>
      </c>
      <c r="G619">
        <v>5.19</v>
      </c>
      <c r="H619">
        <v>4.6900000000000004</v>
      </c>
      <c r="I619" s="2" t="str">
        <f>_xlfn.XLOOKUP(F619,DeparaIMG!D:D,DeparaIMG!F:F,,0)</f>
        <v>SPT350.png</v>
      </c>
    </row>
    <row r="620" spans="1:9" x14ac:dyDescent="0.25">
      <c r="A620" s="2" t="s">
        <v>99</v>
      </c>
      <c r="B620" s="2" t="s">
        <v>62</v>
      </c>
      <c r="C620" t="s">
        <v>112</v>
      </c>
      <c r="D620" t="s">
        <v>25</v>
      </c>
      <c r="E620" s="2">
        <v>1</v>
      </c>
      <c r="F620" t="s">
        <v>78</v>
      </c>
      <c r="G620">
        <v>5.49</v>
      </c>
      <c r="H620">
        <v>4.99</v>
      </c>
      <c r="I620" s="2" t="str">
        <f>_xlfn.XLOOKUP(F620,DeparaIMG!D:D,DeparaIMG!F:F,,0)</f>
        <v>MIC350.png</v>
      </c>
    </row>
    <row r="621" spans="1:9" x14ac:dyDescent="0.25">
      <c r="A621" s="2" t="s">
        <v>99</v>
      </c>
      <c r="B621" s="2" t="s">
        <v>62</v>
      </c>
      <c r="C621" t="s">
        <v>112</v>
      </c>
      <c r="D621" t="s">
        <v>26</v>
      </c>
      <c r="E621" s="2">
        <v>1</v>
      </c>
      <c r="F621" t="s">
        <v>78</v>
      </c>
      <c r="G621">
        <v>5.49</v>
      </c>
      <c r="H621">
        <v>4.99</v>
      </c>
      <c r="I621" s="2" t="str">
        <f>_xlfn.XLOOKUP(F621,DeparaIMG!D:D,DeparaIMG!F:F,,0)</f>
        <v>MIC350.png</v>
      </c>
    </row>
    <row r="622" spans="1:9" x14ac:dyDescent="0.25">
      <c r="A622" s="2" t="s">
        <v>99</v>
      </c>
      <c r="B622" s="2" t="s">
        <v>62</v>
      </c>
      <c r="C622" t="s">
        <v>29</v>
      </c>
      <c r="D622" t="s">
        <v>25</v>
      </c>
      <c r="E622" s="2">
        <v>1</v>
      </c>
      <c r="F622" t="s">
        <v>78</v>
      </c>
      <c r="G622">
        <v>5.49</v>
      </c>
      <c r="H622">
        <v>4.99</v>
      </c>
      <c r="I622" s="2" t="str">
        <f>_xlfn.XLOOKUP(F622,DeparaIMG!D:D,DeparaIMG!F:F,,0)</f>
        <v>MIC350.png</v>
      </c>
    </row>
    <row r="623" spans="1:9" x14ac:dyDescent="0.25">
      <c r="A623" s="2" t="s">
        <v>99</v>
      </c>
      <c r="B623" s="2" t="s">
        <v>62</v>
      </c>
      <c r="C623" t="s">
        <v>29</v>
      </c>
      <c r="D623" t="s">
        <v>26</v>
      </c>
      <c r="E623" s="2">
        <v>1</v>
      </c>
      <c r="F623" t="s">
        <v>78</v>
      </c>
      <c r="G623">
        <v>5.49</v>
      </c>
      <c r="H623">
        <v>4.99</v>
      </c>
      <c r="I623" s="2" t="str">
        <f>_xlfn.XLOOKUP(F623,DeparaIMG!D:D,DeparaIMG!F:F,,0)</f>
        <v>MIC350.png</v>
      </c>
    </row>
    <row r="624" spans="1:9" x14ac:dyDescent="0.25">
      <c r="A624" s="2" t="s">
        <v>99</v>
      </c>
      <c r="B624" s="2" t="s">
        <v>62</v>
      </c>
      <c r="C624" t="s">
        <v>87</v>
      </c>
      <c r="D624" t="s">
        <v>25</v>
      </c>
      <c r="E624" s="2">
        <v>1</v>
      </c>
      <c r="F624" t="s">
        <v>78</v>
      </c>
      <c r="G624">
        <v>5.49</v>
      </c>
      <c r="H624">
        <v>4.99</v>
      </c>
      <c r="I624" s="2" t="str">
        <f>_xlfn.XLOOKUP(F624,DeparaIMG!D:D,DeparaIMG!F:F,,0)</f>
        <v>MIC350.png</v>
      </c>
    </row>
    <row r="625" spans="1:9" x14ac:dyDescent="0.25">
      <c r="A625" s="2" t="s">
        <v>99</v>
      </c>
      <c r="B625" s="2" t="s">
        <v>62</v>
      </c>
      <c r="C625" t="s">
        <v>87</v>
      </c>
      <c r="D625" t="s">
        <v>26</v>
      </c>
      <c r="E625" s="2">
        <v>1</v>
      </c>
      <c r="F625" t="s">
        <v>78</v>
      </c>
      <c r="G625">
        <v>5.49</v>
      </c>
      <c r="H625">
        <v>4.99</v>
      </c>
      <c r="I625" s="2" t="str">
        <f>_xlfn.XLOOKUP(F625,DeparaIMG!D:D,DeparaIMG!F:F,,0)</f>
        <v>MIC350.png</v>
      </c>
    </row>
    <row r="626" spans="1:9" x14ac:dyDescent="0.25">
      <c r="A626" s="2" t="s">
        <v>99</v>
      </c>
      <c r="B626" s="2" t="s">
        <v>62</v>
      </c>
      <c r="C626" t="s">
        <v>113</v>
      </c>
      <c r="D626" t="s">
        <v>25</v>
      </c>
      <c r="E626" s="2">
        <v>1</v>
      </c>
      <c r="F626" t="s">
        <v>78</v>
      </c>
      <c r="G626">
        <v>5.49</v>
      </c>
      <c r="H626">
        <v>4.99</v>
      </c>
      <c r="I626" s="2" t="str">
        <f>_xlfn.XLOOKUP(F626,DeparaIMG!D:D,DeparaIMG!F:F,,0)</f>
        <v>MIC350.png</v>
      </c>
    </row>
    <row r="627" spans="1:9" x14ac:dyDescent="0.25">
      <c r="A627" s="2" t="s">
        <v>99</v>
      </c>
      <c r="B627" s="2" t="s">
        <v>62</v>
      </c>
      <c r="C627" t="s">
        <v>113</v>
      </c>
      <c r="D627" t="s">
        <v>26</v>
      </c>
      <c r="E627" s="2">
        <v>1</v>
      </c>
      <c r="F627" t="s">
        <v>78</v>
      </c>
      <c r="G627">
        <v>5.49</v>
      </c>
      <c r="H627">
        <v>4.99</v>
      </c>
      <c r="I627" s="2" t="str">
        <f>_xlfn.XLOOKUP(F627,DeparaIMG!D:D,DeparaIMG!F:F,,0)</f>
        <v>MIC350.png</v>
      </c>
    </row>
    <row r="628" spans="1:9" x14ac:dyDescent="0.25">
      <c r="A628" s="2" t="s">
        <v>99</v>
      </c>
      <c r="B628" s="2" t="s">
        <v>62</v>
      </c>
      <c r="C628" t="s">
        <v>88</v>
      </c>
      <c r="D628" t="s">
        <v>25</v>
      </c>
      <c r="E628" s="2">
        <v>1</v>
      </c>
      <c r="F628" t="s">
        <v>78</v>
      </c>
      <c r="G628">
        <v>5.49</v>
      </c>
      <c r="H628">
        <v>4.99</v>
      </c>
      <c r="I628" s="2" t="str">
        <f>_xlfn.XLOOKUP(F628,DeparaIMG!D:D,DeparaIMG!F:F,,0)</f>
        <v>MIC350.png</v>
      </c>
    </row>
    <row r="629" spans="1:9" x14ac:dyDescent="0.25">
      <c r="A629" s="2" t="s">
        <v>99</v>
      </c>
      <c r="B629" s="2" t="s">
        <v>62</v>
      </c>
      <c r="C629" t="s">
        <v>88</v>
      </c>
      <c r="D629" t="s">
        <v>26</v>
      </c>
      <c r="E629" s="2">
        <v>1</v>
      </c>
      <c r="F629" t="s">
        <v>78</v>
      </c>
      <c r="G629">
        <v>5.49</v>
      </c>
      <c r="H629">
        <v>4.99</v>
      </c>
      <c r="I629" s="2" t="str">
        <f>_xlfn.XLOOKUP(F629,DeparaIMG!D:D,DeparaIMG!F:F,,0)</f>
        <v>MIC350.png</v>
      </c>
    </row>
    <row r="630" spans="1:9" x14ac:dyDescent="0.25">
      <c r="A630" s="2" t="s">
        <v>99</v>
      </c>
      <c r="B630" s="2" t="s">
        <v>62</v>
      </c>
      <c r="C630" t="s">
        <v>89</v>
      </c>
      <c r="D630" t="s">
        <v>25</v>
      </c>
      <c r="E630" s="2">
        <v>1</v>
      </c>
      <c r="F630" t="s">
        <v>78</v>
      </c>
      <c r="G630">
        <v>5.49</v>
      </c>
      <c r="H630">
        <v>4.99</v>
      </c>
      <c r="I630" s="2" t="str">
        <f>_xlfn.XLOOKUP(F630,DeparaIMG!D:D,DeparaIMG!F:F,,0)</f>
        <v>MIC350.png</v>
      </c>
    </row>
    <row r="631" spans="1:9" x14ac:dyDescent="0.25">
      <c r="A631" s="2" t="s">
        <v>99</v>
      </c>
      <c r="B631" s="2" t="s">
        <v>62</v>
      </c>
      <c r="C631" t="s">
        <v>90</v>
      </c>
      <c r="D631" t="s">
        <v>25</v>
      </c>
      <c r="E631" s="2">
        <v>1</v>
      </c>
      <c r="F631" t="s">
        <v>78</v>
      </c>
      <c r="G631">
        <v>5.49</v>
      </c>
      <c r="H631">
        <v>4.99</v>
      </c>
      <c r="I631" s="2" t="str">
        <f>_xlfn.XLOOKUP(F631,DeparaIMG!D:D,DeparaIMG!F:F,,0)</f>
        <v>MIC350.png</v>
      </c>
    </row>
    <row r="632" spans="1:9" x14ac:dyDescent="0.25">
      <c r="A632" s="2" t="s">
        <v>99</v>
      </c>
      <c r="B632" s="2" t="s">
        <v>62</v>
      </c>
      <c r="C632" t="s">
        <v>89</v>
      </c>
      <c r="D632" t="s">
        <v>26</v>
      </c>
      <c r="E632" s="2">
        <v>1</v>
      </c>
      <c r="F632" t="s">
        <v>78</v>
      </c>
      <c r="G632">
        <v>5.49</v>
      </c>
      <c r="H632">
        <v>4.99</v>
      </c>
      <c r="I632" s="2" t="str">
        <f>_xlfn.XLOOKUP(F632,DeparaIMG!D:D,DeparaIMG!F:F,,0)</f>
        <v>MIC350.png</v>
      </c>
    </row>
    <row r="633" spans="1:9" x14ac:dyDescent="0.25">
      <c r="A633" s="2" t="s">
        <v>99</v>
      </c>
      <c r="B633" s="2" t="s">
        <v>62</v>
      </c>
      <c r="C633" t="s">
        <v>90</v>
      </c>
      <c r="D633" t="s">
        <v>26</v>
      </c>
      <c r="E633" s="2">
        <v>1</v>
      </c>
      <c r="F633" t="s">
        <v>78</v>
      </c>
      <c r="G633">
        <v>5.49</v>
      </c>
      <c r="H633">
        <v>4.99</v>
      </c>
      <c r="I633" s="2" t="str">
        <f>_xlfn.XLOOKUP(F633,DeparaIMG!D:D,DeparaIMG!F:F,,0)</f>
        <v>MIC350.png</v>
      </c>
    </row>
    <row r="634" spans="1:9" x14ac:dyDescent="0.25">
      <c r="A634" s="2" t="s">
        <v>99</v>
      </c>
      <c r="B634" s="2" t="s">
        <v>62</v>
      </c>
      <c r="C634" t="s">
        <v>112</v>
      </c>
      <c r="D634" t="s">
        <v>26</v>
      </c>
      <c r="E634" s="2">
        <v>1</v>
      </c>
      <c r="F634" t="s">
        <v>82</v>
      </c>
      <c r="G634">
        <v>6.29</v>
      </c>
      <c r="H634">
        <v>5.29</v>
      </c>
      <c r="I634" s="2" t="str">
        <f>_xlfn.XLOOKUP(F634,DeparaIMG!D:D,DeparaIMG!F:F,,0)</f>
        <v>BUDLN.png</v>
      </c>
    </row>
    <row r="635" spans="1:9" x14ac:dyDescent="0.25">
      <c r="A635" s="2" t="s">
        <v>99</v>
      </c>
      <c r="B635" s="2" t="s">
        <v>62</v>
      </c>
      <c r="C635" t="s">
        <v>112</v>
      </c>
      <c r="D635" t="s">
        <v>26</v>
      </c>
      <c r="E635" s="2">
        <v>1</v>
      </c>
      <c r="F635" t="s">
        <v>81</v>
      </c>
      <c r="G635">
        <v>6.29</v>
      </c>
      <c r="H635">
        <v>5.29</v>
      </c>
      <c r="I635" s="2" t="str">
        <f>_xlfn.XLOOKUP(F635,DeparaIMG!D:D,DeparaIMG!F:F,,0)</f>
        <v>BUDZEROLN.png</v>
      </c>
    </row>
    <row r="636" spans="1:9" x14ac:dyDescent="0.25">
      <c r="A636" s="2" t="s">
        <v>99</v>
      </c>
      <c r="B636" s="2" t="s">
        <v>62</v>
      </c>
      <c r="C636" t="s">
        <v>29</v>
      </c>
      <c r="D636" t="s">
        <v>26</v>
      </c>
      <c r="E636" s="2">
        <v>1</v>
      </c>
      <c r="F636" t="s">
        <v>82</v>
      </c>
      <c r="G636">
        <v>6.29</v>
      </c>
      <c r="H636">
        <v>5.29</v>
      </c>
      <c r="I636" s="2" t="str">
        <f>_xlfn.XLOOKUP(F636,DeparaIMG!D:D,DeparaIMG!F:F,,0)</f>
        <v>BUDLN.png</v>
      </c>
    </row>
    <row r="637" spans="1:9" x14ac:dyDescent="0.25">
      <c r="A637" s="2" t="s">
        <v>99</v>
      </c>
      <c r="B637" s="2" t="s">
        <v>62</v>
      </c>
      <c r="C637" t="s">
        <v>29</v>
      </c>
      <c r="D637" t="s">
        <v>26</v>
      </c>
      <c r="E637" s="2">
        <v>1</v>
      </c>
      <c r="F637" t="s">
        <v>81</v>
      </c>
      <c r="G637">
        <v>6.29</v>
      </c>
      <c r="H637">
        <v>5.29</v>
      </c>
      <c r="I637" s="2" t="str">
        <f>_xlfn.XLOOKUP(F637,DeparaIMG!D:D,DeparaIMG!F:F,,0)</f>
        <v>BUDZEROLN.png</v>
      </c>
    </row>
    <row r="638" spans="1:9" x14ac:dyDescent="0.25">
      <c r="A638" s="2" t="s">
        <v>99</v>
      </c>
      <c r="B638" s="2" t="s">
        <v>62</v>
      </c>
      <c r="C638" t="s">
        <v>87</v>
      </c>
      <c r="D638" t="s">
        <v>26</v>
      </c>
      <c r="E638" s="2">
        <v>1</v>
      </c>
      <c r="F638" t="s">
        <v>82</v>
      </c>
      <c r="G638">
        <v>6.29</v>
      </c>
      <c r="H638">
        <v>5.29</v>
      </c>
      <c r="I638" s="2" t="str">
        <f>_xlfn.XLOOKUP(F638,DeparaIMG!D:D,DeparaIMG!F:F,,0)</f>
        <v>BUDLN.png</v>
      </c>
    </row>
    <row r="639" spans="1:9" x14ac:dyDescent="0.25">
      <c r="A639" s="2" t="s">
        <v>99</v>
      </c>
      <c r="B639" s="2" t="s">
        <v>62</v>
      </c>
      <c r="C639" t="s">
        <v>87</v>
      </c>
      <c r="D639" t="s">
        <v>26</v>
      </c>
      <c r="E639" s="2">
        <v>1</v>
      </c>
      <c r="F639" t="s">
        <v>81</v>
      </c>
      <c r="G639">
        <v>6.29</v>
      </c>
      <c r="H639">
        <v>5.29</v>
      </c>
      <c r="I639" s="2" t="str">
        <f>_xlfn.XLOOKUP(F639,DeparaIMG!D:D,DeparaIMG!F:F,,0)</f>
        <v>BUDZEROLN.png</v>
      </c>
    </row>
    <row r="640" spans="1:9" x14ac:dyDescent="0.25">
      <c r="A640" s="2" t="s">
        <v>99</v>
      </c>
      <c r="B640" s="2" t="s">
        <v>62</v>
      </c>
      <c r="C640" t="s">
        <v>88</v>
      </c>
      <c r="D640" t="s">
        <v>26</v>
      </c>
      <c r="E640" s="2">
        <v>1</v>
      </c>
      <c r="F640" t="s">
        <v>82</v>
      </c>
      <c r="G640">
        <v>6.29</v>
      </c>
      <c r="H640">
        <v>5.29</v>
      </c>
      <c r="I640" s="2" t="str">
        <f>_xlfn.XLOOKUP(F640,DeparaIMG!D:D,DeparaIMG!F:F,,0)</f>
        <v>BUDLN.png</v>
      </c>
    </row>
    <row r="641" spans="1:9" x14ac:dyDescent="0.25">
      <c r="A641" s="2" t="s">
        <v>99</v>
      </c>
      <c r="B641" s="2" t="s">
        <v>62</v>
      </c>
      <c r="C641" t="s">
        <v>88</v>
      </c>
      <c r="D641" t="s">
        <v>26</v>
      </c>
      <c r="E641" s="2">
        <v>1</v>
      </c>
      <c r="F641" t="s">
        <v>81</v>
      </c>
      <c r="G641">
        <v>6.29</v>
      </c>
      <c r="H641">
        <v>5.29</v>
      </c>
      <c r="I641" s="2" t="str">
        <f>_xlfn.XLOOKUP(F641,DeparaIMG!D:D,DeparaIMG!F:F,,0)</f>
        <v>BUDZEROLN.png</v>
      </c>
    </row>
    <row r="642" spans="1:9" x14ac:dyDescent="0.25">
      <c r="A642" s="2" t="s">
        <v>99</v>
      </c>
      <c r="B642" s="2" t="s">
        <v>62</v>
      </c>
      <c r="C642" t="s">
        <v>113</v>
      </c>
      <c r="D642" t="s">
        <v>26</v>
      </c>
      <c r="E642" s="2">
        <v>1</v>
      </c>
      <c r="F642" t="s">
        <v>82</v>
      </c>
      <c r="G642">
        <v>6.29</v>
      </c>
      <c r="H642">
        <v>5.29</v>
      </c>
      <c r="I642" s="2" t="str">
        <f>_xlfn.XLOOKUP(F642,DeparaIMG!D:D,DeparaIMG!F:F,,0)</f>
        <v>BUDLN.png</v>
      </c>
    </row>
    <row r="643" spans="1:9" x14ac:dyDescent="0.25">
      <c r="A643" s="2" t="s">
        <v>99</v>
      </c>
      <c r="B643" s="2" t="s">
        <v>62</v>
      </c>
      <c r="C643" t="s">
        <v>113</v>
      </c>
      <c r="D643" t="s">
        <v>26</v>
      </c>
      <c r="E643" s="2">
        <v>1</v>
      </c>
      <c r="F643" t="s">
        <v>81</v>
      </c>
      <c r="G643">
        <v>6.29</v>
      </c>
      <c r="H643">
        <v>5.29</v>
      </c>
      <c r="I643" s="2" t="str">
        <f>_xlfn.XLOOKUP(F643,DeparaIMG!D:D,DeparaIMG!F:F,,0)</f>
        <v>BUDZEROLN.png</v>
      </c>
    </row>
    <row r="644" spans="1:9" x14ac:dyDescent="0.25">
      <c r="A644" s="2" t="s">
        <v>99</v>
      </c>
      <c r="B644" s="2" t="s">
        <v>62</v>
      </c>
      <c r="C644" t="s">
        <v>89</v>
      </c>
      <c r="D644" t="s">
        <v>26</v>
      </c>
      <c r="E644" s="2">
        <v>1</v>
      </c>
      <c r="F644" t="s">
        <v>81</v>
      </c>
      <c r="G644">
        <v>6.29</v>
      </c>
      <c r="H644">
        <v>5.29</v>
      </c>
      <c r="I644" s="2" t="str">
        <f>_xlfn.XLOOKUP(F644,DeparaIMG!D:D,DeparaIMG!F:F,,0)</f>
        <v>BUDZEROLN.png</v>
      </c>
    </row>
    <row r="645" spans="1:9" x14ac:dyDescent="0.25">
      <c r="A645" s="2" t="s">
        <v>99</v>
      </c>
      <c r="B645" s="2" t="s">
        <v>62</v>
      </c>
      <c r="C645" t="s">
        <v>90</v>
      </c>
      <c r="D645" t="s">
        <v>26</v>
      </c>
      <c r="E645" s="2">
        <v>1</v>
      </c>
      <c r="F645" t="s">
        <v>81</v>
      </c>
      <c r="G645">
        <v>6.29</v>
      </c>
      <c r="H645">
        <v>5.29</v>
      </c>
      <c r="I645" s="2" t="str">
        <f>_xlfn.XLOOKUP(F645,DeparaIMG!D:D,DeparaIMG!F:F,,0)</f>
        <v>BUDZEROLN.png</v>
      </c>
    </row>
    <row r="646" spans="1:9" x14ac:dyDescent="0.25">
      <c r="A646" s="2" t="s">
        <v>99</v>
      </c>
      <c r="B646" s="2" t="s">
        <v>62</v>
      </c>
      <c r="C646" t="s">
        <v>112</v>
      </c>
      <c r="D646" t="s">
        <v>26</v>
      </c>
      <c r="E646" s="2">
        <v>2</v>
      </c>
      <c r="F646" t="s">
        <v>79</v>
      </c>
      <c r="G646">
        <v>6.19</v>
      </c>
      <c r="H646">
        <v>5.39</v>
      </c>
      <c r="I646" s="2" t="str">
        <f>_xlfn.XLOOKUP(F646,DeparaIMG!D:D,DeparaIMG!F:F,,0)</f>
        <v>COR350.png</v>
      </c>
    </row>
    <row r="647" spans="1:9" x14ac:dyDescent="0.25">
      <c r="A647" s="2" t="s">
        <v>99</v>
      </c>
      <c r="B647" s="2" t="s">
        <v>62</v>
      </c>
      <c r="C647" t="s">
        <v>112</v>
      </c>
      <c r="D647" t="s">
        <v>26</v>
      </c>
      <c r="E647" s="2">
        <v>2</v>
      </c>
      <c r="F647" t="s">
        <v>80</v>
      </c>
      <c r="G647">
        <v>6.19</v>
      </c>
      <c r="H647">
        <v>5.39</v>
      </c>
      <c r="I647" s="2" t="str">
        <f>_xlfn.XLOOKUP(F647,DeparaIMG!D:D,DeparaIMG!F:F,,0)</f>
        <v>CORCERO350.png</v>
      </c>
    </row>
    <row r="648" spans="1:9" x14ac:dyDescent="0.25">
      <c r="A648" s="2" t="s">
        <v>99</v>
      </c>
      <c r="B648" s="2" t="s">
        <v>62</v>
      </c>
      <c r="C648" t="s">
        <v>29</v>
      </c>
      <c r="D648" t="s">
        <v>26</v>
      </c>
      <c r="E648" s="2">
        <v>2</v>
      </c>
      <c r="F648" t="s">
        <v>79</v>
      </c>
      <c r="G648">
        <v>6.29</v>
      </c>
      <c r="H648">
        <v>5.49</v>
      </c>
      <c r="I648" s="2" t="str">
        <f>_xlfn.XLOOKUP(F648,DeparaIMG!D:D,DeparaIMG!F:F,,0)</f>
        <v>COR350.png</v>
      </c>
    </row>
    <row r="649" spans="1:9" x14ac:dyDescent="0.25">
      <c r="A649" s="2" t="s">
        <v>99</v>
      </c>
      <c r="B649" s="2" t="s">
        <v>62</v>
      </c>
      <c r="C649" t="s">
        <v>87</v>
      </c>
      <c r="D649" t="s">
        <v>26</v>
      </c>
      <c r="E649" s="2">
        <v>2</v>
      </c>
      <c r="F649" t="s">
        <v>79</v>
      </c>
      <c r="G649">
        <v>6.29</v>
      </c>
      <c r="H649">
        <v>5.49</v>
      </c>
      <c r="I649" s="2" t="str">
        <f>_xlfn.XLOOKUP(F649,DeparaIMG!D:D,DeparaIMG!F:F,,0)</f>
        <v>COR350.png</v>
      </c>
    </row>
    <row r="650" spans="1:9" x14ac:dyDescent="0.25">
      <c r="A650" s="2" t="s">
        <v>99</v>
      </c>
      <c r="B650" s="2" t="s">
        <v>62</v>
      </c>
      <c r="C650" t="s">
        <v>88</v>
      </c>
      <c r="D650" t="s">
        <v>26</v>
      </c>
      <c r="E650" s="2">
        <v>2</v>
      </c>
      <c r="F650" t="s">
        <v>79</v>
      </c>
      <c r="G650">
        <v>6.29</v>
      </c>
      <c r="H650">
        <v>5.49</v>
      </c>
      <c r="I650" s="2" t="str">
        <f>_xlfn.XLOOKUP(F650,DeparaIMG!D:D,DeparaIMG!F:F,,0)</f>
        <v>COR350.png</v>
      </c>
    </row>
    <row r="651" spans="1:9" x14ac:dyDescent="0.25">
      <c r="A651" s="2" t="s">
        <v>99</v>
      </c>
      <c r="B651" s="2" t="s">
        <v>62</v>
      </c>
      <c r="C651" t="s">
        <v>113</v>
      </c>
      <c r="D651" t="s">
        <v>26</v>
      </c>
      <c r="E651" s="2">
        <v>2</v>
      </c>
      <c r="F651" t="s">
        <v>79</v>
      </c>
      <c r="G651">
        <v>6.29</v>
      </c>
      <c r="H651">
        <v>5.49</v>
      </c>
      <c r="I651" s="2" t="str">
        <f>_xlfn.XLOOKUP(F651,DeparaIMG!D:D,DeparaIMG!F:F,,0)</f>
        <v>COR350.png</v>
      </c>
    </row>
    <row r="652" spans="1:9" x14ac:dyDescent="0.25">
      <c r="A652" s="2" t="s">
        <v>99</v>
      </c>
      <c r="B652" s="2" t="s">
        <v>62</v>
      </c>
      <c r="C652" t="s">
        <v>29</v>
      </c>
      <c r="D652" t="s">
        <v>26</v>
      </c>
      <c r="E652" s="2">
        <v>2</v>
      </c>
      <c r="F652" t="s">
        <v>80</v>
      </c>
      <c r="G652">
        <v>6.29</v>
      </c>
      <c r="H652">
        <v>5.49</v>
      </c>
      <c r="I652" s="2" t="str">
        <f>_xlfn.XLOOKUP(F652,DeparaIMG!D:D,DeparaIMG!F:F,,0)</f>
        <v>CORCERO350.png</v>
      </c>
    </row>
    <row r="653" spans="1:9" x14ac:dyDescent="0.25">
      <c r="A653" s="2" t="s">
        <v>99</v>
      </c>
      <c r="B653" s="2" t="s">
        <v>62</v>
      </c>
      <c r="C653" t="s">
        <v>87</v>
      </c>
      <c r="D653" t="s">
        <v>26</v>
      </c>
      <c r="E653" s="2">
        <v>2</v>
      </c>
      <c r="F653" t="s">
        <v>80</v>
      </c>
      <c r="G653">
        <v>6.29</v>
      </c>
      <c r="H653">
        <v>5.49</v>
      </c>
      <c r="I653" s="2" t="str">
        <f>_xlfn.XLOOKUP(F653,DeparaIMG!D:D,DeparaIMG!F:F,,0)</f>
        <v>CORCERO350.png</v>
      </c>
    </row>
    <row r="654" spans="1:9" x14ac:dyDescent="0.25">
      <c r="A654" s="2" t="s">
        <v>99</v>
      </c>
      <c r="B654" s="2" t="s">
        <v>62</v>
      </c>
      <c r="C654" t="s">
        <v>88</v>
      </c>
      <c r="D654" t="s">
        <v>26</v>
      </c>
      <c r="E654" s="2">
        <v>2</v>
      </c>
      <c r="F654" t="s">
        <v>80</v>
      </c>
      <c r="G654">
        <v>6.29</v>
      </c>
      <c r="H654">
        <v>5.49</v>
      </c>
      <c r="I654" s="2" t="str">
        <f>_xlfn.XLOOKUP(F654,DeparaIMG!D:D,DeparaIMG!F:F,,0)</f>
        <v>CORCERO350.png</v>
      </c>
    </row>
    <row r="655" spans="1:9" x14ac:dyDescent="0.25">
      <c r="A655" s="2" t="s">
        <v>99</v>
      </c>
      <c r="B655" s="2" t="s">
        <v>62</v>
      </c>
      <c r="C655" t="s">
        <v>113</v>
      </c>
      <c r="D655" t="s">
        <v>26</v>
      </c>
      <c r="E655" s="2">
        <v>2</v>
      </c>
      <c r="F655" t="s">
        <v>80</v>
      </c>
      <c r="G655">
        <v>6.29</v>
      </c>
      <c r="H655">
        <v>5.49</v>
      </c>
      <c r="I655" s="2" t="str">
        <f>_xlfn.XLOOKUP(F655,DeparaIMG!D:D,DeparaIMG!F:F,,0)</f>
        <v>CORCERO350.png</v>
      </c>
    </row>
    <row r="656" spans="1:9" x14ac:dyDescent="0.25">
      <c r="A656" s="2" t="s">
        <v>99</v>
      </c>
      <c r="B656" s="2" t="s">
        <v>62</v>
      </c>
      <c r="C656" t="s">
        <v>90</v>
      </c>
      <c r="D656" t="s">
        <v>26</v>
      </c>
      <c r="E656" s="2">
        <v>2</v>
      </c>
      <c r="F656" t="s">
        <v>80</v>
      </c>
      <c r="G656">
        <v>6.29</v>
      </c>
      <c r="H656">
        <v>5.49</v>
      </c>
      <c r="I656" s="2" t="str">
        <f>_xlfn.XLOOKUP(F656,DeparaIMG!D:D,DeparaIMG!F:F,,0)</f>
        <v>CORCERO350.png</v>
      </c>
    </row>
    <row r="657" spans="1:9" x14ac:dyDescent="0.25">
      <c r="A657" s="2" t="s">
        <v>99</v>
      </c>
      <c r="B657" s="2" t="s">
        <v>62</v>
      </c>
      <c r="C657" t="s">
        <v>89</v>
      </c>
      <c r="D657" t="s">
        <v>26</v>
      </c>
      <c r="E657" s="2">
        <v>2</v>
      </c>
      <c r="F657" t="s">
        <v>80</v>
      </c>
      <c r="G657">
        <v>6.29</v>
      </c>
      <c r="H657">
        <v>5.49</v>
      </c>
      <c r="I657" s="2" t="str">
        <f>_xlfn.XLOOKUP(F657,DeparaIMG!D:D,DeparaIMG!F:F,,0)</f>
        <v>CORCERO350.png</v>
      </c>
    </row>
    <row r="658" spans="1:9" x14ac:dyDescent="0.25">
      <c r="A658" s="2" t="s">
        <v>99</v>
      </c>
      <c r="B658" s="2" t="s">
        <v>62</v>
      </c>
      <c r="C658" t="s">
        <v>112</v>
      </c>
      <c r="D658" t="s">
        <v>25</v>
      </c>
      <c r="E658" s="2">
        <v>2</v>
      </c>
      <c r="F658" t="s">
        <v>83</v>
      </c>
      <c r="G658">
        <v>6.69</v>
      </c>
      <c r="H658">
        <v>6.19</v>
      </c>
      <c r="I658" s="2" t="str">
        <f>_xlfn.XLOOKUP(F658,DeparaIMG!D:D,DeparaIMG!F:F,,0)</f>
        <v>MICLN.png</v>
      </c>
    </row>
    <row r="659" spans="1:9" x14ac:dyDescent="0.25">
      <c r="A659" s="2" t="s">
        <v>99</v>
      </c>
      <c r="B659" s="2" t="s">
        <v>62</v>
      </c>
      <c r="C659" t="s">
        <v>112</v>
      </c>
      <c r="D659" t="s">
        <v>26</v>
      </c>
      <c r="E659" s="2">
        <v>2</v>
      </c>
      <c r="F659" t="s">
        <v>83</v>
      </c>
      <c r="G659">
        <v>6.69</v>
      </c>
      <c r="H659">
        <v>6.19</v>
      </c>
      <c r="I659" s="2" t="str">
        <f>_xlfn.XLOOKUP(F659,DeparaIMG!D:D,DeparaIMG!F:F,,0)</f>
        <v>MICLN.png</v>
      </c>
    </row>
    <row r="660" spans="1:9" x14ac:dyDescent="0.25">
      <c r="A660" s="2" t="s">
        <v>99</v>
      </c>
      <c r="B660" s="2" t="s">
        <v>62</v>
      </c>
      <c r="C660" t="s">
        <v>29</v>
      </c>
      <c r="D660" t="s">
        <v>25</v>
      </c>
      <c r="E660" s="2">
        <v>2</v>
      </c>
      <c r="F660" t="s">
        <v>83</v>
      </c>
      <c r="G660">
        <v>6.69</v>
      </c>
      <c r="H660">
        <v>6.19</v>
      </c>
      <c r="I660" s="2" t="str">
        <f>_xlfn.XLOOKUP(F660,DeparaIMG!D:D,DeparaIMG!F:F,,0)</f>
        <v>MICLN.png</v>
      </c>
    </row>
    <row r="661" spans="1:9" x14ac:dyDescent="0.25">
      <c r="A661" s="2" t="s">
        <v>99</v>
      </c>
      <c r="B661" s="2" t="s">
        <v>62</v>
      </c>
      <c r="C661" t="s">
        <v>29</v>
      </c>
      <c r="D661" t="s">
        <v>26</v>
      </c>
      <c r="E661" s="2">
        <v>2</v>
      </c>
      <c r="F661" t="s">
        <v>83</v>
      </c>
      <c r="G661">
        <v>6.69</v>
      </c>
      <c r="H661">
        <v>6.19</v>
      </c>
      <c r="I661" s="2" t="str">
        <f>_xlfn.XLOOKUP(F661,DeparaIMG!D:D,DeparaIMG!F:F,,0)</f>
        <v>MICLN.png</v>
      </c>
    </row>
    <row r="662" spans="1:9" x14ac:dyDescent="0.25">
      <c r="A662" s="2" t="s">
        <v>99</v>
      </c>
      <c r="B662" s="2" t="s">
        <v>62</v>
      </c>
      <c r="C662" t="s">
        <v>87</v>
      </c>
      <c r="D662" t="s">
        <v>25</v>
      </c>
      <c r="E662" s="2">
        <v>2</v>
      </c>
      <c r="F662" t="s">
        <v>83</v>
      </c>
      <c r="G662">
        <v>6.69</v>
      </c>
      <c r="H662">
        <v>5.99</v>
      </c>
      <c r="I662" s="2" t="str">
        <f>_xlfn.XLOOKUP(F662,DeparaIMG!D:D,DeparaIMG!F:F,,0)</f>
        <v>MICLN.png</v>
      </c>
    </row>
    <row r="663" spans="1:9" x14ac:dyDescent="0.25">
      <c r="A663" s="2" t="s">
        <v>99</v>
      </c>
      <c r="B663" s="2" t="s">
        <v>62</v>
      </c>
      <c r="C663" t="s">
        <v>87</v>
      </c>
      <c r="D663" t="s">
        <v>26</v>
      </c>
      <c r="E663" s="2">
        <v>2</v>
      </c>
      <c r="F663" t="s">
        <v>83</v>
      </c>
      <c r="G663">
        <v>6.69</v>
      </c>
      <c r="H663">
        <v>5.99</v>
      </c>
      <c r="I663" s="2" t="str">
        <f>_xlfn.XLOOKUP(F663,DeparaIMG!D:D,DeparaIMG!F:F,,0)</f>
        <v>MICLN.png</v>
      </c>
    </row>
    <row r="664" spans="1:9" x14ac:dyDescent="0.25">
      <c r="A664" s="2" t="s">
        <v>99</v>
      </c>
      <c r="B664" s="2" t="s">
        <v>62</v>
      </c>
      <c r="C664" t="s">
        <v>88</v>
      </c>
      <c r="D664" t="s">
        <v>25</v>
      </c>
      <c r="E664" s="2">
        <v>2</v>
      </c>
      <c r="F664" t="s">
        <v>83</v>
      </c>
      <c r="G664">
        <v>6.69</v>
      </c>
      <c r="H664">
        <v>5.99</v>
      </c>
      <c r="I664" s="2" t="str">
        <f>_xlfn.XLOOKUP(F664,DeparaIMG!D:D,DeparaIMG!F:F,,0)</f>
        <v>MICLN.png</v>
      </c>
    </row>
    <row r="665" spans="1:9" x14ac:dyDescent="0.25">
      <c r="A665" s="2" t="s">
        <v>99</v>
      </c>
      <c r="B665" s="2" t="s">
        <v>62</v>
      </c>
      <c r="C665" t="s">
        <v>88</v>
      </c>
      <c r="D665" t="s">
        <v>26</v>
      </c>
      <c r="E665" s="2">
        <v>2</v>
      </c>
      <c r="F665" t="s">
        <v>83</v>
      </c>
      <c r="G665">
        <v>6.69</v>
      </c>
      <c r="H665">
        <v>5.99</v>
      </c>
      <c r="I665" s="2" t="str">
        <f>_xlfn.XLOOKUP(F665,DeparaIMG!D:D,DeparaIMG!F:F,,0)</f>
        <v>MICLN.png</v>
      </c>
    </row>
    <row r="666" spans="1:9" x14ac:dyDescent="0.25">
      <c r="A666" s="2" t="s">
        <v>99</v>
      </c>
      <c r="B666" s="2" t="s">
        <v>62</v>
      </c>
      <c r="C666" t="s">
        <v>113</v>
      </c>
      <c r="D666" t="s">
        <v>25</v>
      </c>
      <c r="E666" s="2">
        <v>2</v>
      </c>
      <c r="F666" t="s">
        <v>83</v>
      </c>
      <c r="G666">
        <v>6.69</v>
      </c>
      <c r="H666">
        <v>6.19</v>
      </c>
      <c r="I666" s="2" t="str">
        <f>_xlfn.XLOOKUP(F666,DeparaIMG!D:D,DeparaIMG!F:F,,0)</f>
        <v>MICLN.png</v>
      </c>
    </row>
    <row r="667" spans="1:9" x14ac:dyDescent="0.25">
      <c r="A667" s="2" t="s">
        <v>99</v>
      </c>
      <c r="B667" s="2" t="s">
        <v>62</v>
      </c>
      <c r="C667" t="s">
        <v>113</v>
      </c>
      <c r="D667" t="s">
        <v>26</v>
      </c>
      <c r="E667" s="2">
        <v>2</v>
      </c>
      <c r="F667" t="s">
        <v>83</v>
      </c>
      <c r="G667">
        <v>6.69</v>
      </c>
      <c r="H667">
        <v>6.19</v>
      </c>
      <c r="I667" s="2" t="str">
        <f>_xlfn.XLOOKUP(F667,DeparaIMG!D:D,DeparaIMG!F:F,,0)</f>
        <v>MICLN.png</v>
      </c>
    </row>
    <row r="668" spans="1:9" x14ac:dyDescent="0.25">
      <c r="A668" s="2" t="s">
        <v>99</v>
      </c>
      <c r="B668" s="2" t="s">
        <v>62</v>
      </c>
      <c r="C668" t="s">
        <v>90</v>
      </c>
      <c r="D668" t="s">
        <v>26</v>
      </c>
      <c r="E668" s="2">
        <v>2</v>
      </c>
      <c r="F668" t="s">
        <v>83</v>
      </c>
      <c r="G668">
        <v>6.69</v>
      </c>
      <c r="H668">
        <v>6.19</v>
      </c>
      <c r="I668" s="2" t="str">
        <f>_xlfn.XLOOKUP(F668,DeparaIMG!D:D,DeparaIMG!F:F,,0)</f>
        <v>MICLN.png</v>
      </c>
    </row>
    <row r="669" spans="1:9" x14ac:dyDescent="0.25">
      <c r="A669" s="2" t="s">
        <v>99</v>
      </c>
      <c r="B669" s="2" t="s">
        <v>62</v>
      </c>
      <c r="C669" t="s">
        <v>89</v>
      </c>
      <c r="D669" t="s">
        <v>26</v>
      </c>
      <c r="E669" s="2">
        <v>2</v>
      </c>
      <c r="F669" t="s">
        <v>83</v>
      </c>
      <c r="G669">
        <v>6.69</v>
      </c>
      <c r="H669">
        <v>6.19</v>
      </c>
      <c r="I669" s="2" t="str">
        <f>_xlfn.XLOOKUP(F669,DeparaIMG!D:D,DeparaIMG!F:F,,0)</f>
        <v>MICLN.png</v>
      </c>
    </row>
    <row r="670" spans="1:9" x14ac:dyDescent="0.25">
      <c r="A670" s="2" t="s">
        <v>99</v>
      </c>
      <c r="B670" s="2" t="s">
        <v>62</v>
      </c>
      <c r="C670" t="s">
        <v>89</v>
      </c>
      <c r="D670" t="s">
        <v>25</v>
      </c>
      <c r="E670" s="2">
        <v>2</v>
      </c>
      <c r="F670" t="s">
        <v>83</v>
      </c>
      <c r="G670">
        <v>6.69</v>
      </c>
      <c r="H670">
        <v>6.19</v>
      </c>
      <c r="I670" s="2" t="str">
        <f>_xlfn.XLOOKUP(F670,DeparaIMG!D:D,DeparaIMG!F:F,,0)</f>
        <v>MICLN.png</v>
      </c>
    </row>
    <row r="671" spans="1:9" x14ac:dyDescent="0.25">
      <c r="A671" s="2" t="s">
        <v>99</v>
      </c>
      <c r="B671" s="2" t="s">
        <v>62</v>
      </c>
      <c r="C671" t="s">
        <v>90</v>
      </c>
      <c r="D671" t="s">
        <v>25</v>
      </c>
      <c r="E671" s="2">
        <v>2</v>
      </c>
      <c r="F671" t="s">
        <v>83</v>
      </c>
      <c r="G671">
        <v>6.69</v>
      </c>
      <c r="H671">
        <v>6.19</v>
      </c>
      <c r="I671" s="2" t="str">
        <f>_xlfn.XLOOKUP(F671,DeparaIMG!D:D,DeparaIMG!F:F,,0)</f>
        <v>MICLN.png</v>
      </c>
    </row>
    <row r="672" spans="1:9" x14ac:dyDescent="0.25">
      <c r="A672" s="2" t="s">
        <v>99</v>
      </c>
      <c r="B672" s="2" t="s">
        <v>62</v>
      </c>
      <c r="C672" t="s">
        <v>88</v>
      </c>
      <c r="D672" t="s">
        <v>25</v>
      </c>
      <c r="E672" s="2">
        <v>1</v>
      </c>
      <c r="F672" t="s">
        <v>85</v>
      </c>
      <c r="G672">
        <v>7.99</v>
      </c>
      <c r="H672">
        <v>6.99</v>
      </c>
      <c r="I672" s="2" t="str">
        <f>_xlfn.XLOOKUP(F672,DeparaIMG!D:D,DeparaIMG!F:F,,0)</f>
        <v>CORLN.png</v>
      </c>
    </row>
    <row r="673" spans="1:9" x14ac:dyDescent="0.25">
      <c r="A673" s="2" t="s">
        <v>99</v>
      </c>
      <c r="B673" s="2" t="s">
        <v>62</v>
      </c>
      <c r="C673" t="s">
        <v>113</v>
      </c>
      <c r="D673" t="s">
        <v>26</v>
      </c>
      <c r="E673" s="2">
        <v>1</v>
      </c>
      <c r="F673" t="s">
        <v>85</v>
      </c>
      <c r="G673">
        <v>7.99</v>
      </c>
      <c r="H673">
        <v>6.99</v>
      </c>
      <c r="I673" s="2" t="str">
        <f>_xlfn.XLOOKUP(F673,DeparaIMG!D:D,DeparaIMG!F:F,,0)</f>
        <v>CORLN.png</v>
      </c>
    </row>
    <row r="674" spans="1:9" x14ac:dyDescent="0.25">
      <c r="A674" s="2" t="s">
        <v>99</v>
      </c>
      <c r="B674" s="2" t="s">
        <v>62</v>
      </c>
      <c r="C674" t="s">
        <v>89</v>
      </c>
      <c r="D674" t="s">
        <v>26</v>
      </c>
      <c r="E674" s="2">
        <v>1</v>
      </c>
      <c r="F674" t="s">
        <v>85</v>
      </c>
      <c r="G674">
        <v>7.99</v>
      </c>
      <c r="H674">
        <v>6.99</v>
      </c>
      <c r="I674" s="2" t="str">
        <f>_xlfn.XLOOKUP(F674,DeparaIMG!D:D,DeparaIMG!F:F,,0)</f>
        <v>CORLN.png</v>
      </c>
    </row>
    <row r="675" spans="1:9" x14ac:dyDescent="0.25">
      <c r="A675" s="2" t="s">
        <v>99</v>
      </c>
      <c r="B675" s="2" t="s">
        <v>62</v>
      </c>
      <c r="C675" t="s">
        <v>90</v>
      </c>
      <c r="D675" t="s">
        <v>26</v>
      </c>
      <c r="E675" s="2">
        <v>1</v>
      </c>
      <c r="F675" t="s">
        <v>85</v>
      </c>
      <c r="G675">
        <v>7.99</v>
      </c>
      <c r="H675">
        <v>6.99</v>
      </c>
      <c r="I675" s="2" t="str">
        <f>_xlfn.XLOOKUP(F675,DeparaIMG!D:D,DeparaIMG!F:F,,0)</f>
        <v>CORLN.png</v>
      </c>
    </row>
    <row r="676" spans="1:9" x14ac:dyDescent="0.25">
      <c r="A676" s="2" t="s">
        <v>99</v>
      </c>
      <c r="B676" s="2" t="s">
        <v>62</v>
      </c>
      <c r="C676" t="s">
        <v>89</v>
      </c>
      <c r="D676" t="s">
        <v>25</v>
      </c>
      <c r="E676" s="2">
        <v>1</v>
      </c>
      <c r="F676" t="s">
        <v>85</v>
      </c>
      <c r="G676">
        <v>7.99</v>
      </c>
      <c r="H676">
        <v>6.99</v>
      </c>
      <c r="I676" s="2" t="str">
        <f>_xlfn.XLOOKUP(F676,DeparaIMG!D:D,DeparaIMG!F:F,,0)</f>
        <v>CORLN.png</v>
      </c>
    </row>
    <row r="677" spans="1:9" x14ac:dyDescent="0.25">
      <c r="A677" s="2" t="s">
        <v>99</v>
      </c>
      <c r="B677" s="2" t="s">
        <v>62</v>
      </c>
      <c r="C677" t="s">
        <v>90</v>
      </c>
      <c r="D677" t="s">
        <v>25</v>
      </c>
      <c r="E677" s="2">
        <v>1</v>
      </c>
      <c r="F677" t="s">
        <v>85</v>
      </c>
      <c r="G677">
        <v>7.99</v>
      </c>
      <c r="H677">
        <v>6.99</v>
      </c>
      <c r="I677" s="2" t="str">
        <f>_xlfn.XLOOKUP(F677,DeparaIMG!D:D,DeparaIMG!F:F,,0)</f>
        <v>CORLN.png</v>
      </c>
    </row>
    <row r="678" spans="1:9" x14ac:dyDescent="0.25">
      <c r="A678" s="2" t="s">
        <v>99</v>
      </c>
      <c r="B678" s="2" t="s">
        <v>62</v>
      </c>
      <c r="C678" t="s">
        <v>88</v>
      </c>
      <c r="D678" t="s">
        <v>25</v>
      </c>
      <c r="E678" s="2">
        <v>1</v>
      </c>
      <c r="F678" t="s">
        <v>86</v>
      </c>
      <c r="G678">
        <v>7.99</v>
      </c>
      <c r="H678">
        <v>6.99</v>
      </c>
      <c r="I678" s="2" t="str">
        <f>_xlfn.XLOOKUP(F678,DeparaIMG!D:D,DeparaIMG!F:F,,0)</f>
        <v>CORCEROLN.png</v>
      </c>
    </row>
    <row r="679" spans="1:9" x14ac:dyDescent="0.25">
      <c r="A679" s="2" t="s">
        <v>99</v>
      </c>
      <c r="B679" s="2" t="s">
        <v>62</v>
      </c>
      <c r="C679" t="s">
        <v>113</v>
      </c>
      <c r="D679" t="s">
        <v>26</v>
      </c>
      <c r="E679" s="2">
        <v>1</v>
      </c>
      <c r="F679" t="s">
        <v>86</v>
      </c>
      <c r="G679">
        <v>7.99</v>
      </c>
      <c r="H679">
        <v>6.99</v>
      </c>
      <c r="I679" s="2" t="str">
        <f>_xlfn.XLOOKUP(F679,DeparaIMG!D:D,DeparaIMG!F:F,,0)</f>
        <v>CORCEROLN.png</v>
      </c>
    </row>
    <row r="680" spans="1:9" x14ac:dyDescent="0.25">
      <c r="A680" s="2" t="s">
        <v>99</v>
      </c>
      <c r="B680" s="2" t="s">
        <v>62</v>
      </c>
      <c r="C680" t="s">
        <v>89</v>
      </c>
      <c r="D680" t="s">
        <v>26</v>
      </c>
      <c r="E680" s="2">
        <v>1</v>
      </c>
      <c r="F680" t="s">
        <v>86</v>
      </c>
      <c r="G680">
        <v>7.99</v>
      </c>
      <c r="H680">
        <v>6.99</v>
      </c>
      <c r="I680" s="2" t="str">
        <f>_xlfn.XLOOKUP(F680,DeparaIMG!D:D,DeparaIMG!F:F,,0)</f>
        <v>CORCEROLN.png</v>
      </c>
    </row>
    <row r="681" spans="1:9" x14ac:dyDescent="0.25">
      <c r="A681" s="2" t="s">
        <v>99</v>
      </c>
      <c r="B681" s="2" t="s">
        <v>62</v>
      </c>
      <c r="C681" t="s">
        <v>90</v>
      </c>
      <c r="D681" t="s">
        <v>26</v>
      </c>
      <c r="E681" s="2">
        <v>1</v>
      </c>
      <c r="F681" t="s">
        <v>86</v>
      </c>
      <c r="G681">
        <v>7.99</v>
      </c>
      <c r="H681">
        <v>6.99</v>
      </c>
      <c r="I681" s="2" t="str">
        <f>_xlfn.XLOOKUP(F681,DeparaIMG!D:D,DeparaIMG!F:F,,0)</f>
        <v>CORCEROLN.png</v>
      </c>
    </row>
    <row r="682" spans="1:9" x14ac:dyDescent="0.25">
      <c r="A682" s="2" t="s">
        <v>99</v>
      </c>
      <c r="B682" s="2" t="s">
        <v>62</v>
      </c>
      <c r="C682" t="s">
        <v>89</v>
      </c>
      <c r="D682" t="s">
        <v>25</v>
      </c>
      <c r="E682" s="2">
        <v>1</v>
      </c>
      <c r="F682" t="s">
        <v>86</v>
      </c>
      <c r="G682">
        <v>7.99</v>
      </c>
      <c r="H682">
        <v>6.99</v>
      </c>
      <c r="I682" s="2" t="str">
        <f>_xlfn.XLOOKUP(F682,DeparaIMG!D:D,DeparaIMG!F:F,,0)</f>
        <v>CORCEROLN.png</v>
      </c>
    </row>
    <row r="683" spans="1:9" x14ac:dyDescent="0.25">
      <c r="A683" s="2" t="s">
        <v>99</v>
      </c>
      <c r="B683" s="2" t="s">
        <v>62</v>
      </c>
      <c r="C683" t="s">
        <v>90</v>
      </c>
      <c r="D683" t="s">
        <v>25</v>
      </c>
      <c r="E683" s="2">
        <v>1</v>
      </c>
      <c r="F683" t="s">
        <v>86</v>
      </c>
      <c r="G683">
        <v>7.99</v>
      </c>
      <c r="H683">
        <v>6.99</v>
      </c>
      <c r="I683" s="2" t="str">
        <f>_xlfn.XLOOKUP(F683,DeparaIMG!D:D,DeparaIMG!F:F,,0)</f>
        <v>CORCEROLN.png</v>
      </c>
    </row>
    <row r="684" spans="1:9" x14ac:dyDescent="0.25">
      <c r="A684" s="2" t="s">
        <v>99</v>
      </c>
      <c r="B684" s="2" t="s">
        <v>62</v>
      </c>
      <c r="C684" t="s">
        <v>112</v>
      </c>
      <c r="D684" t="s">
        <v>25</v>
      </c>
      <c r="E684" s="2">
        <v>1</v>
      </c>
      <c r="F684" t="s">
        <v>85</v>
      </c>
      <c r="G684">
        <v>7.99</v>
      </c>
      <c r="H684">
        <v>6.99</v>
      </c>
      <c r="I684" s="2" t="str">
        <f>_xlfn.XLOOKUP(F684,DeparaIMG!D:D,DeparaIMG!F:F,,0)</f>
        <v>CORLN.png</v>
      </c>
    </row>
    <row r="685" spans="1:9" x14ac:dyDescent="0.25">
      <c r="A685" s="2" t="s">
        <v>99</v>
      </c>
      <c r="B685" s="2" t="s">
        <v>62</v>
      </c>
      <c r="C685" t="s">
        <v>112</v>
      </c>
      <c r="D685" t="s">
        <v>26</v>
      </c>
      <c r="E685" s="2">
        <v>1</v>
      </c>
      <c r="F685" t="s">
        <v>85</v>
      </c>
      <c r="G685">
        <v>7.99</v>
      </c>
      <c r="H685">
        <v>6.99</v>
      </c>
      <c r="I685" s="2" t="str">
        <f>_xlfn.XLOOKUP(F685,DeparaIMG!D:D,DeparaIMG!F:F,,0)</f>
        <v>CORLN.png</v>
      </c>
    </row>
    <row r="686" spans="1:9" x14ac:dyDescent="0.25">
      <c r="A686" s="2" t="s">
        <v>99</v>
      </c>
      <c r="B686" s="2" t="s">
        <v>62</v>
      </c>
      <c r="C686" t="s">
        <v>29</v>
      </c>
      <c r="D686" t="s">
        <v>25</v>
      </c>
      <c r="E686" s="2">
        <v>1</v>
      </c>
      <c r="F686" t="s">
        <v>85</v>
      </c>
      <c r="G686">
        <v>7.99</v>
      </c>
      <c r="H686">
        <v>6.99</v>
      </c>
      <c r="I686" s="2" t="str">
        <f>_xlfn.XLOOKUP(F686,DeparaIMG!D:D,DeparaIMG!F:F,,0)</f>
        <v>CORLN.png</v>
      </c>
    </row>
    <row r="687" spans="1:9" x14ac:dyDescent="0.25">
      <c r="A687" s="2" t="s">
        <v>99</v>
      </c>
      <c r="B687" s="2" t="s">
        <v>62</v>
      </c>
      <c r="C687" t="s">
        <v>29</v>
      </c>
      <c r="D687" t="s">
        <v>26</v>
      </c>
      <c r="E687" s="2">
        <v>1</v>
      </c>
      <c r="F687" t="s">
        <v>85</v>
      </c>
      <c r="G687">
        <v>7.99</v>
      </c>
      <c r="H687">
        <v>6.99</v>
      </c>
      <c r="I687" s="2" t="str">
        <f>_xlfn.XLOOKUP(F687,DeparaIMG!D:D,DeparaIMG!F:F,,0)</f>
        <v>CORLN.png</v>
      </c>
    </row>
    <row r="688" spans="1:9" x14ac:dyDescent="0.25">
      <c r="A688" s="2" t="s">
        <v>99</v>
      </c>
      <c r="B688" s="2" t="s">
        <v>62</v>
      </c>
      <c r="C688" t="s">
        <v>87</v>
      </c>
      <c r="D688" t="s">
        <v>25</v>
      </c>
      <c r="E688" s="2">
        <v>1</v>
      </c>
      <c r="F688" t="s">
        <v>85</v>
      </c>
      <c r="G688">
        <v>7.99</v>
      </c>
      <c r="H688">
        <v>6.99</v>
      </c>
      <c r="I688" s="2" t="str">
        <f>_xlfn.XLOOKUP(F688,DeparaIMG!D:D,DeparaIMG!F:F,,0)</f>
        <v>CORLN.png</v>
      </c>
    </row>
    <row r="689" spans="1:9" x14ac:dyDescent="0.25">
      <c r="A689" s="2" t="s">
        <v>99</v>
      </c>
      <c r="B689" s="2" t="s">
        <v>62</v>
      </c>
      <c r="C689" t="s">
        <v>87</v>
      </c>
      <c r="D689" t="s">
        <v>26</v>
      </c>
      <c r="E689" s="2">
        <v>1</v>
      </c>
      <c r="F689" t="s">
        <v>85</v>
      </c>
      <c r="G689">
        <v>7.99</v>
      </c>
      <c r="H689">
        <v>6.99</v>
      </c>
      <c r="I689" s="2" t="str">
        <f>_xlfn.XLOOKUP(F689,DeparaIMG!D:D,DeparaIMG!F:F,,0)</f>
        <v>CORLN.png</v>
      </c>
    </row>
    <row r="690" spans="1:9" x14ac:dyDescent="0.25">
      <c r="A690" s="2" t="s">
        <v>99</v>
      </c>
      <c r="B690" s="2" t="s">
        <v>62</v>
      </c>
      <c r="C690" t="s">
        <v>88</v>
      </c>
      <c r="D690" t="s">
        <v>26</v>
      </c>
      <c r="E690" s="2">
        <v>1</v>
      </c>
      <c r="F690" t="s">
        <v>85</v>
      </c>
      <c r="G690">
        <v>7.99</v>
      </c>
      <c r="H690">
        <v>6.99</v>
      </c>
      <c r="I690" s="2" t="str">
        <f>_xlfn.XLOOKUP(F690,DeparaIMG!D:D,DeparaIMG!F:F,,0)</f>
        <v>CORLN.png</v>
      </c>
    </row>
    <row r="691" spans="1:9" x14ac:dyDescent="0.25">
      <c r="A691" s="2" t="s">
        <v>99</v>
      </c>
      <c r="B691" s="2" t="s">
        <v>62</v>
      </c>
      <c r="C691" t="s">
        <v>113</v>
      </c>
      <c r="D691" t="s">
        <v>25</v>
      </c>
      <c r="E691" s="2">
        <v>1</v>
      </c>
      <c r="F691" t="s">
        <v>85</v>
      </c>
      <c r="G691">
        <v>7.99</v>
      </c>
      <c r="H691">
        <v>6.99</v>
      </c>
      <c r="I691" s="2" t="str">
        <f>_xlfn.XLOOKUP(F691,DeparaIMG!D:D,DeparaIMG!F:F,,0)</f>
        <v>CORLN.png</v>
      </c>
    </row>
    <row r="692" spans="1:9" x14ac:dyDescent="0.25">
      <c r="A692" s="2" t="s">
        <v>99</v>
      </c>
      <c r="B692" s="2" t="s">
        <v>62</v>
      </c>
      <c r="C692" t="s">
        <v>112</v>
      </c>
      <c r="D692" t="s">
        <v>25</v>
      </c>
      <c r="E692" s="2">
        <v>1</v>
      </c>
      <c r="F692" t="s">
        <v>86</v>
      </c>
      <c r="G692">
        <v>7.99</v>
      </c>
      <c r="H692">
        <v>6.99</v>
      </c>
      <c r="I692" s="2" t="str">
        <f>_xlfn.XLOOKUP(F692,DeparaIMG!D:D,DeparaIMG!F:F,,0)</f>
        <v>CORCEROLN.png</v>
      </c>
    </row>
    <row r="693" spans="1:9" x14ac:dyDescent="0.25">
      <c r="A693" s="2" t="s">
        <v>99</v>
      </c>
      <c r="B693" s="2" t="s">
        <v>62</v>
      </c>
      <c r="C693" t="s">
        <v>112</v>
      </c>
      <c r="D693" t="s">
        <v>26</v>
      </c>
      <c r="E693" s="2">
        <v>1</v>
      </c>
      <c r="F693" t="s">
        <v>86</v>
      </c>
      <c r="G693">
        <v>7.99</v>
      </c>
      <c r="H693">
        <v>6.99</v>
      </c>
      <c r="I693" s="2" t="str">
        <f>_xlfn.XLOOKUP(F693,DeparaIMG!D:D,DeparaIMG!F:F,,0)</f>
        <v>CORCEROLN.png</v>
      </c>
    </row>
    <row r="694" spans="1:9" x14ac:dyDescent="0.25">
      <c r="A694" s="2" t="s">
        <v>99</v>
      </c>
      <c r="B694" s="2" t="s">
        <v>62</v>
      </c>
      <c r="C694" t="s">
        <v>29</v>
      </c>
      <c r="D694" t="s">
        <v>25</v>
      </c>
      <c r="E694" s="2">
        <v>1</v>
      </c>
      <c r="F694" t="s">
        <v>86</v>
      </c>
      <c r="G694">
        <v>7.99</v>
      </c>
      <c r="H694">
        <v>6.99</v>
      </c>
      <c r="I694" s="2" t="str">
        <f>_xlfn.XLOOKUP(F694,DeparaIMG!D:D,DeparaIMG!F:F,,0)</f>
        <v>CORCEROLN.png</v>
      </c>
    </row>
    <row r="695" spans="1:9" x14ac:dyDescent="0.25">
      <c r="A695" s="2" t="s">
        <v>99</v>
      </c>
      <c r="B695" s="2" t="s">
        <v>62</v>
      </c>
      <c r="C695" t="s">
        <v>29</v>
      </c>
      <c r="D695" t="s">
        <v>26</v>
      </c>
      <c r="E695" s="2">
        <v>1</v>
      </c>
      <c r="F695" t="s">
        <v>86</v>
      </c>
      <c r="G695">
        <v>7.99</v>
      </c>
      <c r="H695">
        <v>6.99</v>
      </c>
      <c r="I695" s="2" t="str">
        <f>_xlfn.XLOOKUP(F695,DeparaIMG!D:D,DeparaIMG!F:F,,0)</f>
        <v>CORCEROLN.png</v>
      </c>
    </row>
    <row r="696" spans="1:9" x14ac:dyDescent="0.25">
      <c r="A696" s="2" t="s">
        <v>99</v>
      </c>
      <c r="B696" s="2" t="s">
        <v>62</v>
      </c>
      <c r="C696" t="s">
        <v>87</v>
      </c>
      <c r="D696" t="s">
        <v>25</v>
      </c>
      <c r="E696" s="2">
        <v>1</v>
      </c>
      <c r="F696" t="s">
        <v>86</v>
      </c>
      <c r="G696">
        <v>7.99</v>
      </c>
      <c r="H696">
        <v>6.99</v>
      </c>
      <c r="I696" s="2" t="str">
        <f>_xlfn.XLOOKUP(F696,DeparaIMG!D:D,DeparaIMG!F:F,,0)</f>
        <v>CORCEROLN.png</v>
      </c>
    </row>
    <row r="697" spans="1:9" x14ac:dyDescent="0.25">
      <c r="A697" s="2" t="s">
        <v>99</v>
      </c>
      <c r="B697" s="2" t="s">
        <v>62</v>
      </c>
      <c r="C697" t="s">
        <v>87</v>
      </c>
      <c r="D697" t="s">
        <v>26</v>
      </c>
      <c r="E697" s="2">
        <v>1</v>
      </c>
      <c r="F697" t="s">
        <v>86</v>
      </c>
      <c r="G697">
        <v>7.99</v>
      </c>
      <c r="H697">
        <v>6.99</v>
      </c>
      <c r="I697" s="2" t="str">
        <f>_xlfn.XLOOKUP(F697,DeparaIMG!D:D,DeparaIMG!F:F,,0)</f>
        <v>CORCEROLN.png</v>
      </c>
    </row>
    <row r="698" spans="1:9" x14ac:dyDescent="0.25">
      <c r="A698" s="2" t="s">
        <v>99</v>
      </c>
      <c r="B698" s="2" t="s">
        <v>62</v>
      </c>
      <c r="C698" t="s">
        <v>88</v>
      </c>
      <c r="D698" t="s">
        <v>26</v>
      </c>
      <c r="E698" s="2">
        <v>1</v>
      </c>
      <c r="F698" t="s">
        <v>86</v>
      </c>
      <c r="G698">
        <v>7.99</v>
      </c>
      <c r="H698">
        <v>6.99</v>
      </c>
      <c r="I698" s="2" t="str">
        <f>_xlfn.XLOOKUP(F698,DeparaIMG!D:D,DeparaIMG!F:F,,0)</f>
        <v>CORCEROLN.png</v>
      </c>
    </row>
    <row r="699" spans="1:9" x14ac:dyDescent="0.25">
      <c r="A699" s="2" t="s">
        <v>99</v>
      </c>
      <c r="B699" s="2" t="s">
        <v>62</v>
      </c>
      <c r="C699" t="s">
        <v>113</v>
      </c>
      <c r="D699" t="s">
        <v>25</v>
      </c>
      <c r="E699" s="2">
        <v>1</v>
      </c>
      <c r="F699" t="s">
        <v>86</v>
      </c>
      <c r="G699">
        <v>7.99</v>
      </c>
      <c r="H699">
        <v>6.99</v>
      </c>
      <c r="I699" s="2" t="str">
        <f>_xlfn.XLOOKUP(F699,DeparaIMG!D:D,DeparaIMG!F:F,,0)</f>
        <v>CORCEROLN.png</v>
      </c>
    </row>
    <row r="700" spans="1:9" x14ac:dyDescent="0.25">
      <c r="A700" s="2" t="s">
        <v>99</v>
      </c>
      <c r="B700" s="2" t="s">
        <v>62</v>
      </c>
      <c r="C700" t="s">
        <v>112</v>
      </c>
      <c r="D700" t="s">
        <v>25</v>
      </c>
      <c r="E700" s="2">
        <v>2</v>
      </c>
      <c r="F700" t="s">
        <v>80</v>
      </c>
      <c r="G700">
        <v>6.19</v>
      </c>
      <c r="H700">
        <v>5.39</v>
      </c>
      <c r="I700" s="2" t="str">
        <f>_xlfn.XLOOKUP(F700,DeparaIMG!D:D,DeparaIMG!F:F,,0)</f>
        <v>CORCERO350.png</v>
      </c>
    </row>
    <row r="701" spans="1:9" x14ac:dyDescent="0.25">
      <c r="A701" s="2" t="s">
        <v>99</v>
      </c>
      <c r="B701" s="2" t="s">
        <v>62</v>
      </c>
      <c r="C701" t="s">
        <v>29</v>
      </c>
      <c r="D701" t="s">
        <v>25</v>
      </c>
      <c r="E701" s="2">
        <v>2</v>
      </c>
      <c r="F701" t="s">
        <v>80</v>
      </c>
      <c r="G701">
        <v>6.29</v>
      </c>
      <c r="H701">
        <v>5.49</v>
      </c>
      <c r="I701" s="2" t="str">
        <f>_xlfn.XLOOKUP(F701,DeparaIMG!D:D,DeparaIMG!F:F,,0)</f>
        <v>CORCERO350.png</v>
      </c>
    </row>
    <row r="702" spans="1:9" x14ac:dyDescent="0.25">
      <c r="A702" s="2" t="s">
        <v>99</v>
      </c>
      <c r="B702" s="2" t="s">
        <v>62</v>
      </c>
      <c r="C702" t="s">
        <v>87</v>
      </c>
      <c r="D702" t="s">
        <v>25</v>
      </c>
      <c r="E702" s="2">
        <v>2</v>
      </c>
      <c r="F702" t="s">
        <v>80</v>
      </c>
      <c r="G702">
        <v>6.29</v>
      </c>
      <c r="H702">
        <v>5.49</v>
      </c>
      <c r="I702" s="2" t="str">
        <f>_xlfn.XLOOKUP(F702,DeparaIMG!D:D,DeparaIMG!F:F,,0)</f>
        <v>CORCERO350.png</v>
      </c>
    </row>
    <row r="703" spans="1:9" x14ac:dyDescent="0.25">
      <c r="A703" s="2" t="s">
        <v>99</v>
      </c>
      <c r="B703" s="2" t="s">
        <v>62</v>
      </c>
      <c r="C703" t="s">
        <v>88</v>
      </c>
      <c r="D703" t="s">
        <v>25</v>
      </c>
      <c r="E703" s="2">
        <v>2</v>
      </c>
      <c r="F703" t="s">
        <v>80</v>
      </c>
      <c r="G703">
        <v>6.29</v>
      </c>
      <c r="H703">
        <v>5.49</v>
      </c>
      <c r="I703" s="2" t="str">
        <f>_xlfn.XLOOKUP(F703,DeparaIMG!D:D,DeparaIMG!F:F,,0)</f>
        <v>CORCERO350.png</v>
      </c>
    </row>
    <row r="704" spans="1:9" x14ac:dyDescent="0.25">
      <c r="A704" s="2" t="s">
        <v>99</v>
      </c>
      <c r="B704" s="2" t="s">
        <v>62</v>
      </c>
      <c r="C704" t="s">
        <v>113</v>
      </c>
      <c r="D704" t="s">
        <v>25</v>
      </c>
      <c r="E704" s="2">
        <v>2</v>
      </c>
      <c r="F704" t="s">
        <v>80</v>
      </c>
      <c r="G704">
        <v>6.29</v>
      </c>
      <c r="H704">
        <v>5.49</v>
      </c>
      <c r="I704" s="2" t="str">
        <f>_xlfn.XLOOKUP(F704,DeparaIMG!D:D,DeparaIMG!F:F,,0)</f>
        <v>CORCERO350.png</v>
      </c>
    </row>
    <row r="705" spans="1:9" x14ac:dyDescent="0.25">
      <c r="A705" s="2" t="s">
        <v>99</v>
      </c>
      <c r="B705" s="2" t="s">
        <v>62</v>
      </c>
      <c r="C705" t="s">
        <v>90</v>
      </c>
      <c r="D705" t="s">
        <v>25</v>
      </c>
      <c r="E705" s="2">
        <v>2</v>
      </c>
      <c r="F705" t="s">
        <v>80</v>
      </c>
      <c r="G705">
        <v>6.29</v>
      </c>
      <c r="H705">
        <v>5.49</v>
      </c>
      <c r="I705" s="2" t="str">
        <f>_xlfn.XLOOKUP(F705,DeparaIMG!D:D,DeparaIMG!F:F,,0)</f>
        <v>CORCERO350.png</v>
      </c>
    </row>
    <row r="706" spans="1:9" x14ac:dyDescent="0.25">
      <c r="A706" s="2" t="s">
        <v>99</v>
      </c>
      <c r="B706" s="2" t="s">
        <v>62</v>
      </c>
      <c r="C706" t="s">
        <v>89</v>
      </c>
      <c r="D706" t="s">
        <v>25</v>
      </c>
      <c r="E706" s="2">
        <v>2</v>
      </c>
      <c r="F706" t="s">
        <v>80</v>
      </c>
      <c r="G706">
        <v>6.29</v>
      </c>
      <c r="H706">
        <v>5.49</v>
      </c>
      <c r="I706" s="2" t="str">
        <f>_xlfn.XLOOKUP(F706,DeparaIMG!D:D,DeparaIMG!F:F,,0)</f>
        <v>CORCERO350.png</v>
      </c>
    </row>
    <row r="707" spans="1:9" x14ac:dyDescent="0.25">
      <c r="A707" s="2" t="s">
        <v>99</v>
      </c>
      <c r="B707" s="2" t="s">
        <v>62</v>
      </c>
      <c r="C707" t="s">
        <v>87</v>
      </c>
      <c r="D707" t="s">
        <v>25</v>
      </c>
      <c r="E707" s="2">
        <v>2</v>
      </c>
      <c r="F707" t="s">
        <v>78</v>
      </c>
      <c r="G707">
        <v>5.49</v>
      </c>
      <c r="H707">
        <v>4.99</v>
      </c>
      <c r="I707" s="2" t="str">
        <f>_xlfn.XLOOKUP(F707,DeparaIMG!D:D,DeparaIMG!F:F,,0)</f>
        <v>MIC350.png</v>
      </c>
    </row>
    <row r="708" spans="1:9" x14ac:dyDescent="0.25">
      <c r="A708" s="2" t="s">
        <v>99</v>
      </c>
      <c r="B708" s="2" t="s">
        <v>62</v>
      </c>
      <c r="C708" t="s">
        <v>87</v>
      </c>
      <c r="D708" t="s">
        <v>26</v>
      </c>
      <c r="E708" s="2">
        <v>2</v>
      </c>
      <c r="F708" t="s">
        <v>78</v>
      </c>
      <c r="G708">
        <v>5.49</v>
      </c>
      <c r="H708">
        <v>4.99</v>
      </c>
      <c r="I708" s="2" t="str">
        <f>_xlfn.XLOOKUP(F708,DeparaIMG!D:D,DeparaIMG!F:F,,0)</f>
        <v>MIC350.png</v>
      </c>
    </row>
    <row r="709" spans="1:9" x14ac:dyDescent="0.25">
      <c r="A709" s="2" t="s">
        <v>99</v>
      </c>
      <c r="B709" s="2" t="s">
        <v>62</v>
      </c>
      <c r="C709" t="s">
        <v>88</v>
      </c>
      <c r="D709" t="s">
        <v>25</v>
      </c>
      <c r="E709" s="2">
        <v>2</v>
      </c>
      <c r="F709" t="s">
        <v>78</v>
      </c>
      <c r="G709">
        <v>5.49</v>
      </c>
      <c r="H709">
        <v>4.99</v>
      </c>
      <c r="I709" s="2" t="str">
        <f>_xlfn.XLOOKUP(F709,DeparaIMG!D:D,DeparaIMG!F:F,,0)</f>
        <v>MIC350.png</v>
      </c>
    </row>
    <row r="710" spans="1:9" x14ac:dyDescent="0.25">
      <c r="A710" s="2" t="s">
        <v>99</v>
      </c>
      <c r="B710" s="2" t="s">
        <v>62</v>
      </c>
      <c r="C710" t="s">
        <v>88</v>
      </c>
      <c r="D710" t="s">
        <v>26</v>
      </c>
      <c r="E710" s="2">
        <v>2</v>
      </c>
      <c r="F710" t="s">
        <v>78</v>
      </c>
      <c r="G710">
        <v>5.49</v>
      </c>
      <c r="H710">
        <v>4.99</v>
      </c>
      <c r="I710" s="2" t="str">
        <f>_xlfn.XLOOKUP(F710,DeparaIMG!D:D,DeparaIMG!F:F,,0)</f>
        <v>MIC350.png</v>
      </c>
    </row>
    <row r="711" spans="1:9" x14ac:dyDescent="0.25">
      <c r="A711" s="2" t="s">
        <v>102</v>
      </c>
      <c r="B711" s="2" t="s">
        <v>62</v>
      </c>
      <c r="C711" t="s">
        <v>112</v>
      </c>
      <c r="D711" t="s">
        <v>25</v>
      </c>
      <c r="E711" s="2">
        <v>1</v>
      </c>
      <c r="F711" t="s">
        <v>70</v>
      </c>
      <c r="G711">
        <v>3.69</v>
      </c>
      <c r="H711">
        <v>3.19</v>
      </c>
      <c r="I711" s="2" t="str">
        <f>_xlfn.XLOOKUP(F711,DeparaIMG!D:D,DeparaIMG!F:F,,0)</f>
        <v>BC0350.png</v>
      </c>
    </row>
    <row r="712" spans="1:9" x14ac:dyDescent="0.25">
      <c r="A712" s="2" t="s">
        <v>102</v>
      </c>
      <c r="B712" s="2" t="s">
        <v>62</v>
      </c>
      <c r="C712" t="s">
        <v>112</v>
      </c>
      <c r="D712" t="s">
        <v>25</v>
      </c>
      <c r="E712" s="2">
        <v>1</v>
      </c>
      <c r="F712" t="s">
        <v>72</v>
      </c>
      <c r="G712">
        <v>3.89</v>
      </c>
      <c r="H712">
        <v>3.49</v>
      </c>
      <c r="I712" s="2" t="str">
        <f>_xlfn.XLOOKUP(F712,DeparaIMG!D:D,DeparaIMG!F:F,,0)</f>
        <v>ORI269.png</v>
      </c>
    </row>
    <row r="713" spans="1:9" x14ac:dyDescent="0.25">
      <c r="A713" s="2" t="s">
        <v>102</v>
      </c>
      <c r="B713" s="2" t="s">
        <v>62</v>
      </c>
      <c r="C713" t="s">
        <v>112</v>
      </c>
      <c r="D713" t="s">
        <v>25</v>
      </c>
      <c r="E713" s="2">
        <v>1</v>
      </c>
      <c r="F713" t="s">
        <v>85</v>
      </c>
      <c r="G713">
        <v>7.99</v>
      </c>
      <c r="H713">
        <v>6.99</v>
      </c>
      <c r="I713" s="2" t="str">
        <f>_xlfn.XLOOKUP(F713,DeparaIMG!D:D,DeparaIMG!F:F,,0)</f>
        <v>CORLN.png</v>
      </c>
    </row>
    <row r="714" spans="1:9" x14ac:dyDescent="0.25">
      <c r="A714" s="2" t="s">
        <v>102</v>
      </c>
      <c r="B714" s="2" t="s">
        <v>62</v>
      </c>
      <c r="C714" t="s">
        <v>112</v>
      </c>
      <c r="D714" t="s">
        <v>25</v>
      </c>
      <c r="E714" s="2">
        <v>1</v>
      </c>
      <c r="F714" t="s">
        <v>67</v>
      </c>
      <c r="G714">
        <v>3.09</v>
      </c>
      <c r="H714">
        <v>2.79</v>
      </c>
      <c r="I714" s="2" t="str">
        <f>_xlfn.XLOOKUP(F714,DeparaIMG!D:D,DeparaIMG!F:F,,0)</f>
        <v>AP269.png</v>
      </c>
    </row>
    <row r="715" spans="1:9" x14ac:dyDescent="0.25">
      <c r="A715" s="2" t="s">
        <v>102</v>
      </c>
      <c r="B715" s="2" t="s">
        <v>62</v>
      </c>
      <c r="C715" t="s">
        <v>112</v>
      </c>
      <c r="D715" t="s">
        <v>25</v>
      </c>
      <c r="E715" s="2">
        <v>1</v>
      </c>
      <c r="F715" t="s">
        <v>78</v>
      </c>
      <c r="G715">
        <v>5.49</v>
      </c>
      <c r="H715">
        <v>4.99</v>
      </c>
      <c r="I715" s="2" t="str">
        <f>_xlfn.XLOOKUP(F715,DeparaIMG!D:D,DeparaIMG!F:F,,0)</f>
        <v>MIC350.png</v>
      </c>
    </row>
    <row r="716" spans="1:9" x14ac:dyDescent="0.25">
      <c r="A716" s="2" t="s">
        <v>102</v>
      </c>
      <c r="B716" s="2" t="s">
        <v>62</v>
      </c>
      <c r="C716" t="s">
        <v>112</v>
      </c>
      <c r="D716" t="s">
        <v>25</v>
      </c>
      <c r="E716" s="2">
        <v>2</v>
      </c>
      <c r="F716" t="s">
        <v>68</v>
      </c>
      <c r="G716">
        <v>3.09</v>
      </c>
      <c r="H716">
        <v>2.79</v>
      </c>
      <c r="I716" s="2" t="str">
        <f>_xlfn.XLOOKUP(F716,DeparaIMG!D:D,DeparaIMG!F:F,,0)</f>
        <v>BC269.png</v>
      </c>
    </row>
    <row r="717" spans="1:9" x14ac:dyDescent="0.25">
      <c r="A717" s="2" t="s">
        <v>102</v>
      </c>
      <c r="B717" s="2" t="s">
        <v>62</v>
      </c>
      <c r="C717" t="s">
        <v>112</v>
      </c>
      <c r="D717" t="s">
        <v>25</v>
      </c>
      <c r="E717" s="2">
        <v>2</v>
      </c>
      <c r="F717" t="s">
        <v>69</v>
      </c>
      <c r="G717">
        <v>3.39</v>
      </c>
      <c r="H717">
        <v>2.99</v>
      </c>
      <c r="I717" s="2" t="str">
        <f>_xlfn.XLOOKUP(F717,DeparaIMG!D:D,DeparaIMG!F:F,,0)</f>
        <v>BUD269.png</v>
      </c>
    </row>
    <row r="718" spans="1:9" x14ac:dyDescent="0.25">
      <c r="A718" s="2" t="s">
        <v>102</v>
      </c>
      <c r="B718" s="2" t="s">
        <v>62</v>
      </c>
      <c r="C718" t="s">
        <v>112</v>
      </c>
      <c r="D718" t="s">
        <v>25</v>
      </c>
      <c r="E718" s="2">
        <v>2</v>
      </c>
      <c r="F718" t="s">
        <v>74</v>
      </c>
      <c r="G718">
        <v>4.29</v>
      </c>
      <c r="H718">
        <v>3.69</v>
      </c>
      <c r="I718" s="2" t="str">
        <f>_xlfn.XLOOKUP(F718,DeparaIMG!D:D,DeparaIMG!F:F,,0)</f>
        <v>BUDZERO350.png</v>
      </c>
    </row>
    <row r="719" spans="1:9" x14ac:dyDescent="0.25">
      <c r="A719" s="2" t="s">
        <v>102</v>
      </c>
      <c r="B719" s="2" t="s">
        <v>62</v>
      </c>
      <c r="C719" t="s">
        <v>112</v>
      </c>
      <c r="D719" t="s">
        <v>25</v>
      </c>
      <c r="E719" s="2">
        <v>2</v>
      </c>
      <c r="F719" t="s">
        <v>70</v>
      </c>
      <c r="G719">
        <v>3.69</v>
      </c>
      <c r="H719">
        <v>3.19</v>
      </c>
      <c r="I719" s="2" t="str">
        <f>_xlfn.XLOOKUP(F719,DeparaIMG!D:D,DeparaIMG!F:F,,0)</f>
        <v>BC0350.png</v>
      </c>
    </row>
    <row r="720" spans="1:9" x14ac:dyDescent="0.25">
      <c r="A720" s="2" t="s">
        <v>102</v>
      </c>
      <c r="B720" s="2" t="s">
        <v>62</v>
      </c>
      <c r="C720" t="s">
        <v>112</v>
      </c>
      <c r="D720" t="s">
        <v>25</v>
      </c>
      <c r="E720" s="2">
        <v>2</v>
      </c>
      <c r="F720" t="s">
        <v>83</v>
      </c>
      <c r="G720">
        <v>6.69</v>
      </c>
      <c r="H720">
        <v>5.99</v>
      </c>
      <c r="I720" s="2" t="str">
        <f>_xlfn.XLOOKUP(F720,DeparaIMG!D:D,DeparaIMG!F:F,,0)</f>
        <v>MICLN.png</v>
      </c>
    </row>
    <row r="721" spans="1:9" x14ac:dyDescent="0.25">
      <c r="A721" s="2" t="s">
        <v>102</v>
      </c>
      <c r="B721" s="2" t="s">
        <v>62</v>
      </c>
      <c r="C721" t="s">
        <v>112</v>
      </c>
      <c r="D721" t="s">
        <v>26</v>
      </c>
      <c r="E721" s="2">
        <v>1</v>
      </c>
      <c r="F721" t="s">
        <v>70</v>
      </c>
      <c r="G721">
        <v>3.69</v>
      </c>
      <c r="H721">
        <v>3.19</v>
      </c>
      <c r="I721" s="2" t="str">
        <f>_xlfn.XLOOKUP(F721,DeparaIMG!D:D,DeparaIMG!F:F,,0)</f>
        <v>BC0350.png</v>
      </c>
    </row>
    <row r="722" spans="1:9" x14ac:dyDescent="0.25">
      <c r="A722" s="2" t="s">
        <v>102</v>
      </c>
      <c r="B722" s="2" t="s">
        <v>62</v>
      </c>
      <c r="C722" t="s">
        <v>112</v>
      </c>
      <c r="D722" t="s">
        <v>26</v>
      </c>
      <c r="E722" s="2">
        <v>1</v>
      </c>
      <c r="F722" t="s">
        <v>73</v>
      </c>
      <c r="G722">
        <v>3.79</v>
      </c>
      <c r="H722">
        <v>3.39</v>
      </c>
      <c r="I722" s="2" t="str">
        <f>_xlfn.XLOOKUP(F722,DeparaIMG!D:D,DeparaIMG!F:F,,0)</f>
        <v>AP350.png</v>
      </c>
    </row>
    <row r="723" spans="1:9" x14ac:dyDescent="0.25">
      <c r="A723" s="2" t="s">
        <v>102</v>
      </c>
      <c r="B723" s="2" t="s">
        <v>62</v>
      </c>
      <c r="C723" t="s">
        <v>112</v>
      </c>
      <c r="D723" t="s">
        <v>26</v>
      </c>
      <c r="E723" s="2">
        <v>1</v>
      </c>
      <c r="F723" t="s">
        <v>72</v>
      </c>
      <c r="G723">
        <v>3.89</v>
      </c>
      <c r="H723">
        <v>3.49</v>
      </c>
      <c r="I723" s="2" t="str">
        <f>_xlfn.XLOOKUP(F723,DeparaIMG!D:D,DeparaIMG!F:F,,0)</f>
        <v>ORI269.png</v>
      </c>
    </row>
    <row r="724" spans="1:9" x14ac:dyDescent="0.25">
      <c r="A724" s="2" t="s">
        <v>102</v>
      </c>
      <c r="B724" s="2" t="s">
        <v>62</v>
      </c>
      <c r="C724" t="s">
        <v>112</v>
      </c>
      <c r="D724" t="s">
        <v>26</v>
      </c>
      <c r="E724" s="2">
        <v>1</v>
      </c>
      <c r="F724" t="s">
        <v>85</v>
      </c>
      <c r="G724">
        <v>7.99</v>
      </c>
      <c r="H724">
        <v>6.99</v>
      </c>
      <c r="I724" s="2" t="str">
        <f>_xlfn.XLOOKUP(F724,DeparaIMG!D:D,DeparaIMG!F:F,,0)</f>
        <v>CORLN.png</v>
      </c>
    </row>
    <row r="725" spans="1:9" x14ac:dyDescent="0.25">
      <c r="A725" s="2" t="s">
        <v>102</v>
      </c>
      <c r="B725" s="2" t="s">
        <v>62</v>
      </c>
      <c r="C725" t="s">
        <v>112</v>
      </c>
      <c r="D725" t="s">
        <v>26</v>
      </c>
      <c r="E725" s="2">
        <v>1</v>
      </c>
      <c r="F725" t="s">
        <v>101</v>
      </c>
      <c r="G725">
        <v>5.19</v>
      </c>
      <c r="H725">
        <v>4.6900000000000004</v>
      </c>
      <c r="I725" s="2" t="str">
        <f>_xlfn.XLOOKUP(F725,DeparaIMG!D:D,DeparaIMG!F:F,,0)</f>
        <v>SPT350.png</v>
      </c>
    </row>
    <row r="726" spans="1:9" x14ac:dyDescent="0.25">
      <c r="A726" s="2" t="s">
        <v>102</v>
      </c>
      <c r="B726" s="2" t="s">
        <v>62</v>
      </c>
      <c r="C726" t="s">
        <v>112</v>
      </c>
      <c r="D726" t="s">
        <v>26</v>
      </c>
      <c r="E726" s="2">
        <v>1</v>
      </c>
      <c r="F726" t="s">
        <v>78</v>
      </c>
      <c r="G726">
        <v>5.49</v>
      </c>
      <c r="H726">
        <v>4.99</v>
      </c>
      <c r="I726" s="2" t="str">
        <f>_xlfn.XLOOKUP(F726,DeparaIMG!D:D,DeparaIMG!F:F,,0)</f>
        <v>MIC350.png</v>
      </c>
    </row>
    <row r="727" spans="1:9" x14ac:dyDescent="0.25">
      <c r="A727" s="2" t="s">
        <v>102</v>
      </c>
      <c r="B727" s="2" t="s">
        <v>62</v>
      </c>
      <c r="C727" t="s">
        <v>112</v>
      </c>
      <c r="D727" t="s">
        <v>26</v>
      </c>
      <c r="E727" s="2">
        <v>2</v>
      </c>
      <c r="F727" t="s">
        <v>76</v>
      </c>
      <c r="G727">
        <v>4.29</v>
      </c>
      <c r="H727">
        <v>3.69</v>
      </c>
      <c r="I727" s="2" t="str">
        <f>_xlfn.XLOOKUP(F727,DeparaIMG!D:D,DeparaIMG!F:F,,0)</f>
        <v>BUD350.png</v>
      </c>
    </row>
    <row r="728" spans="1:9" x14ac:dyDescent="0.25">
      <c r="A728" s="2" t="s">
        <v>102</v>
      </c>
      <c r="B728" s="2" t="s">
        <v>62</v>
      </c>
      <c r="C728" t="s">
        <v>112</v>
      </c>
      <c r="D728" t="s">
        <v>26</v>
      </c>
      <c r="E728" s="2">
        <v>2</v>
      </c>
      <c r="F728" t="s">
        <v>74</v>
      </c>
      <c r="G728">
        <v>4.29</v>
      </c>
      <c r="H728">
        <v>3.69</v>
      </c>
      <c r="I728" s="2" t="str">
        <f>_xlfn.XLOOKUP(F728,DeparaIMG!D:D,DeparaIMG!F:F,,0)</f>
        <v>BUDZERO350.png</v>
      </c>
    </row>
    <row r="729" spans="1:9" x14ac:dyDescent="0.25">
      <c r="A729" s="2" t="s">
        <v>102</v>
      </c>
      <c r="B729" s="2" t="s">
        <v>62</v>
      </c>
      <c r="C729" t="s">
        <v>112</v>
      </c>
      <c r="D729" t="s">
        <v>26</v>
      </c>
      <c r="E729" s="2">
        <v>2</v>
      </c>
      <c r="F729" t="s">
        <v>68</v>
      </c>
      <c r="G729">
        <v>3.09</v>
      </c>
      <c r="H729">
        <v>2.79</v>
      </c>
      <c r="I729" s="2" t="str">
        <f>_xlfn.XLOOKUP(F729,DeparaIMG!D:D,DeparaIMG!F:F,,0)</f>
        <v>BC269.png</v>
      </c>
    </row>
    <row r="730" spans="1:9" x14ac:dyDescent="0.25">
      <c r="A730" s="2" t="s">
        <v>102</v>
      </c>
      <c r="B730" s="2" t="s">
        <v>62</v>
      </c>
      <c r="C730" t="s">
        <v>112</v>
      </c>
      <c r="D730" t="s">
        <v>26</v>
      </c>
      <c r="E730" s="2">
        <v>2</v>
      </c>
      <c r="F730" t="s">
        <v>70</v>
      </c>
      <c r="G730">
        <v>3.69</v>
      </c>
      <c r="H730">
        <v>3.19</v>
      </c>
      <c r="I730" s="2" t="str">
        <f>_xlfn.XLOOKUP(F730,DeparaIMG!D:D,DeparaIMG!F:F,,0)</f>
        <v>BC0350.png</v>
      </c>
    </row>
    <row r="731" spans="1:9" x14ac:dyDescent="0.25">
      <c r="A731" s="2" t="s">
        <v>102</v>
      </c>
      <c r="B731" s="2" t="s">
        <v>62</v>
      </c>
      <c r="C731" t="s">
        <v>112</v>
      </c>
      <c r="D731" t="s">
        <v>26</v>
      </c>
      <c r="E731" s="2">
        <v>2</v>
      </c>
      <c r="F731" t="s">
        <v>83</v>
      </c>
      <c r="G731">
        <v>6.69</v>
      </c>
      <c r="H731">
        <v>5.99</v>
      </c>
      <c r="I731" s="2" t="str">
        <f>_xlfn.XLOOKUP(F731,DeparaIMG!D:D,DeparaIMG!F:F,,0)</f>
        <v>MICLN.png</v>
      </c>
    </row>
    <row r="732" spans="1:9" x14ac:dyDescent="0.25">
      <c r="A732" s="2" t="s">
        <v>102</v>
      </c>
      <c r="B732" s="2" t="s">
        <v>62</v>
      </c>
      <c r="C732" t="s">
        <v>112</v>
      </c>
      <c r="D732" t="s">
        <v>26</v>
      </c>
      <c r="E732" s="2">
        <v>2</v>
      </c>
      <c r="F732" t="s">
        <v>79</v>
      </c>
      <c r="G732">
        <v>6.19</v>
      </c>
      <c r="H732">
        <v>5.49</v>
      </c>
      <c r="I732" s="2" t="str">
        <f>_xlfn.XLOOKUP(F732,DeparaIMG!D:D,DeparaIMG!F:F,,0)</f>
        <v>COR350.png</v>
      </c>
    </row>
    <row r="733" spans="1:9" x14ac:dyDescent="0.25">
      <c r="A733" s="2" t="s">
        <v>102</v>
      </c>
      <c r="B733" s="2" t="s">
        <v>62</v>
      </c>
      <c r="C733" t="s">
        <v>112</v>
      </c>
      <c r="D733" t="s">
        <v>26</v>
      </c>
      <c r="E733" s="2">
        <v>2</v>
      </c>
      <c r="F733" t="s">
        <v>82</v>
      </c>
      <c r="G733">
        <v>6.29</v>
      </c>
      <c r="H733">
        <v>5.29</v>
      </c>
      <c r="I733" s="2" t="str">
        <f>_xlfn.XLOOKUP(F733,DeparaIMG!D:D,DeparaIMG!F:F,,0)</f>
        <v>BUDLN.png</v>
      </c>
    </row>
    <row r="734" spans="1:9" x14ac:dyDescent="0.25">
      <c r="A734" s="2" t="s">
        <v>102</v>
      </c>
      <c r="B734" s="2" t="s">
        <v>62</v>
      </c>
      <c r="C734" t="s">
        <v>112</v>
      </c>
      <c r="D734" t="s">
        <v>26</v>
      </c>
      <c r="E734" s="2">
        <v>2</v>
      </c>
      <c r="F734" t="s">
        <v>81</v>
      </c>
      <c r="G734">
        <v>6.29</v>
      </c>
      <c r="H734">
        <v>5.29</v>
      </c>
      <c r="I734" s="2" t="str">
        <f>_xlfn.XLOOKUP(F734,DeparaIMG!D:D,DeparaIMG!F:F,,0)</f>
        <v>BUDZEROLN.png</v>
      </c>
    </row>
    <row r="735" spans="1:9" x14ac:dyDescent="0.25">
      <c r="A735" s="2" t="s">
        <v>102</v>
      </c>
      <c r="B735" s="2" t="s">
        <v>62</v>
      </c>
      <c r="C735" t="s">
        <v>29</v>
      </c>
      <c r="D735" t="s">
        <v>25</v>
      </c>
      <c r="E735" s="2">
        <v>1</v>
      </c>
      <c r="F735" t="s">
        <v>70</v>
      </c>
      <c r="G735">
        <v>3.69</v>
      </c>
      <c r="H735">
        <v>3.19</v>
      </c>
      <c r="I735" s="2" t="str">
        <f>_xlfn.XLOOKUP(F735,DeparaIMG!D:D,DeparaIMG!F:F,,0)</f>
        <v>BC0350.png</v>
      </c>
    </row>
    <row r="736" spans="1:9" x14ac:dyDescent="0.25">
      <c r="A736" s="2" t="s">
        <v>102</v>
      </c>
      <c r="B736" s="2" t="s">
        <v>62</v>
      </c>
      <c r="C736" t="s">
        <v>29</v>
      </c>
      <c r="D736" t="s">
        <v>25</v>
      </c>
      <c r="E736" s="2">
        <v>1</v>
      </c>
      <c r="F736" t="s">
        <v>72</v>
      </c>
      <c r="G736">
        <v>3.89</v>
      </c>
      <c r="H736">
        <v>3.49</v>
      </c>
      <c r="I736" s="2" t="str">
        <f>_xlfn.XLOOKUP(F736,DeparaIMG!D:D,DeparaIMG!F:F,,0)</f>
        <v>ORI269.png</v>
      </c>
    </row>
    <row r="737" spans="1:9" x14ac:dyDescent="0.25">
      <c r="A737" s="2" t="s">
        <v>102</v>
      </c>
      <c r="B737" s="2" t="s">
        <v>62</v>
      </c>
      <c r="C737" t="s">
        <v>29</v>
      </c>
      <c r="D737" t="s">
        <v>25</v>
      </c>
      <c r="E737" s="2">
        <v>1</v>
      </c>
      <c r="F737" t="s">
        <v>85</v>
      </c>
      <c r="G737">
        <v>7.99</v>
      </c>
      <c r="H737">
        <v>6.99</v>
      </c>
      <c r="I737" s="2" t="str">
        <f>_xlfn.XLOOKUP(F737,DeparaIMG!D:D,DeparaIMG!F:F,,0)</f>
        <v>CORLN.png</v>
      </c>
    </row>
    <row r="738" spans="1:9" x14ac:dyDescent="0.25">
      <c r="A738" s="2" t="s">
        <v>102</v>
      </c>
      <c r="B738" s="2" t="s">
        <v>62</v>
      </c>
      <c r="C738" t="s">
        <v>29</v>
      </c>
      <c r="D738" t="s">
        <v>25</v>
      </c>
      <c r="E738" s="2">
        <v>1</v>
      </c>
      <c r="F738" t="s">
        <v>67</v>
      </c>
      <c r="G738">
        <v>3.09</v>
      </c>
      <c r="H738">
        <v>2.79</v>
      </c>
      <c r="I738" s="2" t="str">
        <f>_xlfn.XLOOKUP(F738,DeparaIMG!D:D,DeparaIMG!F:F,,0)</f>
        <v>AP269.png</v>
      </c>
    </row>
    <row r="739" spans="1:9" x14ac:dyDescent="0.25">
      <c r="A739" s="2" t="s">
        <v>102</v>
      </c>
      <c r="B739" s="2" t="s">
        <v>62</v>
      </c>
      <c r="C739" t="s">
        <v>29</v>
      </c>
      <c r="D739" t="s">
        <v>25</v>
      </c>
      <c r="E739" s="2">
        <v>1</v>
      </c>
      <c r="F739" t="s">
        <v>78</v>
      </c>
      <c r="G739">
        <v>5.49</v>
      </c>
      <c r="H739">
        <v>4.99</v>
      </c>
      <c r="I739" s="2" t="str">
        <f>_xlfn.XLOOKUP(F739,DeparaIMG!D:D,DeparaIMG!F:F,,0)</f>
        <v>MIC350.png</v>
      </c>
    </row>
    <row r="740" spans="1:9" x14ac:dyDescent="0.25">
      <c r="A740" s="2" t="s">
        <v>102</v>
      </c>
      <c r="B740" s="2" t="s">
        <v>62</v>
      </c>
      <c r="C740" t="s">
        <v>29</v>
      </c>
      <c r="D740" t="s">
        <v>25</v>
      </c>
      <c r="E740" s="2">
        <v>2</v>
      </c>
      <c r="F740" t="s">
        <v>68</v>
      </c>
      <c r="G740">
        <v>3.09</v>
      </c>
      <c r="H740">
        <v>2.69</v>
      </c>
      <c r="I740" s="2" t="str">
        <f>_xlfn.XLOOKUP(F740,DeparaIMG!D:D,DeparaIMG!F:F,,0)</f>
        <v>BC269.png</v>
      </c>
    </row>
    <row r="741" spans="1:9" x14ac:dyDescent="0.25">
      <c r="A741" s="2" t="s">
        <v>102</v>
      </c>
      <c r="B741" s="2" t="s">
        <v>62</v>
      </c>
      <c r="C741" t="s">
        <v>29</v>
      </c>
      <c r="D741" t="s">
        <v>25</v>
      </c>
      <c r="E741" s="2">
        <v>2</v>
      </c>
      <c r="F741" t="s">
        <v>69</v>
      </c>
      <c r="G741">
        <v>3.39</v>
      </c>
      <c r="H741">
        <v>2.99</v>
      </c>
      <c r="I741" s="2" t="str">
        <f>_xlfn.XLOOKUP(F741,DeparaIMG!D:D,DeparaIMG!F:F,,0)</f>
        <v>BUD269.png</v>
      </c>
    </row>
    <row r="742" spans="1:9" x14ac:dyDescent="0.25">
      <c r="A742" s="2" t="s">
        <v>102</v>
      </c>
      <c r="B742" s="2" t="s">
        <v>62</v>
      </c>
      <c r="C742" t="s">
        <v>29</v>
      </c>
      <c r="D742" t="s">
        <v>25</v>
      </c>
      <c r="E742" s="2">
        <v>2</v>
      </c>
      <c r="F742" t="s">
        <v>74</v>
      </c>
      <c r="G742">
        <v>4.29</v>
      </c>
      <c r="H742">
        <v>3.69</v>
      </c>
      <c r="I742" s="2" t="str">
        <f>_xlfn.XLOOKUP(F742,DeparaIMG!D:D,DeparaIMG!F:F,,0)</f>
        <v>BUDZERO350.png</v>
      </c>
    </row>
    <row r="743" spans="1:9" x14ac:dyDescent="0.25">
      <c r="A743" s="2" t="s">
        <v>102</v>
      </c>
      <c r="B743" s="2" t="s">
        <v>62</v>
      </c>
      <c r="C743" t="s">
        <v>29</v>
      </c>
      <c r="D743" t="s">
        <v>25</v>
      </c>
      <c r="E743" s="2">
        <v>2</v>
      </c>
      <c r="F743" t="s">
        <v>70</v>
      </c>
      <c r="G743">
        <v>3.69</v>
      </c>
      <c r="H743">
        <v>3.19</v>
      </c>
      <c r="I743" s="2" t="str">
        <f>_xlfn.XLOOKUP(F743,DeparaIMG!D:D,DeparaIMG!F:F,,0)</f>
        <v>BC0350.png</v>
      </c>
    </row>
    <row r="744" spans="1:9" x14ac:dyDescent="0.25">
      <c r="A744" s="2" t="s">
        <v>102</v>
      </c>
      <c r="B744" s="2" t="s">
        <v>62</v>
      </c>
      <c r="C744" t="s">
        <v>29</v>
      </c>
      <c r="D744" t="s">
        <v>25</v>
      </c>
      <c r="E744" s="2">
        <v>2</v>
      </c>
      <c r="F744" t="s">
        <v>83</v>
      </c>
      <c r="G744">
        <v>6.69</v>
      </c>
      <c r="H744">
        <v>5.99</v>
      </c>
      <c r="I744" s="2" t="str">
        <f>_xlfn.XLOOKUP(F744,DeparaIMG!D:D,DeparaIMG!F:F,,0)</f>
        <v>MICLN.png</v>
      </c>
    </row>
    <row r="745" spans="1:9" x14ac:dyDescent="0.25">
      <c r="A745" s="2" t="s">
        <v>102</v>
      </c>
      <c r="B745" s="2" t="s">
        <v>62</v>
      </c>
      <c r="C745" t="s">
        <v>29</v>
      </c>
      <c r="D745" t="s">
        <v>26</v>
      </c>
      <c r="E745" s="2">
        <v>1</v>
      </c>
      <c r="F745" t="s">
        <v>73</v>
      </c>
      <c r="G745">
        <v>3.79</v>
      </c>
      <c r="H745">
        <v>3.39</v>
      </c>
      <c r="I745" s="2" t="str">
        <f>_xlfn.XLOOKUP(F745,DeparaIMG!D:D,DeparaIMG!F:F,,0)</f>
        <v>AP350.png</v>
      </c>
    </row>
    <row r="746" spans="1:9" x14ac:dyDescent="0.25">
      <c r="A746" s="2" t="s">
        <v>102</v>
      </c>
      <c r="B746" s="2" t="s">
        <v>62</v>
      </c>
      <c r="C746" t="s">
        <v>29</v>
      </c>
      <c r="D746" t="s">
        <v>26</v>
      </c>
      <c r="E746" s="2">
        <v>1</v>
      </c>
      <c r="F746" t="s">
        <v>70</v>
      </c>
      <c r="G746">
        <v>3.99</v>
      </c>
      <c r="H746">
        <v>3.49</v>
      </c>
      <c r="I746" s="2" t="str">
        <f>_xlfn.XLOOKUP(F746,DeparaIMG!D:D,DeparaIMG!F:F,,0)</f>
        <v>BC0350.png</v>
      </c>
    </row>
    <row r="747" spans="1:9" x14ac:dyDescent="0.25">
      <c r="A747" s="2" t="s">
        <v>102</v>
      </c>
      <c r="B747" s="2" t="s">
        <v>62</v>
      </c>
      <c r="C747" t="s">
        <v>29</v>
      </c>
      <c r="D747" t="s">
        <v>26</v>
      </c>
      <c r="E747" s="2">
        <v>1</v>
      </c>
      <c r="F747" t="s">
        <v>72</v>
      </c>
      <c r="G747">
        <v>3.89</v>
      </c>
      <c r="H747">
        <v>3.49</v>
      </c>
      <c r="I747" s="2" t="str">
        <f>_xlfn.XLOOKUP(F747,DeparaIMG!D:D,DeparaIMG!F:F,,0)</f>
        <v>ORI269.png</v>
      </c>
    </row>
    <row r="748" spans="1:9" x14ac:dyDescent="0.25">
      <c r="A748" s="2" t="s">
        <v>102</v>
      </c>
      <c r="B748" s="2" t="s">
        <v>62</v>
      </c>
      <c r="C748" t="s">
        <v>29</v>
      </c>
      <c r="D748" t="s">
        <v>26</v>
      </c>
      <c r="E748" s="2">
        <v>1</v>
      </c>
      <c r="F748" t="s">
        <v>85</v>
      </c>
      <c r="G748">
        <v>7.99</v>
      </c>
      <c r="H748">
        <v>6.99</v>
      </c>
      <c r="I748" s="2" t="str">
        <f>_xlfn.XLOOKUP(F748,DeparaIMG!D:D,DeparaIMG!F:F,,0)</f>
        <v>CORLN.png</v>
      </c>
    </row>
    <row r="749" spans="1:9" x14ac:dyDescent="0.25">
      <c r="A749" s="2" t="s">
        <v>102</v>
      </c>
      <c r="B749" s="2" t="s">
        <v>62</v>
      </c>
      <c r="C749" t="s">
        <v>29</v>
      </c>
      <c r="D749" t="s">
        <v>26</v>
      </c>
      <c r="E749" s="2">
        <v>1</v>
      </c>
      <c r="F749" t="s">
        <v>101</v>
      </c>
      <c r="G749">
        <v>5.19</v>
      </c>
      <c r="H749">
        <v>4.6900000000000004</v>
      </c>
      <c r="I749" s="2" t="str">
        <f>_xlfn.XLOOKUP(F749,DeparaIMG!D:D,DeparaIMG!F:F,,0)</f>
        <v>SPT350.png</v>
      </c>
    </row>
    <row r="750" spans="1:9" x14ac:dyDescent="0.25">
      <c r="A750" s="2" t="s">
        <v>102</v>
      </c>
      <c r="B750" s="2" t="s">
        <v>62</v>
      </c>
      <c r="C750" t="s">
        <v>29</v>
      </c>
      <c r="D750" t="s">
        <v>26</v>
      </c>
      <c r="E750" s="2">
        <v>1</v>
      </c>
      <c r="F750" t="s">
        <v>78</v>
      </c>
      <c r="G750">
        <v>5.49</v>
      </c>
      <c r="H750">
        <v>4.99</v>
      </c>
      <c r="I750" s="2" t="str">
        <f>_xlfn.XLOOKUP(F750,DeparaIMG!D:D,DeparaIMG!F:F,,0)</f>
        <v>MIC350.png</v>
      </c>
    </row>
    <row r="751" spans="1:9" x14ac:dyDescent="0.25">
      <c r="A751" s="2" t="s">
        <v>102</v>
      </c>
      <c r="B751" s="2" t="s">
        <v>62</v>
      </c>
      <c r="C751" t="s">
        <v>29</v>
      </c>
      <c r="D751" t="s">
        <v>26</v>
      </c>
      <c r="E751" s="2">
        <v>2</v>
      </c>
      <c r="F751" t="s">
        <v>76</v>
      </c>
      <c r="G751">
        <v>4.29</v>
      </c>
      <c r="H751">
        <v>3.69</v>
      </c>
      <c r="I751" s="2" t="str">
        <f>_xlfn.XLOOKUP(F751,DeparaIMG!D:D,DeparaIMG!F:F,,0)</f>
        <v>BUD350.png</v>
      </c>
    </row>
    <row r="752" spans="1:9" x14ac:dyDescent="0.25">
      <c r="A752" s="2" t="s">
        <v>102</v>
      </c>
      <c r="B752" s="2" t="s">
        <v>62</v>
      </c>
      <c r="C752" t="s">
        <v>29</v>
      </c>
      <c r="D752" t="s">
        <v>26</v>
      </c>
      <c r="E752" s="2">
        <v>2</v>
      </c>
      <c r="F752" t="s">
        <v>74</v>
      </c>
      <c r="G752">
        <v>4.29</v>
      </c>
      <c r="H752">
        <v>3.69</v>
      </c>
      <c r="I752" s="2" t="str">
        <f>_xlfn.XLOOKUP(F752,DeparaIMG!D:D,DeparaIMG!F:F,,0)</f>
        <v>BUDZERO350.png</v>
      </c>
    </row>
    <row r="753" spans="1:9" x14ac:dyDescent="0.25">
      <c r="A753" s="2" t="s">
        <v>102</v>
      </c>
      <c r="B753" s="2" t="s">
        <v>62</v>
      </c>
      <c r="C753" t="s">
        <v>29</v>
      </c>
      <c r="D753" t="s">
        <v>26</v>
      </c>
      <c r="E753" s="2">
        <v>2</v>
      </c>
      <c r="F753" t="s">
        <v>71</v>
      </c>
      <c r="G753">
        <v>3.79</v>
      </c>
      <c r="H753">
        <v>3.29</v>
      </c>
      <c r="I753" s="2" t="str">
        <f>_xlfn.XLOOKUP(F753,DeparaIMG!D:D,DeparaIMG!F:F,,0)</f>
        <v>BC350.png</v>
      </c>
    </row>
    <row r="754" spans="1:9" x14ac:dyDescent="0.25">
      <c r="A754" s="2" t="s">
        <v>102</v>
      </c>
      <c r="B754" s="2" t="s">
        <v>62</v>
      </c>
      <c r="C754" t="s">
        <v>29</v>
      </c>
      <c r="D754" t="s">
        <v>26</v>
      </c>
      <c r="E754" s="2">
        <v>2</v>
      </c>
      <c r="F754" t="s">
        <v>70</v>
      </c>
      <c r="G754">
        <v>3.99</v>
      </c>
      <c r="H754">
        <v>3.49</v>
      </c>
      <c r="I754" s="2" t="str">
        <f>_xlfn.XLOOKUP(F754,DeparaIMG!D:D,DeparaIMG!F:F,,0)</f>
        <v>BC0350.png</v>
      </c>
    </row>
    <row r="755" spans="1:9" x14ac:dyDescent="0.25">
      <c r="A755" s="2" t="s">
        <v>102</v>
      </c>
      <c r="B755" s="2" t="s">
        <v>62</v>
      </c>
      <c r="C755" t="s">
        <v>29</v>
      </c>
      <c r="D755" t="s">
        <v>26</v>
      </c>
      <c r="E755" s="2">
        <v>2</v>
      </c>
      <c r="F755" t="s">
        <v>83</v>
      </c>
      <c r="G755">
        <v>6.69</v>
      </c>
      <c r="H755">
        <v>5.99</v>
      </c>
      <c r="I755" s="2" t="str">
        <f>_xlfn.XLOOKUP(F755,DeparaIMG!D:D,DeparaIMG!F:F,,0)</f>
        <v>MICLN.png</v>
      </c>
    </row>
    <row r="756" spans="1:9" x14ac:dyDescent="0.25">
      <c r="A756" s="2" t="s">
        <v>102</v>
      </c>
      <c r="B756" s="2" t="s">
        <v>62</v>
      </c>
      <c r="C756" t="s">
        <v>29</v>
      </c>
      <c r="D756" t="s">
        <v>26</v>
      </c>
      <c r="E756" s="2">
        <v>2</v>
      </c>
      <c r="F756" t="s">
        <v>79</v>
      </c>
      <c r="G756">
        <v>6.29</v>
      </c>
      <c r="H756">
        <v>5.59</v>
      </c>
      <c r="I756" s="2" t="str">
        <f>_xlfn.XLOOKUP(F756,DeparaIMG!D:D,DeparaIMG!F:F,,0)</f>
        <v>COR350.png</v>
      </c>
    </row>
    <row r="757" spans="1:9" x14ac:dyDescent="0.25">
      <c r="A757" s="2" t="s">
        <v>102</v>
      </c>
      <c r="B757" s="2" t="s">
        <v>62</v>
      </c>
      <c r="C757" t="s">
        <v>29</v>
      </c>
      <c r="D757" t="s">
        <v>26</v>
      </c>
      <c r="E757" s="2">
        <v>2</v>
      </c>
      <c r="F757" t="s">
        <v>82</v>
      </c>
      <c r="G757">
        <v>6.29</v>
      </c>
      <c r="H757">
        <v>5.29</v>
      </c>
      <c r="I757" s="2" t="str">
        <f>_xlfn.XLOOKUP(F757,DeparaIMG!D:D,DeparaIMG!F:F,,0)</f>
        <v>BUDLN.png</v>
      </c>
    </row>
    <row r="758" spans="1:9" x14ac:dyDescent="0.25">
      <c r="A758" s="2" t="s">
        <v>102</v>
      </c>
      <c r="B758" s="2" t="s">
        <v>62</v>
      </c>
      <c r="C758" t="s">
        <v>29</v>
      </c>
      <c r="D758" t="s">
        <v>26</v>
      </c>
      <c r="E758" s="2">
        <v>2</v>
      </c>
      <c r="F758" t="s">
        <v>81</v>
      </c>
      <c r="G758">
        <v>6.29</v>
      </c>
      <c r="H758">
        <v>5.29</v>
      </c>
      <c r="I758" s="2" t="str">
        <f>_xlfn.XLOOKUP(F758,DeparaIMG!D:D,DeparaIMG!F:F,,0)</f>
        <v>BUDZEROLN.png</v>
      </c>
    </row>
    <row r="759" spans="1:9" x14ac:dyDescent="0.25">
      <c r="A759" s="2" t="s">
        <v>102</v>
      </c>
      <c r="B759" s="2" t="s">
        <v>62</v>
      </c>
      <c r="C759" t="s">
        <v>87</v>
      </c>
      <c r="D759" t="s">
        <v>25</v>
      </c>
      <c r="E759" s="2">
        <v>1</v>
      </c>
      <c r="F759" t="s">
        <v>70</v>
      </c>
      <c r="G759">
        <v>3.99</v>
      </c>
      <c r="H759">
        <v>3.49</v>
      </c>
      <c r="I759" s="2" t="str">
        <f>_xlfn.XLOOKUP(F759,DeparaIMG!D:D,DeparaIMG!F:F,,0)</f>
        <v>BC0350.png</v>
      </c>
    </row>
    <row r="760" spans="1:9" x14ac:dyDescent="0.25">
      <c r="A760" s="2" t="s">
        <v>102</v>
      </c>
      <c r="B760" s="2" t="s">
        <v>62</v>
      </c>
      <c r="C760" t="s">
        <v>87</v>
      </c>
      <c r="D760" t="s">
        <v>25</v>
      </c>
      <c r="E760" s="2">
        <v>1</v>
      </c>
      <c r="F760" t="s">
        <v>72</v>
      </c>
      <c r="G760">
        <v>3.89</v>
      </c>
      <c r="H760">
        <v>3.49</v>
      </c>
      <c r="I760" s="2" t="str">
        <f>_xlfn.XLOOKUP(F760,DeparaIMG!D:D,DeparaIMG!F:F,,0)</f>
        <v>ORI269.png</v>
      </c>
    </row>
    <row r="761" spans="1:9" x14ac:dyDescent="0.25">
      <c r="A761" s="2" t="s">
        <v>102</v>
      </c>
      <c r="B761" s="2" t="s">
        <v>62</v>
      </c>
      <c r="C761" t="s">
        <v>87</v>
      </c>
      <c r="D761" t="s">
        <v>25</v>
      </c>
      <c r="E761" s="2">
        <v>1</v>
      </c>
      <c r="F761" t="s">
        <v>85</v>
      </c>
      <c r="G761">
        <v>7.99</v>
      </c>
      <c r="H761">
        <v>6.99</v>
      </c>
      <c r="I761" s="2" t="str">
        <f>_xlfn.XLOOKUP(F761,DeparaIMG!D:D,DeparaIMG!F:F,,0)</f>
        <v>CORLN.png</v>
      </c>
    </row>
    <row r="762" spans="1:9" x14ac:dyDescent="0.25">
      <c r="A762" s="2" t="s">
        <v>102</v>
      </c>
      <c r="B762" s="2" t="s">
        <v>62</v>
      </c>
      <c r="C762" t="s">
        <v>87</v>
      </c>
      <c r="D762" t="s">
        <v>25</v>
      </c>
      <c r="E762" s="2">
        <v>1</v>
      </c>
      <c r="F762" t="s">
        <v>66</v>
      </c>
      <c r="G762">
        <v>2.99</v>
      </c>
      <c r="H762">
        <v>2.69</v>
      </c>
      <c r="I762" s="2" t="str">
        <f>_xlfn.XLOOKUP(F762,DeparaIMG!D:D,DeparaIMG!F:F,,0)</f>
        <v>SK269.png</v>
      </c>
    </row>
    <row r="763" spans="1:9" x14ac:dyDescent="0.25">
      <c r="A763" s="2" t="s">
        <v>102</v>
      </c>
      <c r="B763" s="2" t="s">
        <v>62</v>
      </c>
      <c r="C763" t="s">
        <v>87</v>
      </c>
      <c r="D763" t="s">
        <v>25</v>
      </c>
      <c r="E763" s="2">
        <v>1</v>
      </c>
      <c r="F763" t="s">
        <v>78</v>
      </c>
      <c r="G763">
        <v>5.49</v>
      </c>
      <c r="H763">
        <v>4.99</v>
      </c>
      <c r="I763" s="2" t="str">
        <f>_xlfn.XLOOKUP(F763,DeparaIMG!D:D,DeparaIMG!F:F,,0)</f>
        <v>MIC350.png</v>
      </c>
    </row>
    <row r="764" spans="1:9" x14ac:dyDescent="0.25">
      <c r="A764" s="2" t="s">
        <v>102</v>
      </c>
      <c r="B764" s="2" t="s">
        <v>62</v>
      </c>
      <c r="C764" t="s">
        <v>87</v>
      </c>
      <c r="D764" t="s">
        <v>25</v>
      </c>
      <c r="E764" s="2">
        <v>2</v>
      </c>
      <c r="F764" t="s">
        <v>68</v>
      </c>
      <c r="G764">
        <v>3.09</v>
      </c>
      <c r="H764">
        <v>2.79</v>
      </c>
      <c r="I764" s="2" t="str">
        <f>_xlfn.XLOOKUP(F764,DeparaIMG!D:D,DeparaIMG!F:F,,0)</f>
        <v>BC269.png</v>
      </c>
    </row>
    <row r="765" spans="1:9" x14ac:dyDescent="0.25">
      <c r="A765" s="2" t="s">
        <v>102</v>
      </c>
      <c r="B765" s="2" t="s">
        <v>62</v>
      </c>
      <c r="C765" t="s">
        <v>87</v>
      </c>
      <c r="D765" t="s">
        <v>25</v>
      </c>
      <c r="E765" s="2">
        <v>2</v>
      </c>
      <c r="F765" t="s">
        <v>69</v>
      </c>
      <c r="G765">
        <v>3.39</v>
      </c>
      <c r="H765">
        <v>2.99</v>
      </c>
      <c r="I765" s="2" t="str">
        <f>_xlfn.XLOOKUP(F765,DeparaIMG!D:D,DeparaIMG!F:F,,0)</f>
        <v>BUD269.png</v>
      </c>
    </row>
    <row r="766" spans="1:9" x14ac:dyDescent="0.25">
      <c r="A766" s="2" t="s">
        <v>102</v>
      </c>
      <c r="B766" s="2" t="s">
        <v>62</v>
      </c>
      <c r="C766" t="s">
        <v>87</v>
      </c>
      <c r="D766" t="s">
        <v>25</v>
      </c>
      <c r="E766" s="2">
        <v>2</v>
      </c>
      <c r="F766" t="s">
        <v>74</v>
      </c>
      <c r="G766">
        <v>4.29</v>
      </c>
      <c r="H766">
        <v>3.69</v>
      </c>
      <c r="I766" s="2" t="str">
        <f>_xlfn.XLOOKUP(F766,DeparaIMG!D:D,DeparaIMG!F:F,,0)</f>
        <v>BUDZERO350.png</v>
      </c>
    </row>
    <row r="767" spans="1:9" x14ac:dyDescent="0.25">
      <c r="A767" s="2" t="s">
        <v>102</v>
      </c>
      <c r="B767" s="2" t="s">
        <v>62</v>
      </c>
      <c r="C767" t="s">
        <v>87</v>
      </c>
      <c r="D767" t="s">
        <v>25</v>
      </c>
      <c r="E767" s="2">
        <v>2</v>
      </c>
      <c r="F767" t="s">
        <v>70</v>
      </c>
      <c r="G767">
        <v>3.99</v>
      </c>
      <c r="H767">
        <v>3.49</v>
      </c>
      <c r="I767" s="2" t="str">
        <f>_xlfn.XLOOKUP(F767,DeparaIMG!D:D,DeparaIMG!F:F,,0)</f>
        <v>BC0350.png</v>
      </c>
    </row>
    <row r="768" spans="1:9" x14ac:dyDescent="0.25">
      <c r="A768" s="2" t="s">
        <v>102</v>
      </c>
      <c r="B768" s="2" t="s">
        <v>62</v>
      </c>
      <c r="C768" t="s">
        <v>87</v>
      </c>
      <c r="D768" t="s">
        <v>25</v>
      </c>
      <c r="E768" s="2">
        <v>2</v>
      </c>
      <c r="F768" t="s">
        <v>83</v>
      </c>
      <c r="G768">
        <v>6.69</v>
      </c>
      <c r="H768">
        <v>5.99</v>
      </c>
      <c r="I768" s="2" t="str">
        <f>_xlfn.XLOOKUP(F768,DeparaIMG!D:D,DeparaIMG!F:F,,0)</f>
        <v>MICLN.png</v>
      </c>
    </row>
    <row r="769" spans="1:9" x14ac:dyDescent="0.25">
      <c r="A769" s="2" t="s">
        <v>102</v>
      </c>
      <c r="B769" s="2" t="s">
        <v>62</v>
      </c>
      <c r="C769" t="s">
        <v>87</v>
      </c>
      <c r="D769" t="s">
        <v>26</v>
      </c>
      <c r="E769" s="2">
        <v>1</v>
      </c>
      <c r="F769" t="s">
        <v>70</v>
      </c>
      <c r="G769">
        <v>3.69</v>
      </c>
      <c r="H769">
        <v>3.19</v>
      </c>
      <c r="I769" s="2" t="str">
        <f>_xlfn.XLOOKUP(F769,DeparaIMG!D:D,DeparaIMG!F:F,,0)</f>
        <v>BC0350.png</v>
      </c>
    </row>
    <row r="770" spans="1:9" x14ac:dyDescent="0.25">
      <c r="A770" s="2" t="s">
        <v>102</v>
      </c>
      <c r="B770" s="2" t="s">
        <v>62</v>
      </c>
      <c r="C770" t="s">
        <v>87</v>
      </c>
      <c r="D770" t="s">
        <v>26</v>
      </c>
      <c r="E770" s="2">
        <v>1</v>
      </c>
      <c r="F770" t="s">
        <v>66</v>
      </c>
      <c r="G770">
        <v>2.99</v>
      </c>
      <c r="H770">
        <v>2.69</v>
      </c>
      <c r="I770" s="2" t="str">
        <f>_xlfn.XLOOKUP(F770,DeparaIMG!D:D,DeparaIMG!F:F,,0)</f>
        <v>SK269.png</v>
      </c>
    </row>
    <row r="771" spans="1:9" x14ac:dyDescent="0.25">
      <c r="A771" s="2" t="s">
        <v>102</v>
      </c>
      <c r="B771" s="2" t="s">
        <v>62</v>
      </c>
      <c r="C771" t="s">
        <v>87</v>
      </c>
      <c r="D771" t="s">
        <v>26</v>
      </c>
      <c r="E771" s="2">
        <v>1</v>
      </c>
      <c r="F771" t="s">
        <v>72</v>
      </c>
      <c r="G771">
        <v>3.89</v>
      </c>
      <c r="H771">
        <v>3.49</v>
      </c>
      <c r="I771" s="2" t="str">
        <f>_xlfn.XLOOKUP(F771,DeparaIMG!D:D,DeparaIMG!F:F,,0)</f>
        <v>ORI269.png</v>
      </c>
    </row>
    <row r="772" spans="1:9" x14ac:dyDescent="0.25">
      <c r="A772" s="2" t="s">
        <v>102</v>
      </c>
      <c r="B772" s="2" t="s">
        <v>62</v>
      </c>
      <c r="C772" t="s">
        <v>87</v>
      </c>
      <c r="D772" t="s">
        <v>26</v>
      </c>
      <c r="E772" s="2">
        <v>1</v>
      </c>
      <c r="F772" t="s">
        <v>85</v>
      </c>
      <c r="G772">
        <v>7.99</v>
      </c>
      <c r="H772">
        <v>6.99</v>
      </c>
      <c r="I772" s="2" t="str">
        <f>_xlfn.XLOOKUP(F772,DeparaIMG!D:D,DeparaIMG!F:F,,0)</f>
        <v>CORLN.png</v>
      </c>
    </row>
    <row r="773" spans="1:9" x14ac:dyDescent="0.25">
      <c r="A773" s="2" t="s">
        <v>102</v>
      </c>
      <c r="B773" s="2" t="s">
        <v>62</v>
      </c>
      <c r="C773" t="s">
        <v>87</v>
      </c>
      <c r="D773" t="s">
        <v>26</v>
      </c>
      <c r="E773" s="2">
        <v>1</v>
      </c>
      <c r="F773" t="s">
        <v>100</v>
      </c>
      <c r="G773">
        <v>4.09</v>
      </c>
      <c r="H773">
        <v>3.79</v>
      </c>
      <c r="I773" s="2" t="str">
        <f>_xlfn.XLOOKUP(F773,DeparaIMG!D:D,DeparaIMG!F:F,,0)</f>
        <v>SPT269.png</v>
      </c>
    </row>
    <row r="774" spans="1:9" x14ac:dyDescent="0.25">
      <c r="A774" s="2" t="s">
        <v>102</v>
      </c>
      <c r="B774" s="2" t="s">
        <v>62</v>
      </c>
      <c r="C774" t="s">
        <v>87</v>
      </c>
      <c r="D774" t="s">
        <v>26</v>
      </c>
      <c r="E774" s="2">
        <v>1</v>
      </c>
      <c r="F774" t="s">
        <v>78</v>
      </c>
      <c r="G774">
        <v>5.49</v>
      </c>
      <c r="H774">
        <v>4.99</v>
      </c>
      <c r="I774" s="2" t="str">
        <f>_xlfn.XLOOKUP(F774,DeparaIMG!D:D,DeparaIMG!F:F,,0)</f>
        <v>MIC350.png</v>
      </c>
    </row>
    <row r="775" spans="1:9" x14ac:dyDescent="0.25">
      <c r="A775" s="2" t="s">
        <v>102</v>
      </c>
      <c r="B775" s="2" t="s">
        <v>62</v>
      </c>
      <c r="C775" t="s">
        <v>87</v>
      </c>
      <c r="D775" t="s">
        <v>26</v>
      </c>
      <c r="E775" s="2">
        <v>2</v>
      </c>
      <c r="F775" t="s">
        <v>69</v>
      </c>
      <c r="G775">
        <v>3.39</v>
      </c>
      <c r="H775">
        <v>2.99</v>
      </c>
      <c r="I775" s="2" t="str">
        <f>_xlfn.XLOOKUP(F775,DeparaIMG!D:D,DeparaIMG!F:F,,0)</f>
        <v>BUD269.png</v>
      </c>
    </row>
    <row r="776" spans="1:9" x14ac:dyDescent="0.25">
      <c r="A776" s="2" t="s">
        <v>102</v>
      </c>
      <c r="B776" s="2" t="s">
        <v>62</v>
      </c>
      <c r="C776" t="s">
        <v>87</v>
      </c>
      <c r="D776" t="s">
        <v>26</v>
      </c>
      <c r="E776" s="2">
        <v>2</v>
      </c>
      <c r="F776" t="s">
        <v>74</v>
      </c>
      <c r="G776">
        <v>4.29</v>
      </c>
      <c r="H776">
        <v>3.69</v>
      </c>
      <c r="I776" s="2" t="str">
        <f>_xlfn.XLOOKUP(F776,DeparaIMG!D:D,DeparaIMG!F:F,,0)</f>
        <v>BUDZERO350.png</v>
      </c>
    </row>
    <row r="777" spans="1:9" x14ac:dyDescent="0.25">
      <c r="A777" s="2" t="s">
        <v>102</v>
      </c>
      <c r="B777" s="2" t="s">
        <v>62</v>
      </c>
      <c r="C777" t="s">
        <v>87</v>
      </c>
      <c r="D777" t="s">
        <v>26</v>
      </c>
      <c r="E777" s="2">
        <v>2</v>
      </c>
      <c r="F777" t="s">
        <v>68</v>
      </c>
      <c r="G777">
        <v>3.09</v>
      </c>
      <c r="H777">
        <v>2.79</v>
      </c>
      <c r="I777" s="2" t="str">
        <f>_xlfn.XLOOKUP(F777,DeparaIMG!D:D,DeparaIMG!F:F,,0)</f>
        <v>BC269.png</v>
      </c>
    </row>
    <row r="778" spans="1:9" x14ac:dyDescent="0.25">
      <c r="A778" s="2" t="s">
        <v>102</v>
      </c>
      <c r="B778" s="2" t="s">
        <v>62</v>
      </c>
      <c r="C778" t="s">
        <v>87</v>
      </c>
      <c r="D778" t="s">
        <v>26</v>
      </c>
      <c r="E778" s="2">
        <v>2</v>
      </c>
      <c r="F778" t="s">
        <v>70</v>
      </c>
      <c r="G778">
        <v>3.69</v>
      </c>
      <c r="H778">
        <v>3.19</v>
      </c>
      <c r="I778" s="2" t="str">
        <f>_xlfn.XLOOKUP(F778,DeparaIMG!D:D,DeparaIMG!F:F,,0)</f>
        <v>BC0350.png</v>
      </c>
    </row>
    <row r="779" spans="1:9" x14ac:dyDescent="0.25">
      <c r="A779" s="2" t="s">
        <v>102</v>
      </c>
      <c r="B779" s="2" t="s">
        <v>62</v>
      </c>
      <c r="C779" t="s">
        <v>87</v>
      </c>
      <c r="D779" t="s">
        <v>26</v>
      </c>
      <c r="E779" s="2">
        <v>2</v>
      </c>
      <c r="F779" t="s">
        <v>83</v>
      </c>
      <c r="G779">
        <v>6.69</v>
      </c>
      <c r="H779">
        <v>5.99</v>
      </c>
      <c r="I779" s="2" t="str">
        <f>_xlfn.XLOOKUP(F779,DeparaIMG!D:D,DeparaIMG!F:F,,0)</f>
        <v>MICLN.png</v>
      </c>
    </row>
    <row r="780" spans="1:9" x14ac:dyDescent="0.25">
      <c r="A780" s="2" t="s">
        <v>102</v>
      </c>
      <c r="B780" s="2" t="s">
        <v>62</v>
      </c>
      <c r="C780" t="s">
        <v>87</v>
      </c>
      <c r="D780" t="s">
        <v>26</v>
      </c>
      <c r="E780" s="2">
        <v>2</v>
      </c>
      <c r="F780" t="s">
        <v>77</v>
      </c>
      <c r="G780">
        <v>4.6900000000000004</v>
      </c>
      <c r="H780">
        <v>4.1900000000000004</v>
      </c>
      <c r="I780" s="2" t="str">
        <f>_xlfn.XLOOKUP(F780,DeparaIMG!D:D,DeparaIMG!F:F,,0)</f>
        <v>COR269.png</v>
      </c>
    </row>
    <row r="781" spans="1:9" x14ac:dyDescent="0.25">
      <c r="A781" s="2" t="s">
        <v>102</v>
      </c>
      <c r="B781" s="2" t="s">
        <v>62</v>
      </c>
      <c r="C781" t="s">
        <v>87</v>
      </c>
      <c r="D781" t="s">
        <v>26</v>
      </c>
      <c r="E781" s="2">
        <v>2</v>
      </c>
      <c r="F781" t="s">
        <v>79</v>
      </c>
      <c r="G781">
        <v>6.29</v>
      </c>
      <c r="H781">
        <v>5.59</v>
      </c>
      <c r="I781" s="2" t="str">
        <f>_xlfn.XLOOKUP(F781,DeparaIMG!D:D,DeparaIMG!F:F,,0)</f>
        <v>COR350.png</v>
      </c>
    </row>
    <row r="782" spans="1:9" x14ac:dyDescent="0.25">
      <c r="A782" s="2" t="s">
        <v>102</v>
      </c>
      <c r="B782" s="2" t="s">
        <v>62</v>
      </c>
      <c r="C782" t="s">
        <v>87</v>
      </c>
      <c r="D782" t="s">
        <v>26</v>
      </c>
      <c r="E782" s="2">
        <v>2</v>
      </c>
      <c r="F782" t="s">
        <v>82</v>
      </c>
      <c r="G782">
        <v>6.29</v>
      </c>
      <c r="H782">
        <v>5.29</v>
      </c>
      <c r="I782" s="2" t="str">
        <f>_xlfn.XLOOKUP(F782,DeparaIMG!D:D,DeparaIMG!F:F,,0)</f>
        <v>BUDLN.png</v>
      </c>
    </row>
    <row r="783" spans="1:9" x14ac:dyDescent="0.25">
      <c r="A783" s="2" t="s">
        <v>102</v>
      </c>
      <c r="B783" s="2" t="s">
        <v>62</v>
      </c>
      <c r="C783" t="s">
        <v>87</v>
      </c>
      <c r="D783" t="s">
        <v>26</v>
      </c>
      <c r="E783" s="2">
        <v>2</v>
      </c>
      <c r="F783" t="s">
        <v>81</v>
      </c>
      <c r="G783">
        <v>6.29</v>
      </c>
      <c r="H783">
        <v>5.29</v>
      </c>
      <c r="I783" s="2" t="str">
        <f>_xlfn.XLOOKUP(F783,DeparaIMG!D:D,DeparaIMG!F:F,,0)</f>
        <v>BUDZEROLN.png</v>
      </c>
    </row>
    <row r="784" spans="1:9" x14ac:dyDescent="0.25">
      <c r="A784" s="2" t="s">
        <v>102</v>
      </c>
      <c r="B784" s="2" t="s">
        <v>62</v>
      </c>
      <c r="C784" t="s">
        <v>88</v>
      </c>
      <c r="D784" t="s">
        <v>25</v>
      </c>
      <c r="E784" s="2">
        <v>1</v>
      </c>
      <c r="F784" t="s">
        <v>70</v>
      </c>
      <c r="G784">
        <v>3.69</v>
      </c>
      <c r="H784">
        <v>3.19</v>
      </c>
      <c r="I784" s="2" t="str">
        <f>_xlfn.XLOOKUP(F784,DeparaIMG!D:D,DeparaIMG!F:F,,0)</f>
        <v>BC0350.png</v>
      </c>
    </row>
    <row r="785" spans="1:9" x14ac:dyDescent="0.25">
      <c r="A785" s="2" t="s">
        <v>102</v>
      </c>
      <c r="B785" s="2" t="s">
        <v>62</v>
      </c>
      <c r="C785" t="s">
        <v>88</v>
      </c>
      <c r="D785" t="s">
        <v>25</v>
      </c>
      <c r="E785" s="2">
        <v>1</v>
      </c>
      <c r="F785" t="s">
        <v>72</v>
      </c>
      <c r="G785">
        <v>3.89</v>
      </c>
      <c r="H785">
        <v>3.49</v>
      </c>
      <c r="I785" s="2" t="str">
        <f>_xlfn.XLOOKUP(F785,DeparaIMG!D:D,DeparaIMG!F:F,,0)</f>
        <v>ORI269.png</v>
      </c>
    </row>
    <row r="786" spans="1:9" x14ac:dyDescent="0.25">
      <c r="A786" s="2" t="s">
        <v>102</v>
      </c>
      <c r="B786" s="2" t="s">
        <v>62</v>
      </c>
      <c r="C786" t="s">
        <v>88</v>
      </c>
      <c r="D786" t="s">
        <v>25</v>
      </c>
      <c r="E786" s="2">
        <v>1</v>
      </c>
      <c r="F786" t="s">
        <v>85</v>
      </c>
      <c r="G786">
        <v>7.99</v>
      </c>
      <c r="H786">
        <v>6.99</v>
      </c>
      <c r="I786" s="2" t="str">
        <f>_xlfn.XLOOKUP(F786,DeparaIMG!D:D,DeparaIMG!F:F,,0)</f>
        <v>CORLN.png</v>
      </c>
    </row>
    <row r="787" spans="1:9" x14ac:dyDescent="0.25">
      <c r="A787" s="2" t="s">
        <v>102</v>
      </c>
      <c r="B787" s="2" t="s">
        <v>62</v>
      </c>
      <c r="C787" t="s">
        <v>88</v>
      </c>
      <c r="D787" t="s">
        <v>25</v>
      </c>
      <c r="E787" s="2">
        <v>1</v>
      </c>
      <c r="F787" t="s">
        <v>66</v>
      </c>
      <c r="G787">
        <v>3.19</v>
      </c>
      <c r="H787">
        <v>2.89</v>
      </c>
      <c r="I787" s="2" t="str">
        <f>_xlfn.XLOOKUP(F787,DeparaIMG!D:D,DeparaIMG!F:F,,0)</f>
        <v>SK269.png</v>
      </c>
    </row>
    <row r="788" spans="1:9" x14ac:dyDescent="0.25">
      <c r="A788" s="2" t="s">
        <v>102</v>
      </c>
      <c r="B788" s="2" t="s">
        <v>62</v>
      </c>
      <c r="C788" t="s">
        <v>88</v>
      </c>
      <c r="D788" t="s">
        <v>25</v>
      </c>
      <c r="E788" s="2">
        <v>1</v>
      </c>
      <c r="F788" t="s">
        <v>78</v>
      </c>
      <c r="G788">
        <v>5.49</v>
      </c>
      <c r="H788">
        <v>4.99</v>
      </c>
      <c r="I788" s="2" t="str">
        <f>_xlfn.XLOOKUP(F788,DeparaIMG!D:D,DeparaIMG!F:F,,0)</f>
        <v>MIC350.png</v>
      </c>
    </row>
    <row r="789" spans="1:9" x14ac:dyDescent="0.25">
      <c r="A789" s="2" t="s">
        <v>102</v>
      </c>
      <c r="B789" s="2" t="s">
        <v>62</v>
      </c>
      <c r="C789" t="s">
        <v>88</v>
      </c>
      <c r="D789" t="s">
        <v>25</v>
      </c>
      <c r="E789" s="2">
        <v>2</v>
      </c>
      <c r="F789" t="s">
        <v>68</v>
      </c>
      <c r="G789">
        <v>3.19</v>
      </c>
      <c r="H789">
        <v>2.89</v>
      </c>
      <c r="I789" s="2" t="str">
        <f>_xlfn.XLOOKUP(F789,DeparaIMG!D:D,DeparaIMG!F:F,,0)</f>
        <v>BC269.png</v>
      </c>
    </row>
    <row r="790" spans="1:9" x14ac:dyDescent="0.25">
      <c r="A790" s="2" t="s">
        <v>102</v>
      </c>
      <c r="B790" s="2" t="s">
        <v>62</v>
      </c>
      <c r="C790" t="s">
        <v>88</v>
      </c>
      <c r="D790" t="s">
        <v>25</v>
      </c>
      <c r="E790" s="2">
        <v>2</v>
      </c>
      <c r="F790" t="s">
        <v>74</v>
      </c>
      <c r="G790">
        <v>4.29</v>
      </c>
      <c r="H790">
        <v>3.69</v>
      </c>
      <c r="I790" s="2" t="str">
        <f>_xlfn.XLOOKUP(F790,DeparaIMG!D:D,DeparaIMG!F:F,,0)</f>
        <v>BUDZERO350.png</v>
      </c>
    </row>
    <row r="791" spans="1:9" x14ac:dyDescent="0.25">
      <c r="A791" s="2" t="s">
        <v>102</v>
      </c>
      <c r="B791" s="2" t="s">
        <v>62</v>
      </c>
      <c r="C791" t="s">
        <v>88</v>
      </c>
      <c r="D791" t="s">
        <v>25</v>
      </c>
      <c r="E791" s="2">
        <v>2</v>
      </c>
      <c r="F791" t="s">
        <v>70</v>
      </c>
      <c r="G791">
        <v>3.69</v>
      </c>
      <c r="H791">
        <v>3.19</v>
      </c>
      <c r="I791" s="2" t="str">
        <f>_xlfn.XLOOKUP(F791,DeparaIMG!D:D,DeparaIMG!F:F,,0)</f>
        <v>BC0350.png</v>
      </c>
    </row>
    <row r="792" spans="1:9" x14ac:dyDescent="0.25">
      <c r="A792" s="2" t="s">
        <v>102</v>
      </c>
      <c r="B792" s="2" t="s">
        <v>62</v>
      </c>
      <c r="C792" t="s">
        <v>88</v>
      </c>
      <c r="D792" t="s">
        <v>25</v>
      </c>
      <c r="E792" s="2">
        <v>2</v>
      </c>
      <c r="F792" t="s">
        <v>83</v>
      </c>
      <c r="G792">
        <v>6.69</v>
      </c>
      <c r="H792">
        <v>5.99</v>
      </c>
      <c r="I792" s="2" t="str">
        <f>_xlfn.XLOOKUP(F792,DeparaIMG!D:D,DeparaIMG!F:F,,0)</f>
        <v>MICLN.png</v>
      </c>
    </row>
    <row r="793" spans="1:9" x14ac:dyDescent="0.25">
      <c r="A793" s="2" t="s">
        <v>102</v>
      </c>
      <c r="B793" s="2" t="s">
        <v>62</v>
      </c>
      <c r="C793" t="s">
        <v>88</v>
      </c>
      <c r="D793" t="s">
        <v>26</v>
      </c>
      <c r="E793" s="2">
        <v>1</v>
      </c>
      <c r="F793" t="s">
        <v>66</v>
      </c>
      <c r="G793">
        <v>3.19</v>
      </c>
      <c r="H793">
        <v>2.89</v>
      </c>
      <c r="I793" s="2" t="str">
        <f>_xlfn.XLOOKUP(F793,DeparaIMG!D:D,DeparaIMG!F:F,,0)</f>
        <v>SK269.png</v>
      </c>
    </row>
    <row r="794" spans="1:9" x14ac:dyDescent="0.25">
      <c r="A794" s="2" t="s">
        <v>102</v>
      </c>
      <c r="B794" s="2" t="s">
        <v>62</v>
      </c>
      <c r="C794" t="s">
        <v>88</v>
      </c>
      <c r="D794" t="s">
        <v>26</v>
      </c>
      <c r="E794" s="2">
        <v>1</v>
      </c>
      <c r="F794" t="s">
        <v>72</v>
      </c>
      <c r="G794">
        <v>3.89</v>
      </c>
      <c r="H794">
        <v>3.49</v>
      </c>
      <c r="I794" s="2" t="str">
        <f>_xlfn.XLOOKUP(F794,DeparaIMG!D:D,DeparaIMG!F:F,,0)</f>
        <v>ORI269.png</v>
      </c>
    </row>
    <row r="795" spans="1:9" x14ac:dyDescent="0.25">
      <c r="A795" s="2" t="s">
        <v>102</v>
      </c>
      <c r="B795" s="2" t="s">
        <v>62</v>
      </c>
      <c r="C795" t="s">
        <v>88</v>
      </c>
      <c r="D795" t="s">
        <v>26</v>
      </c>
      <c r="E795" s="2">
        <v>1</v>
      </c>
      <c r="F795" t="s">
        <v>85</v>
      </c>
      <c r="G795">
        <v>7.99</v>
      </c>
      <c r="H795">
        <v>6.99</v>
      </c>
      <c r="I795" s="2" t="str">
        <f>_xlfn.XLOOKUP(F795,DeparaIMG!D:D,DeparaIMG!F:F,,0)</f>
        <v>CORLN.png</v>
      </c>
    </row>
    <row r="796" spans="1:9" x14ac:dyDescent="0.25">
      <c r="A796" s="2" t="s">
        <v>102</v>
      </c>
      <c r="B796" s="2" t="s">
        <v>62</v>
      </c>
      <c r="C796" t="s">
        <v>88</v>
      </c>
      <c r="D796" t="s">
        <v>26</v>
      </c>
      <c r="E796" s="2">
        <v>1</v>
      </c>
      <c r="F796" t="s">
        <v>100</v>
      </c>
      <c r="G796">
        <v>4.09</v>
      </c>
      <c r="H796">
        <v>3.79</v>
      </c>
      <c r="I796" s="2" t="str">
        <f>_xlfn.XLOOKUP(F796,DeparaIMG!D:D,DeparaIMG!F:F,,0)</f>
        <v>SPT269.png</v>
      </c>
    </row>
    <row r="797" spans="1:9" x14ac:dyDescent="0.25">
      <c r="A797" s="2" t="s">
        <v>102</v>
      </c>
      <c r="B797" s="2" t="s">
        <v>62</v>
      </c>
      <c r="C797" t="s">
        <v>88</v>
      </c>
      <c r="D797" t="s">
        <v>26</v>
      </c>
      <c r="E797" s="2">
        <v>1</v>
      </c>
      <c r="F797" t="s">
        <v>78</v>
      </c>
      <c r="G797">
        <v>5.49</v>
      </c>
      <c r="H797">
        <v>4.99</v>
      </c>
      <c r="I797" s="2" t="str">
        <f>_xlfn.XLOOKUP(F797,DeparaIMG!D:D,DeparaIMG!F:F,,0)</f>
        <v>MIC350.png</v>
      </c>
    </row>
    <row r="798" spans="1:9" x14ac:dyDescent="0.25">
      <c r="A798" s="2" t="s">
        <v>102</v>
      </c>
      <c r="B798" s="2" t="s">
        <v>62</v>
      </c>
      <c r="C798" t="s">
        <v>88</v>
      </c>
      <c r="D798" t="s">
        <v>26</v>
      </c>
      <c r="E798" s="2">
        <v>2</v>
      </c>
      <c r="F798" t="s">
        <v>69</v>
      </c>
      <c r="G798">
        <v>3.49</v>
      </c>
      <c r="H798">
        <v>3.09</v>
      </c>
      <c r="I798" s="2" t="str">
        <f>_xlfn.XLOOKUP(F798,DeparaIMG!D:D,DeparaIMG!F:F,,0)</f>
        <v>BUD269.png</v>
      </c>
    </row>
    <row r="799" spans="1:9" x14ac:dyDescent="0.25">
      <c r="A799" s="2" t="s">
        <v>102</v>
      </c>
      <c r="B799" s="2" t="s">
        <v>62</v>
      </c>
      <c r="C799" t="s">
        <v>88</v>
      </c>
      <c r="D799" t="s">
        <v>26</v>
      </c>
      <c r="E799" s="2">
        <v>2</v>
      </c>
      <c r="F799" t="s">
        <v>74</v>
      </c>
      <c r="G799">
        <v>4.29</v>
      </c>
      <c r="H799">
        <v>3.69</v>
      </c>
      <c r="I799" s="2" t="str">
        <f>_xlfn.XLOOKUP(F799,DeparaIMG!D:D,DeparaIMG!F:F,,0)</f>
        <v>BUDZERO350.png</v>
      </c>
    </row>
    <row r="800" spans="1:9" x14ac:dyDescent="0.25">
      <c r="A800" s="2" t="s">
        <v>102</v>
      </c>
      <c r="B800" s="2" t="s">
        <v>62</v>
      </c>
      <c r="C800" t="s">
        <v>88</v>
      </c>
      <c r="D800" t="s">
        <v>26</v>
      </c>
      <c r="E800" s="2">
        <v>2</v>
      </c>
      <c r="F800" t="s">
        <v>68</v>
      </c>
      <c r="G800">
        <v>3.19</v>
      </c>
      <c r="H800">
        <v>2.89</v>
      </c>
      <c r="I800" s="2" t="str">
        <f>_xlfn.XLOOKUP(F800,DeparaIMG!D:D,DeparaIMG!F:F,,0)</f>
        <v>BC269.png</v>
      </c>
    </row>
    <row r="801" spans="1:9" x14ac:dyDescent="0.25">
      <c r="A801" s="2" t="s">
        <v>102</v>
      </c>
      <c r="B801" s="2" t="s">
        <v>62</v>
      </c>
      <c r="C801" t="s">
        <v>88</v>
      </c>
      <c r="D801" t="s">
        <v>26</v>
      </c>
      <c r="E801" s="2">
        <v>2</v>
      </c>
      <c r="F801" t="s">
        <v>70</v>
      </c>
      <c r="G801">
        <v>3.99</v>
      </c>
      <c r="H801">
        <v>3.49</v>
      </c>
      <c r="I801" s="2" t="str">
        <f>_xlfn.XLOOKUP(F801,DeparaIMG!D:D,DeparaIMG!F:F,,0)</f>
        <v>BC0350.png</v>
      </c>
    </row>
    <row r="802" spans="1:9" x14ac:dyDescent="0.25">
      <c r="A802" s="2" t="s">
        <v>102</v>
      </c>
      <c r="B802" s="2" t="s">
        <v>62</v>
      </c>
      <c r="C802" t="s">
        <v>88</v>
      </c>
      <c r="D802" t="s">
        <v>26</v>
      </c>
      <c r="E802" s="2">
        <v>2</v>
      </c>
      <c r="F802" t="s">
        <v>83</v>
      </c>
      <c r="G802">
        <v>6.69</v>
      </c>
      <c r="H802">
        <v>5.99</v>
      </c>
      <c r="I802" s="2" t="str">
        <f>_xlfn.XLOOKUP(F802,DeparaIMG!D:D,DeparaIMG!F:F,,0)</f>
        <v>MICLN.png</v>
      </c>
    </row>
    <row r="803" spans="1:9" x14ac:dyDescent="0.25">
      <c r="A803" s="2" t="s">
        <v>102</v>
      </c>
      <c r="B803" s="2" t="s">
        <v>62</v>
      </c>
      <c r="C803" t="s">
        <v>88</v>
      </c>
      <c r="D803" t="s">
        <v>26</v>
      </c>
      <c r="E803" s="2">
        <v>2</v>
      </c>
      <c r="F803" t="s">
        <v>77</v>
      </c>
      <c r="G803">
        <v>4.6900000000000004</v>
      </c>
      <c r="H803">
        <v>4.1900000000000004</v>
      </c>
      <c r="I803" s="2" t="str">
        <f>_xlfn.XLOOKUP(F803,DeparaIMG!D:D,DeparaIMG!F:F,,0)</f>
        <v>COR269.png</v>
      </c>
    </row>
    <row r="804" spans="1:9" x14ac:dyDescent="0.25">
      <c r="A804" s="2" t="s">
        <v>102</v>
      </c>
      <c r="B804" s="2" t="s">
        <v>62</v>
      </c>
      <c r="C804" t="s">
        <v>88</v>
      </c>
      <c r="D804" t="s">
        <v>26</v>
      </c>
      <c r="E804" s="2">
        <v>2</v>
      </c>
      <c r="F804" t="s">
        <v>79</v>
      </c>
      <c r="G804">
        <v>6.29</v>
      </c>
      <c r="H804">
        <v>5.59</v>
      </c>
      <c r="I804" s="2" t="str">
        <f>_xlfn.XLOOKUP(F804,DeparaIMG!D:D,DeparaIMG!F:F,,0)</f>
        <v>COR350.png</v>
      </c>
    </row>
    <row r="805" spans="1:9" x14ac:dyDescent="0.25">
      <c r="A805" s="2" t="s">
        <v>102</v>
      </c>
      <c r="B805" s="2" t="s">
        <v>62</v>
      </c>
      <c r="C805" t="s">
        <v>88</v>
      </c>
      <c r="D805" t="s">
        <v>26</v>
      </c>
      <c r="E805" s="2">
        <v>2</v>
      </c>
      <c r="F805" t="s">
        <v>82</v>
      </c>
      <c r="G805">
        <v>6.29</v>
      </c>
      <c r="H805">
        <v>5.29</v>
      </c>
      <c r="I805" s="2" t="str">
        <f>_xlfn.XLOOKUP(F805,DeparaIMG!D:D,DeparaIMG!F:F,,0)</f>
        <v>BUDLN.png</v>
      </c>
    </row>
    <row r="806" spans="1:9" x14ac:dyDescent="0.25">
      <c r="A806" s="2" t="s">
        <v>102</v>
      </c>
      <c r="B806" s="2" t="s">
        <v>62</v>
      </c>
      <c r="C806" t="s">
        <v>88</v>
      </c>
      <c r="D806" t="s">
        <v>26</v>
      </c>
      <c r="E806" s="2">
        <v>2</v>
      </c>
      <c r="F806" t="s">
        <v>81</v>
      </c>
      <c r="G806">
        <v>6.29</v>
      </c>
      <c r="H806">
        <v>5.29</v>
      </c>
      <c r="I806" s="2" t="str">
        <f>_xlfn.XLOOKUP(F806,DeparaIMG!D:D,DeparaIMG!F:F,,0)</f>
        <v>BUDZEROLN.png</v>
      </c>
    </row>
    <row r="807" spans="1:9" x14ac:dyDescent="0.25">
      <c r="A807" s="2" t="s">
        <v>102</v>
      </c>
      <c r="B807" s="2" t="s">
        <v>62</v>
      </c>
      <c r="C807" t="s">
        <v>113</v>
      </c>
      <c r="D807" t="s">
        <v>25</v>
      </c>
      <c r="E807" s="2">
        <v>1</v>
      </c>
      <c r="F807" t="s">
        <v>66</v>
      </c>
      <c r="G807">
        <v>3.19</v>
      </c>
      <c r="H807">
        <v>2.89</v>
      </c>
      <c r="I807" s="2" t="str">
        <f>_xlfn.XLOOKUP(F807,DeparaIMG!D:D,DeparaIMG!F:F,,0)</f>
        <v>SK269.png</v>
      </c>
    </row>
    <row r="808" spans="1:9" x14ac:dyDescent="0.25">
      <c r="A808" s="2" t="s">
        <v>102</v>
      </c>
      <c r="B808" s="2" t="s">
        <v>62</v>
      </c>
      <c r="C808" t="s">
        <v>113</v>
      </c>
      <c r="D808" t="s">
        <v>25</v>
      </c>
      <c r="E808" s="2">
        <v>1</v>
      </c>
      <c r="F808" t="s">
        <v>70</v>
      </c>
      <c r="G808">
        <v>3.69</v>
      </c>
      <c r="H808">
        <v>3.19</v>
      </c>
      <c r="I808" s="2" t="str">
        <f>_xlfn.XLOOKUP(F808,DeparaIMG!D:D,DeparaIMG!F:F,,0)</f>
        <v>BC0350.png</v>
      </c>
    </row>
    <row r="809" spans="1:9" x14ac:dyDescent="0.25">
      <c r="A809" s="2" t="s">
        <v>102</v>
      </c>
      <c r="B809" s="2" t="s">
        <v>62</v>
      </c>
      <c r="C809" t="s">
        <v>113</v>
      </c>
      <c r="D809" t="s">
        <v>25</v>
      </c>
      <c r="E809" s="2">
        <v>1</v>
      </c>
      <c r="F809" t="s">
        <v>72</v>
      </c>
      <c r="G809">
        <v>3.89</v>
      </c>
      <c r="H809">
        <v>3.49</v>
      </c>
      <c r="I809" s="2" t="str">
        <f>_xlfn.XLOOKUP(F809,DeparaIMG!D:D,DeparaIMG!F:F,,0)</f>
        <v>ORI269.png</v>
      </c>
    </row>
    <row r="810" spans="1:9" x14ac:dyDescent="0.25">
      <c r="A810" s="2" t="s">
        <v>102</v>
      </c>
      <c r="B810" s="2" t="s">
        <v>62</v>
      </c>
      <c r="C810" t="s">
        <v>113</v>
      </c>
      <c r="D810" t="s">
        <v>25</v>
      </c>
      <c r="E810" s="2">
        <v>1</v>
      </c>
      <c r="F810" t="s">
        <v>85</v>
      </c>
      <c r="G810">
        <v>7.99</v>
      </c>
      <c r="H810">
        <v>6.99</v>
      </c>
      <c r="I810" s="2" t="str">
        <f>_xlfn.XLOOKUP(F810,DeparaIMG!D:D,DeparaIMG!F:F,,0)</f>
        <v>CORLN.png</v>
      </c>
    </row>
    <row r="811" spans="1:9" x14ac:dyDescent="0.25">
      <c r="A811" s="2" t="s">
        <v>102</v>
      </c>
      <c r="B811" s="2" t="s">
        <v>62</v>
      </c>
      <c r="C811" t="s">
        <v>113</v>
      </c>
      <c r="D811" t="s">
        <v>25</v>
      </c>
      <c r="E811" s="2">
        <v>1</v>
      </c>
      <c r="F811" t="s">
        <v>78</v>
      </c>
      <c r="G811">
        <v>5.49</v>
      </c>
      <c r="H811">
        <v>4.99</v>
      </c>
      <c r="I811" s="2" t="str">
        <f>_xlfn.XLOOKUP(F811,DeparaIMG!D:D,DeparaIMG!F:F,,0)</f>
        <v>MIC350.png</v>
      </c>
    </row>
    <row r="812" spans="1:9" x14ac:dyDescent="0.25">
      <c r="A812" s="2" t="s">
        <v>102</v>
      </c>
      <c r="B812" s="2" t="s">
        <v>62</v>
      </c>
      <c r="C812" t="s">
        <v>113</v>
      </c>
      <c r="D812" t="s">
        <v>25</v>
      </c>
      <c r="E812" s="2">
        <v>2</v>
      </c>
      <c r="F812" t="s">
        <v>69</v>
      </c>
      <c r="G812">
        <v>3.39</v>
      </c>
      <c r="H812">
        <v>2.99</v>
      </c>
      <c r="I812" s="2" t="str">
        <f>_xlfn.XLOOKUP(F812,DeparaIMG!D:D,DeparaIMG!F:F,,0)</f>
        <v>BUD269.png</v>
      </c>
    </row>
    <row r="813" spans="1:9" x14ac:dyDescent="0.25">
      <c r="A813" s="2" t="s">
        <v>102</v>
      </c>
      <c r="B813" s="2" t="s">
        <v>62</v>
      </c>
      <c r="C813" t="s">
        <v>113</v>
      </c>
      <c r="D813" t="s">
        <v>25</v>
      </c>
      <c r="E813" s="2">
        <v>2</v>
      </c>
      <c r="F813" t="s">
        <v>74</v>
      </c>
      <c r="G813">
        <v>4.1900000000000004</v>
      </c>
      <c r="H813">
        <v>3.59</v>
      </c>
      <c r="I813" s="2" t="str">
        <f>_xlfn.XLOOKUP(F813,DeparaIMG!D:D,DeparaIMG!F:F,,0)</f>
        <v>BUDZERO350.png</v>
      </c>
    </row>
    <row r="814" spans="1:9" x14ac:dyDescent="0.25">
      <c r="A814" s="2" t="s">
        <v>102</v>
      </c>
      <c r="B814" s="2" t="s">
        <v>62</v>
      </c>
      <c r="C814" t="s">
        <v>113</v>
      </c>
      <c r="D814" t="s">
        <v>25</v>
      </c>
      <c r="E814" s="2">
        <v>2</v>
      </c>
      <c r="F814" t="s">
        <v>68</v>
      </c>
      <c r="G814">
        <v>3.09</v>
      </c>
      <c r="H814">
        <v>2.79</v>
      </c>
      <c r="I814" s="2" t="str">
        <f>_xlfn.XLOOKUP(F814,DeparaIMG!D:D,DeparaIMG!F:F,,0)</f>
        <v>BC269.png</v>
      </c>
    </row>
    <row r="815" spans="1:9" x14ac:dyDescent="0.25">
      <c r="A815" s="2" t="s">
        <v>102</v>
      </c>
      <c r="B815" s="2" t="s">
        <v>62</v>
      </c>
      <c r="C815" t="s">
        <v>113</v>
      </c>
      <c r="D815" t="s">
        <v>25</v>
      </c>
      <c r="E815" s="2">
        <v>2</v>
      </c>
      <c r="F815" t="s">
        <v>70</v>
      </c>
      <c r="G815">
        <v>3.69</v>
      </c>
      <c r="H815">
        <v>3.19</v>
      </c>
      <c r="I815" s="2" t="str">
        <f>_xlfn.XLOOKUP(F815,DeparaIMG!D:D,DeparaIMG!F:F,,0)</f>
        <v>BC0350.png</v>
      </c>
    </row>
    <row r="816" spans="1:9" x14ac:dyDescent="0.25">
      <c r="A816" s="2" t="s">
        <v>102</v>
      </c>
      <c r="B816" s="2" t="s">
        <v>62</v>
      </c>
      <c r="C816" t="s">
        <v>113</v>
      </c>
      <c r="D816" t="s">
        <v>25</v>
      </c>
      <c r="E816" s="2">
        <v>2</v>
      </c>
      <c r="F816" t="s">
        <v>83</v>
      </c>
      <c r="G816">
        <v>6.69</v>
      </c>
      <c r="H816">
        <v>5.99</v>
      </c>
      <c r="I816" s="2" t="str">
        <f>_xlfn.XLOOKUP(F816,DeparaIMG!D:D,DeparaIMG!F:F,,0)</f>
        <v>MICLN.png</v>
      </c>
    </row>
    <row r="817" spans="1:9" x14ac:dyDescent="0.25">
      <c r="A817" s="2" t="s">
        <v>102</v>
      </c>
      <c r="B817" s="2" t="s">
        <v>62</v>
      </c>
      <c r="C817" t="s">
        <v>113</v>
      </c>
      <c r="D817" t="s">
        <v>26</v>
      </c>
      <c r="E817" s="2">
        <v>1</v>
      </c>
      <c r="F817" t="s">
        <v>66</v>
      </c>
      <c r="G817">
        <v>3.19</v>
      </c>
      <c r="H817">
        <v>2.89</v>
      </c>
      <c r="I817" s="2" t="str">
        <f>_xlfn.XLOOKUP(F817,DeparaIMG!D:D,DeparaIMG!F:F,,0)</f>
        <v>SK269.png</v>
      </c>
    </row>
    <row r="818" spans="1:9" x14ac:dyDescent="0.25">
      <c r="A818" s="2" t="s">
        <v>102</v>
      </c>
      <c r="B818" s="2" t="s">
        <v>62</v>
      </c>
      <c r="C818" t="s">
        <v>113</v>
      </c>
      <c r="D818" t="s">
        <v>26</v>
      </c>
      <c r="E818" s="2">
        <v>1</v>
      </c>
      <c r="F818" t="s">
        <v>70</v>
      </c>
      <c r="G818">
        <v>3.99</v>
      </c>
      <c r="H818">
        <v>3.49</v>
      </c>
      <c r="I818" s="2" t="str">
        <f>_xlfn.XLOOKUP(F818,DeparaIMG!D:D,DeparaIMG!F:F,,0)</f>
        <v>BC0350.png</v>
      </c>
    </row>
    <row r="819" spans="1:9" x14ac:dyDescent="0.25">
      <c r="A819" s="2" t="s">
        <v>102</v>
      </c>
      <c r="B819" s="2" t="s">
        <v>62</v>
      </c>
      <c r="C819" t="s">
        <v>113</v>
      </c>
      <c r="D819" t="s">
        <v>26</v>
      </c>
      <c r="E819" s="2">
        <v>1</v>
      </c>
      <c r="F819" t="s">
        <v>72</v>
      </c>
      <c r="G819">
        <v>3.89</v>
      </c>
      <c r="H819">
        <v>3.49</v>
      </c>
      <c r="I819" s="2" t="str">
        <f>_xlfn.XLOOKUP(F819,DeparaIMG!D:D,DeparaIMG!F:F,,0)</f>
        <v>ORI269.png</v>
      </c>
    </row>
    <row r="820" spans="1:9" x14ac:dyDescent="0.25">
      <c r="A820" s="2" t="s">
        <v>102</v>
      </c>
      <c r="B820" s="2" t="s">
        <v>62</v>
      </c>
      <c r="C820" t="s">
        <v>113</v>
      </c>
      <c r="D820" t="s">
        <v>26</v>
      </c>
      <c r="E820" s="2">
        <v>1</v>
      </c>
      <c r="F820" t="s">
        <v>85</v>
      </c>
      <c r="G820">
        <v>7.99</v>
      </c>
      <c r="H820">
        <v>6.99</v>
      </c>
      <c r="I820" s="2" t="str">
        <f>_xlfn.XLOOKUP(F820,DeparaIMG!D:D,DeparaIMG!F:F,,0)</f>
        <v>CORLN.png</v>
      </c>
    </row>
    <row r="821" spans="1:9" x14ac:dyDescent="0.25">
      <c r="A821" s="2" t="s">
        <v>102</v>
      </c>
      <c r="B821" s="2" t="s">
        <v>62</v>
      </c>
      <c r="C821" t="s">
        <v>113</v>
      </c>
      <c r="D821" t="s">
        <v>26</v>
      </c>
      <c r="E821" s="2">
        <v>1</v>
      </c>
      <c r="F821" t="s">
        <v>101</v>
      </c>
      <c r="G821">
        <v>5.19</v>
      </c>
      <c r="H821">
        <v>4.6900000000000004</v>
      </c>
      <c r="I821" s="2" t="str">
        <f>_xlfn.XLOOKUP(F821,DeparaIMG!D:D,DeparaIMG!F:F,,0)</f>
        <v>SPT350.png</v>
      </c>
    </row>
    <row r="822" spans="1:9" x14ac:dyDescent="0.25">
      <c r="A822" s="2" t="s">
        <v>102</v>
      </c>
      <c r="B822" s="2" t="s">
        <v>62</v>
      </c>
      <c r="C822" t="s">
        <v>113</v>
      </c>
      <c r="D822" t="s">
        <v>26</v>
      </c>
      <c r="E822" s="2">
        <v>1</v>
      </c>
      <c r="F822" t="s">
        <v>78</v>
      </c>
      <c r="G822">
        <v>5.49</v>
      </c>
      <c r="H822">
        <v>4.99</v>
      </c>
      <c r="I822" s="2" t="str">
        <f>_xlfn.XLOOKUP(F822,DeparaIMG!D:D,DeparaIMG!F:F,,0)</f>
        <v>MIC350.png</v>
      </c>
    </row>
    <row r="823" spans="1:9" x14ac:dyDescent="0.25">
      <c r="A823" s="2" t="s">
        <v>102</v>
      </c>
      <c r="B823" s="2" t="s">
        <v>62</v>
      </c>
      <c r="C823" t="s">
        <v>113</v>
      </c>
      <c r="D823" t="s">
        <v>26</v>
      </c>
      <c r="E823" s="2">
        <v>2</v>
      </c>
      <c r="F823" t="s">
        <v>76</v>
      </c>
      <c r="G823">
        <v>4.29</v>
      </c>
      <c r="H823">
        <v>3.69</v>
      </c>
      <c r="I823" s="2" t="str">
        <f>_xlfn.XLOOKUP(F823,DeparaIMG!D:D,DeparaIMG!F:F,,0)</f>
        <v>BUD350.png</v>
      </c>
    </row>
    <row r="824" spans="1:9" x14ac:dyDescent="0.25">
      <c r="A824" s="2" t="s">
        <v>102</v>
      </c>
      <c r="B824" s="2" t="s">
        <v>62</v>
      </c>
      <c r="C824" t="s">
        <v>113</v>
      </c>
      <c r="D824" t="s">
        <v>26</v>
      </c>
      <c r="E824" s="2">
        <v>2</v>
      </c>
      <c r="F824" t="s">
        <v>74</v>
      </c>
      <c r="G824">
        <v>4.1900000000000004</v>
      </c>
      <c r="H824">
        <v>3.59</v>
      </c>
      <c r="I824" s="2" t="str">
        <f>_xlfn.XLOOKUP(F824,DeparaIMG!D:D,DeparaIMG!F:F,,0)</f>
        <v>BUDZERO350.png</v>
      </c>
    </row>
    <row r="825" spans="1:9" x14ac:dyDescent="0.25">
      <c r="A825" s="2" t="s">
        <v>102</v>
      </c>
      <c r="B825" s="2" t="s">
        <v>62</v>
      </c>
      <c r="C825" t="s">
        <v>113</v>
      </c>
      <c r="D825" t="s">
        <v>26</v>
      </c>
      <c r="E825" s="2">
        <v>2</v>
      </c>
      <c r="F825" t="s">
        <v>71</v>
      </c>
      <c r="G825">
        <v>3.59</v>
      </c>
      <c r="H825">
        <v>3.19</v>
      </c>
      <c r="I825" s="2" t="str">
        <f>_xlfn.XLOOKUP(F825,DeparaIMG!D:D,DeparaIMG!F:F,,0)</f>
        <v>BC350.png</v>
      </c>
    </row>
    <row r="826" spans="1:9" x14ac:dyDescent="0.25">
      <c r="A826" s="2" t="s">
        <v>102</v>
      </c>
      <c r="B826" s="2" t="s">
        <v>62</v>
      </c>
      <c r="C826" t="s">
        <v>113</v>
      </c>
      <c r="D826" t="s">
        <v>26</v>
      </c>
      <c r="E826" s="2">
        <v>2</v>
      </c>
      <c r="F826" t="s">
        <v>70</v>
      </c>
      <c r="G826">
        <v>3.99</v>
      </c>
      <c r="H826">
        <v>3.49</v>
      </c>
      <c r="I826" s="2" t="str">
        <f>_xlfn.XLOOKUP(F826,DeparaIMG!D:D,DeparaIMG!F:F,,0)</f>
        <v>BC0350.png</v>
      </c>
    </row>
    <row r="827" spans="1:9" x14ac:dyDescent="0.25">
      <c r="A827" s="2" t="s">
        <v>102</v>
      </c>
      <c r="B827" s="2" t="s">
        <v>62</v>
      </c>
      <c r="C827" t="s">
        <v>113</v>
      </c>
      <c r="D827" t="s">
        <v>26</v>
      </c>
      <c r="E827" s="2">
        <v>2</v>
      </c>
      <c r="F827" t="s">
        <v>83</v>
      </c>
      <c r="G827">
        <v>6.69</v>
      </c>
      <c r="H827">
        <v>5.99</v>
      </c>
      <c r="I827" s="2" t="str">
        <f>_xlfn.XLOOKUP(F827,DeparaIMG!D:D,DeparaIMG!F:F,,0)</f>
        <v>MICLN.png</v>
      </c>
    </row>
    <row r="828" spans="1:9" x14ac:dyDescent="0.25">
      <c r="A828" s="2" t="s">
        <v>102</v>
      </c>
      <c r="B828" s="2" t="s">
        <v>62</v>
      </c>
      <c r="C828" t="s">
        <v>113</v>
      </c>
      <c r="D828" t="s">
        <v>26</v>
      </c>
      <c r="E828" s="2">
        <v>2</v>
      </c>
      <c r="F828" t="s">
        <v>79</v>
      </c>
      <c r="G828">
        <v>6.29</v>
      </c>
      <c r="H828">
        <v>5.59</v>
      </c>
      <c r="I828" s="2" t="str">
        <f>_xlfn.XLOOKUP(F828,DeparaIMG!D:D,DeparaIMG!F:F,,0)</f>
        <v>COR350.png</v>
      </c>
    </row>
    <row r="829" spans="1:9" x14ac:dyDescent="0.25">
      <c r="A829" s="2" t="s">
        <v>102</v>
      </c>
      <c r="B829" s="2" t="s">
        <v>62</v>
      </c>
      <c r="C829" t="s">
        <v>113</v>
      </c>
      <c r="D829" t="s">
        <v>26</v>
      </c>
      <c r="E829" s="2">
        <v>2</v>
      </c>
      <c r="F829" t="s">
        <v>82</v>
      </c>
      <c r="G829">
        <v>6.29</v>
      </c>
      <c r="H829">
        <v>5.29</v>
      </c>
      <c r="I829" s="2" t="str">
        <f>_xlfn.XLOOKUP(F829,DeparaIMG!D:D,DeparaIMG!F:F,,0)</f>
        <v>BUDLN.png</v>
      </c>
    </row>
    <row r="830" spans="1:9" x14ac:dyDescent="0.25">
      <c r="A830" s="2" t="s">
        <v>102</v>
      </c>
      <c r="B830" s="2" t="s">
        <v>62</v>
      </c>
      <c r="C830" t="s">
        <v>113</v>
      </c>
      <c r="D830" t="s">
        <v>26</v>
      </c>
      <c r="E830" s="2">
        <v>2</v>
      </c>
      <c r="F830" t="s">
        <v>81</v>
      </c>
      <c r="G830">
        <v>6.29</v>
      </c>
      <c r="H830">
        <v>5.29</v>
      </c>
      <c r="I830" s="2" t="str">
        <f>_xlfn.XLOOKUP(F830,DeparaIMG!D:D,DeparaIMG!F:F,,0)</f>
        <v>BUDZEROLN.png</v>
      </c>
    </row>
    <row r="831" spans="1:9" x14ac:dyDescent="0.25">
      <c r="A831" s="2" t="s">
        <v>102</v>
      </c>
      <c r="B831" s="2" t="s">
        <v>62</v>
      </c>
      <c r="C831" t="s">
        <v>112</v>
      </c>
      <c r="D831" t="s">
        <v>26</v>
      </c>
      <c r="E831" s="2">
        <v>2</v>
      </c>
      <c r="F831" t="s">
        <v>80</v>
      </c>
      <c r="G831">
        <v>6.19</v>
      </c>
      <c r="H831">
        <v>5.49</v>
      </c>
      <c r="I831" s="2" t="str">
        <f>_xlfn.XLOOKUP(F831,DeparaIMG!D:D,DeparaIMG!F:F,,0)</f>
        <v>CORCERO350.png</v>
      </c>
    </row>
    <row r="832" spans="1:9" x14ac:dyDescent="0.25">
      <c r="A832" s="2" t="s">
        <v>102</v>
      </c>
      <c r="B832" s="2" t="s">
        <v>62</v>
      </c>
      <c r="C832" t="s">
        <v>29</v>
      </c>
      <c r="D832" t="s">
        <v>26</v>
      </c>
      <c r="E832" s="2">
        <v>2</v>
      </c>
      <c r="F832" t="s">
        <v>80</v>
      </c>
      <c r="G832">
        <v>6.29</v>
      </c>
      <c r="H832">
        <v>5.59</v>
      </c>
      <c r="I832" s="2" t="str">
        <f>_xlfn.XLOOKUP(F832,DeparaIMG!D:D,DeparaIMG!F:F,,0)</f>
        <v>CORCERO350.png</v>
      </c>
    </row>
    <row r="833" spans="1:9" x14ac:dyDescent="0.25">
      <c r="A833" s="2" t="s">
        <v>102</v>
      </c>
      <c r="B833" s="2" t="s">
        <v>62</v>
      </c>
      <c r="C833" t="s">
        <v>87</v>
      </c>
      <c r="D833" t="s">
        <v>26</v>
      </c>
      <c r="E833" s="2">
        <v>2</v>
      </c>
      <c r="F833" t="s">
        <v>80</v>
      </c>
      <c r="G833">
        <v>6.29</v>
      </c>
      <c r="H833">
        <v>5.59</v>
      </c>
      <c r="I833" s="2" t="str">
        <f>_xlfn.XLOOKUP(F833,DeparaIMG!D:D,DeparaIMG!F:F,,0)</f>
        <v>CORCERO350.png</v>
      </c>
    </row>
    <row r="834" spans="1:9" x14ac:dyDescent="0.25">
      <c r="A834" s="2" t="s">
        <v>102</v>
      </c>
      <c r="B834" s="2" t="s">
        <v>62</v>
      </c>
      <c r="C834" t="s">
        <v>88</v>
      </c>
      <c r="D834" t="s">
        <v>26</v>
      </c>
      <c r="E834" s="2">
        <v>2</v>
      </c>
      <c r="F834" t="s">
        <v>80</v>
      </c>
      <c r="G834">
        <v>6.29</v>
      </c>
      <c r="H834">
        <v>5.59</v>
      </c>
      <c r="I834" s="2" t="str">
        <f>_xlfn.XLOOKUP(F834,DeparaIMG!D:D,DeparaIMG!F:F,,0)</f>
        <v>CORCERO350.png</v>
      </c>
    </row>
    <row r="835" spans="1:9" x14ac:dyDescent="0.25">
      <c r="A835" s="2" t="s">
        <v>102</v>
      </c>
      <c r="B835" s="2" t="s">
        <v>62</v>
      </c>
      <c r="C835" t="s">
        <v>113</v>
      </c>
      <c r="D835" t="s">
        <v>26</v>
      </c>
      <c r="E835" s="2">
        <v>2</v>
      </c>
      <c r="F835" t="s">
        <v>80</v>
      </c>
      <c r="G835">
        <v>6.29</v>
      </c>
      <c r="H835">
        <v>5.59</v>
      </c>
      <c r="I835" s="2" t="str">
        <f>_xlfn.XLOOKUP(F835,DeparaIMG!D:D,DeparaIMG!F:F,,0)</f>
        <v>CORCERO350.png</v>
      </c>
    </row>
    <row r="836" spans="1:9" x14ac:dyDescent="0.25">
      <c r="A836" s="2" t="s">
        <v>102</v>
      </c>
      <c r="B836" s="2" t="s">
        <v>62</v>
      </c>
      <c r="C836" t="s">
        <v>89</v>
      </c>
      <c r="D836" t="s">
        <v>25</v>
      </c>
      <c r="E836" s="2">
        <v>1</v>
      </c>
      <c r="F836" t="s">
        <v>66</v>
      </c>
      <c r="G836">
        <v>3.29</v>
      </c>
      <c r="H836">
        <v>2.99</v>
      </c>
      <c r="I836" s="2" t="str">
        <f>_xlfn.XLOOKUP(F836,DeparaIMG!D:D,DeparaIMG!F:F,,0)</f>
        <v>SK269.png</v>
      </c>
    </row>
    <row r="837" spans="1:9" x14ac:dyDescent="0.25">
      <c r="A837" s="2" t="s">
        <v>102</v>
      </c>
      <c r="B837" s="2" t="s">
        <v>62</v>
      </c>
      <c r="C837" t="s">
        <v>90</v>
      </c>
      <c r="D837" t="s">
        <v>25</v>
      </c>
      <c r="E837" s="2">
        <v>1</v>
      </c>
      <c r="F837" t="s">
        <v>66</v>
      </c>
      <c r="G837">
        <v>3.29</v>
      </c>
      <c r="H837">
        <v>2.99</v>
      </c>
      <c r="I837" s="2" t="str">
        <f>_xlfn.XLOOKUP(F837,DeparaIMG!D:D,DeparaIMG!F:F,,0)</f>
        <v>SK269.png</v>
      </c>
    </row>
    <row r="838" spans="1:9" x14ac:dyDescent="0.25">
      <c r="A838" s="2" t="s">
        <v>102</v>
      </c>
      <c r="B838" s="2" t="s">
        <v>62</v>
      </c>
      <c r="C838" t="s">
        <v>89</v>
      </c>
      <c r="D838" t="s">
        <v>25</v>
      </c>
      <c r="E838" s="2">
        <v>2</v>
      </c>
      <c r="F838" t="s">
        <v>69</v>
      </c>
      <c r="G838">
        <v>3.49</v>
      </c>
      <c r="H838">
        <v>3.09</v>
      </c>
      <c r="I838" s="2" t="str">
        <f>_xlfn.XLOOKUP(F838,DeparaIMG!D:D,DeparaIMG!F:F,,0)</f>
        <v>BUD269.png</v>
      </c>
    </row>
    <row r="839" spans="1:9" x14ac:dyDescent="0.25">
      <c r="A839" s="2" t="s">
        <v>102</v>
      </c>
      <c r="B839" s="2" t="s">
        <v>62</v>
      </c>
      <c r="C839" t="s">
        <v>89</v>
      </c>
      <c r="D839" t="s">
        <v>26</v>
      </c>
      <c r="E839" s="2">
        <v>2</v>
      </c>
      <c r="F839" t="s">
        <v>69</v>
      </c>
      <c r="G839">
        <v>3.49</v>
      </c>
      <c r="H839">
        <v>3.09</v>
      </c>
      <c r="I839" s="2" t="str">
        <f>_xlfn.XLOOKUP(F839,DeparaIMG!D:D,DeparaIMG!F:F,,0)</f>
        <v>BUD269.png</v>
      </c>
    </row>
    <row r="840" spans="1:9" x14ac:dyDescent="0.25">
      <c r="A840" s="2" t="s">
        <v>102</v>
      </c>
      <c r="B840" s="2" t="s">
        <v>62</v>
      </c>
      <c r="C840" t="s">
        <v>90</v>
      </c>
      <c r="D840" t="s">
        <v>26</v>
      </c>
      <c r="E840" s="2">
        <v>2</v>
      </c>
      <c r="F840" t="s">
        <v>69</v>
      </c>
      <c r="G840">
        <v>3.49</v>
      </c>
      <c r="H840">
        <v>3.09</v>
      </c>
      <c r="I840" s="2" t="str">
        <f>_xlfn.XLOOKUP(F840,DeparaIMG!D:D,DeparaIMG!F:F,,0)</f>
        <v>BUD269.png</v>
      </c>
    </row>
    <row r="841" spans="1:9" x14ac:dyDescent="0.25">
      <c r="A841" s="2" t="s">
        <v>102</v>
      </c>
      <c r="B841" s="2" t="s">
        <v>62</v>
      </c>
      <c r="C841" t="s">
        <v>90</v>
      </c>
      <c r="D841" t="s">
        <v>25</v>
      </c>
      <c r="E841" s="2">
        <v>2</v>
      </c>
      <c r="F841" t="s">
        <v>69</v>
      </c>
      <c r="G841">
        <v>3.49</v>
      </c>
      <c r="H841">
        <v>3.09</v>
      </c>
      <c r="I841" s="2" t="str">
        <f>_xlfn.XLOOKUP(F841,DeparaIMG!D:D,DeparaIMG!F:F,,0)</f>
        <v>BUD269.png</v>
      </c>
    </row>
    <row r="842" spans="1:9" x14ac:dyDescent="0.25">
      <c r="A842" s="2" t="s">
        <v>102</v>
      </c>
      <c r="B842" s="2" t="s">
        <v>62</v>
      </c>
      <c r="C842" t="s">
        <v>89</v>
      </c>
      <c r="D842" t="s">
        <v>25</v>
      </c>
      <c r="E842" s="2">
        <v>1</v>
      </c>
      <c r="F842" t="s">
        <v>70</v>
      </c>
      <c r="G842">
        <v>3.69</v>
      </c>
      <c r="H842">
        <v>3.19</v>
      </c>
      <c r="I842" s="2" t="str">
        <f>_xlfn.XLOOKUP(F842,DeparaIMG!D:D,DeparaIMG!F:F,,0)</f>
        <v>BC0350.png</v>
      </c>
    </row>
    <row r="843" spans="1:9" x14ac:dyDescent="0.25">
      <c r="A843" s="2" t="s">
        <v>102</v>
      </c>
      <c r="B843" s="2" t="s">
        <v>62</v>
      </c>
      <c r="C843" t="s">
        <v>89</v>
      </c>
      <c r="D843" t="s">
        <v>25</v>
      </c>
      <c r="E843" s="2">
        <v>2</v>
      </c>
      <c r="F843" t="s">
        <v>70</v>
      </c>
      <c r="G843">
        <v>3.69</v>
      </c>
      <c r="H843">
        <v>3.19</v>
      </c>
      <c r="I843" s="2" t="str">
        <f>_xlfn.XLOOKUP(F843,DeparaIMG!D:D,DeparaIMG!F:F,,0)</f>
        <v>BC0350.png</v>
      </c>
    </row>
    <row r="844" spans="1:9" x14ac:dyDescent="0.25">
      <c r="A844" s="2" t="s">
        <v>102</v>
      </c>
      <c r="B844" s="2" t="s">
        <v>62</v>
      </c>
      <c r="C844" t="s">
        <v>90</v>
      </c>
      <c r="D844" t="s">
        <v>25</v>
      </c>
      <c r="E844" s="2">
        <v>1</v>
      </c>
      <c r="F844" t="s">
        <v>70</v>
      </c>
      <c r="G844">
        <v>3.69</v>
      </c>
      <c r="H844">
        <v>3.19</v>
      </c>
      <c r="I844" s="2" t="str">
        <f>_xlfn.XLOOKUP(F844,DeparaIMG!D:D,DeparaIMG!F:F,,0)</f>
        <v>BC0350.png</v>
      </c>
    </row>
    <row r="845" spans="1:9" x14ac:dyDescent="0.25">
      <c r="A845" s="2" t="s">
        <v>102</v>
      </c>
      <c r="B845" s="2" t="s">
        <v>62</v>
      </c>
      <c r="C845" t="s">
        <v>90</v>
      </c>
      <c r="D845" t="s">
        <v>25</v>
      </c>
      <c r="E845" s="2">
        <v>2</v>
      </c>
      <c r="F845" t="s">
        <v>70</v>
      </c>
      <c r="G845">
        <v>3.69</v>
      </c>
      <c r="H845">
        <v>3.19</v>
      </c>
      <c r="I845" s="2" t="str">
        <f>_xlfn.XLOOKUP(F845,DeparaIMG!D:D,DeparaIMG!F:F,,0)</f>
        <v>BC0350.png</v>
      </c>
    </row>
    <row r="846" spans="1:9" x14ac:dyDescent="0.25">
      <c r="A846" s="2" t="s">
        <v>102</v>
      </c>
      <c r="B846" s="2" t="s">
        <v>62</v>
      </c>
      <c r="C846" t="s">
        <v>89</v>
      </c>
      <c r="D846" t="s">
        <v>25</v>
      </c>
      <c r="E846" s="2">
        <v>1</v>
      </c>
      <c r="F846" t="s">
        <v>72</v>
      </c>
      <c r="G846">
        <v>3.89</v>
      </c>
      <c r="H846">
        <v>3.49</v>
      </c>
      <c r="I846" s="2" t="str">
        <f>_xlfn.XLOOKUP(F846,DeparaIMG!D:D,DeparaIMG!F:F,,0)</f>
        <v>ORI269.png</v>
      </c>
    </row>
    <row r="847" spans="1:9" x14ac:dyDescent="0.25">
      <c r="A847" s="2" t="s">
        <v>102</v>
      </c>
      <c r="B847" s="2" t="s">
        <v>62</v>
      </c>
      <c r="C847" t="s">
        <v>90</v>
      </c>
      <c r="D847" t="s">
        <v>25</v>
      </c>
      <c r="E847" s="2">
        <v>1</v>
      </c>
      <c r="F847" t="s">
        <v>72</v>
      </c>
      <c r="G847">
        <v>3.89</v>
      </c>
      <c r="H847">
        <v>3.49</v>
      </c>
      <c r="I847" s="2" t="str">
        <f>_xlfn.XLOOKUP(F847,DeparaIMG!D:D,DeparaIMG!F:F,,0)</f>
        <v>ORI269.png</v>
      </c>
    </row>
    <row r="848" spans="1:9" x14ac:dyDescent="0.25">
      <c r="A848" s="2" t="s">
        <v>102</v>
      </c>
      <c r="B848" s="2" t="s">
        <v>62</v>
      </c>
      <c r="C848" t="s">
        <v>89</v>
      </c>
      <c r="D848" t="s">
        <v>26</v>
      </c>
      <c r="E848" s="2">
        <v>1</v>
      </c>
      <c r="F848" t="s">
        <v>72</v>
      </c>
      <c r="G848">
        <v>3.89</v>
      </c>
      <c r="H848">
        <v>3.49</v>
      </c>
      <c r="I848" s="2" t="str">
        <f>_xlfn.XLOOKUP(F848,DeparaIMG!D:D,DeparaIMG!F:F,,0)</f>
        <v>ORI269.png</v>
      </c>
    </row>
    <row r="849" spans="1:9" x14ac:dyDescent="0.25">
      <c r="A849" s="2" t="s">
        <v>102</v>
      </c>
      <c r="B849" s="2" t="s">
        <v>62</v>
      </c>
      <c r="C849" t="s">
        <v>90</v>
      </c>
      <c r="D849" t="s">
        <v>26</v>
      </c>
      <c r="E849" s="2">
        <v>1</v>
      </c>
      <c r="F849" t="s">
        <v>72</v>
      </c>
      <c r="G849">
        <v>3.89</v>
      </c>
      <c r="H849">
        <v>3.49</v>
      </c>
      <c r="I849" s="2" t="str">
        <f>_xlfn.XLOOKUP(F849,DeparaIMG!D:D,DeparaIMG!F:F,,0)</f>
        <v>ORI269.png</v>
      </c>
    </row>
    <row r="850" spans="1:9" x14ac:dyDescent="0.25">
      <c r="A850" s="2" t="s">
        <v>102</v>
      </c>
      <c r="B850" s="2" t="s">
        <v>62</v>
      </c>
      <c r="C850" t="s">
        <v>90</v>
      </c>
      <c r="D850" t="s">
        <v>26</v>
      </c>
      <c r="E850" s="2">
        <v>1</v>
      </c>
      <c r="F850" t="s">
        <v>70</v>
      </c>
      <c r="G850">
        <v>3.99</v>
      </c>
      <c r="H850">
        <v>3.49</v>
      </c>
      <c r="I850" s="2" t="str">
        <f>_xlfn.XLOOKUP(F850,DeparaIMG!D:D,DeparaIMG!F:F,,0)</f>
        <v>BC0350.png</v>
      </c>
    </row>
    <row r="851" spans="1:9" x14ac:dyDescent="0.25">
      <c r="A851" s="2" t="s">
        <v>102</v>
      </c>
      <c r="B851" s="2" t="s">
        <v>62</v>
      </c>
      <c r="C851" t="s">
        <v>90</v>
      </c>
      <c r="D851" t="s">
        <v>26</v>
      </c>
      <c r="E851" s="2">
        <v>2</v>
      </c>
      <c r="F851" t="s">
        <v>70</v>
      </c>
      <c r="G851">
        <v>3.99</v>
      </c>
      <c r="H851">
        <v>3.49</v>
      </c>
      <c r="I851" s="2" t="str">
        <f>_xlfn.XLOOKUP(F851,DeparaIMG!D:D,DeparaIMG!F:F,,0)</f>
        <v>BC0350.png</v>
      </c>
    </row>
    <row r="852" spans="1:9" x14ac:dyDescent="0.25">
      <c r="A852" s="2" t="s">
        <v>102</v>
      </c>
      <c r="B852" s="2" t="s">
        <v>62</v>
      </c>
      <c r="C852" t="s">
        <v>89</v>
      </c>
      <c r="D852" t="s">
        <v>26</v>
      </c>
      <c r="E852" s="2">
        <v>1</v>
      </c>
      <c r="F852" t="s">
        <v>70</v>
      </c>
      <c r="G852">
        <v>3.99</v>
      </c>
      <c r="H852">
        <v>3.49</v>
      </c>
      <c r="I852" s="2" t="str">
        <f>_xlfn.XLOOKUP(F852,DeparaIMG!D:D,DeparaIMG!F:F,,0)</f>
        <v>BC0350.png</v>
      </c>
    </row>
    <row r="853" spans="1:9" x14ac:dyDescent="0.25">
      <c r="A853" s="2" t="s">
        <v>102</v>
      </c>
      <c r="B853" s="2" t="s">
        <v>62</v>
      </c>
      <c r="C853" t="s">
        <v>89</v>
      </c>
      <c r="D853" t="s">
        <v>26</v>
      </c>
      <c r="E853" s="2">
        <v>2</v>
      </c>
      <c r="F853" t="s">
        <v>70</v>
      </c>
      <c r="G853">
        <v>3.99</v>
      </c>
      <c r="H853">
        <v>3.49</v>
      </c>
      <c r="I853" s="2" t="str">
        <f>_xlfn.XLOOKUP(F853,DeparaIMG!D:D,DeparaIMG!F:F,,0)</f>
        <v>BC0350.png</v>
      </c>
    </row>
    <row r="854" spans="1:9" x14ac:dyDescent="0.25">
      <c r="A854" s="2" t="s">
        <v>102</v>
      </c>
      <c r="B854" s="2" t="s">
        <v>62</v>
      </c>
      <c r="C854" t="s">
        <v>90</v>
      </c>
      <c r="D854" t="s">
        <v>26</v>
      </c>
      <c r="E854" s="2">
        <v>1</v>
      </c>
      <c r="F854" t="s">
        <v>100</v>
      </c>
      <c r="G854">
        <v>4.09</v>
      </c>
      <c r="H854">
        <v>3.79</v>
      </c>
      <c r="I854" s="2" t="str">
        <f>_xlfn.XLOOKUP(F854,DeparaIMG!D:D,DeparaIMG!F:F,,0)</f>
        <v>SPT269.png</v>
      </c>
    </row>
    <row r="855" spans="1:9" x14ac:dyDescent="0.25">
      <c r="A855" s="2" t="s">
        <v>102</v>
      </c>
      <c r="B855" s="2" t="s">
        <v>62</v>
      </c>
      <c r="C855" t="s">
        <v>89</v>
      </c>
      <c r="D855" t="s">
        <v>26</v>
      </c>
      <c r="E855" s="2">
        <v>1</v>
      </c>
      <c r="F855" t="s">
        <v>100</v>
      </c>
      <c r="G855">
        <v>4.09</v>
      </c>
      <c r="H855">
        <v>3.79</v>
      </c>
      <c r="I855" s="2" t="str">
        <f>_xlfn.XLOOKUP(F855,DeparaIMG!D:D,DeparaIMG!F:F,,0)</f>
        <v>SPT269.png</v>
      </c>
    </row>
    <row r="856" spans="1:9" x14ac:dyDescent="0.25">
      <c r="A856" s="2" t="s">
        <v>102</v>
      </c>
      <c r="B856" s="2" t="s">
        <v>62</v>
      </c>
      <c r="C856" t="s">
        <v>89</v>
      </c>
      <c r="D856" t="s">
        <v>26</v>
      </c>
      <c r="E856" s="2">
        <v>2</v>
      </c>
      <c r="F856" t="s">
        <v>74</v>
      </c>
      <c r="G856">
        <v>4.29</v>
      </c>
      <c r="H856">
        <v>3.69</v>
      </c>
      <c r="I856" s="2" t="str">
        <f>_xlfn.XLOOKUP(F856,DeparaIMG!D:D,DeparaIMG!F:F,,0)</f>
        <v>BUDZERO350.png</v>
      </c>
    </row>
    <row r="857" spans="1:9" x14ac:dyDescent="0.25">
      <c r="A857" s="2" t="s">
        <v>102</v>
      </c>
      <c r="B857" s="2" t="s">
        <v>62</v>
      </c>
      <c r="C857" t="s">
        <v>89</v>
      </c>
      <c r="D857" t="s">
        <v>25</v>
      </c>
      <c r="E857" s="2">
        <v>2</v>
      </c>
      <c r="F857" t="s">
        <v>74</v>
      </c>
      <c r="G857">
        <v>4.29</v>
      </c>
      <c r="H857">
        <v>3.69</v>
      </c>
      <c r="I857" s="2" t="str">
        <f>_xlfn.XLOOKUP(F857,DeparaIMG!D:D,DeparaIMG!F:F,,0)</f>
        <v>BUDZERO350.png</v>
      </c>
    </row>
    <row r="858" spans="1:9" x14ac:dyDescent="0.25">
      <c r="A858" s="2" t="s">
        <v>102</v>
      </c>
      <c r="B858" s="2" t="s">
        <v>62</v>
      </c>
      <c r="C858" t="s">
        <v>90</v>
      </c>
      <c r="D858" t="s">
        <v>25</v>
      </c>
      <c r="E858" s="2">
        <v>2</v>
      </c>
      <c r="F858" t="s">
        <v>74</v>
      </c>
      <c r="G858">
        <v>4.29</v>
      </c>
      <c r="H858">
        <v>3.69</v>
      </c>
      <c r="I858" s="2" t="str">
        <f>_xlfn.XLOOKUP(F858,DeparaIMG!D:D,DeparaIMG!F:F,,0)</f>
        <v>BUDZERO350.png</v>
      </c>
    </row>
    <row r="859" spans="1:9" x14ac:dyDescent="0.25">
      <c r="A859" s="2" t="s">
        <v>102</v>
      </c>
      <c r="B859" s="2" t="s">
        <v>62</v>
      </c>
      <c r="C859" t="s">
        <v>90</v>
      </c>
      <c r="D859" t="s">
        <v>26</v>
      </c>
      <c r="E859" s="2">
        <v>2</v>
      </c>
      <c r="F859" t="s">
        <v>74</v>
      </c>
      <c r="G859">
        <v>4.29</v>
      </c>
      <c r="H859">
        <v>3.69</v>
      </c>
      <c r="I859" s="2" t="str">
        <f>_xlfn.XLOOKUP(F859,DeparaIMG!D:D,DeparaIMG!F:F,,0)</f>
        <v>BUDZERO350.png</v>
      </c>
    </row>
    <row r="860" spans="1:9" x14ac:dyDescent="0.25">
      <c r="A860" s="2" t="s">
        <v>102</v>
      </c>
      <c r="B860" s="2" t="s">
        <v>62</v>
      </c>
      <c r="C860" t="s">
        <v>90</v>
      </c>
      <c r="D860" t="s">
        <v>26</v>
      </c>
      <c r="E860" s="2">
        <v>2</v>
      </c>
      <c r="F860" t="s">
        <v>77</v>
      </c>
      <c r="G860">
        <v>4.6900000000000004</v>
      </c>
      <c r="H860">
        <v>4.1900000000000004</v>
      </c>
      <c r="I860" s="2" t="str">
        <f>_xlfn.XLOOKUP(F860,DeparaIMG!D:D,DeparaIMG!F:F,,0)</f>
        <v>COR269.png</v>
      </c>
    </row>
    <row r="861" spans="1:9" x14ac:dyDescent="0.25">
      <c r="A861" s="2" t="s">
        <v>102</v>
      </c>
      <c r="B861" s="2" t="s">
        <v>62</v>
      </c>
      <c r="C861" t="s">
        <v>89</v>
      </c>
      <c r="D861" t="s">
        <v>26</v>
      </c>
      <c r="E861" s="2">
        <v>2</v>
      </c>
      <c r="F861" t="s">
        <v>77</v>
      </c>
      <c r="G861">
        <v>4.6900000000000004</v>
      </c>
      <c r="H861">
        <v>4.1900000000000004</v>
      </c>
      <c r="I861" s="2" t="str">
        <f>_xlfn.XLOOKUP(F861,DeparaIMG!D:D,DeparaIMG!F:F,,0)</f>
        <v>COR269.png</v>
      </c>
    </row>
    <row r="862" spans="1:9" x14ac:dyDescent="0.25">
      <c r="A862" s="2" t="s">
        <v>102</v>
      </c>
      <c r="B862" s="2" t="s">
        <v>62</v>
      </c>
      <c r="C862" t="s">
        <v>89</v>
      </c>
      <c r="D862" t="s">
        <v>25</v>
      </c>
      <c r="E862" s="2">
        <v>1</v>
      </c>
      <c r="F862" t="s">
        <v>78</v>
      </c>
      <c r="G862">
        <v>5.49</v>
      </c>
      <c r="H862">
        <v>4.99</v>
      </c>
      <c r="I862" s="2" t="str">
        <f>_xlfn.XLOOKUP(F862,DeparaIMG!D:D,DeparaIMG!F:F,,0)</f>
        <v>MIC350.png</v>
      </c>
    </row>
    <row r="863" spans="1:9" x14ac:dyDescent="0.25">
      <c r="A863" s="2" t="s">
        <v>102</v>
      </c>
      <c r="B863" s="2" t="s">
        <v>62</v>
      </c>
      <c r="C863" t="s">
        <v>90</v>
      </c>
      <c r="D863" t="s">
        <v>25</v>
      </c>
      <c r="E863" s="2">
        <v>1</v>
      </c>
      <c r="F863" t="s">
        <v>78</v>
      </c>
      <c r="G863">
        <v>5.49</v>
      </c>
      <c r="H863">
        <v>4.99</v>
      </c>
      <c r="I863" s="2" t="str">
        <f>_xlfn.XLOOKUP(F863,DeparaIMG!D:D,DeparaIMG!F:F,,0)</f>
        <v>MIC350.png</v>
      </c>
    </row>
    <row r="864" spans="1:9" x14ac:dyDescent="0.25">
      <c r="A864" s="2" t="s">
        <v>102</v>
      </c>
      <c r="B864" s="2" t="s">
        <v>62</v>
      </c>
      <c r="C864" t="s">
        <v>89</v>
      </c>
      <c r="D864" t="s">
        <v>26</v>
      </c>
      <c r="E864" s="2">
        <v>1</v>
      </c>
      <c r="F864" t="s">
        <v>78</v>
      </c>
      <c r="G864">
        <v>5.49</v>
      </c>
      <c r="H864">
        <v>4.99</v>
      </c>
      <c r="I864" s="2" t="str">
        <f>_xlfn.XLOOKUP(F864,DeparaIMG!D:D,DeparaIMG!F:F,,0)</f>
        <v>MIC350.png</v>
      </c>
    </row>
    <row r="865" spans="1:9" x14ac:dyDescent="0.25">
      <c r="A865" s="2" t="s">
        <v>102</v>
      </c>
      <c r="B865" s="2" t="s">
        <v>62</v>
      </c>
      <c r="C865" t="s">
        <v>90</v>
      </c>
      <c r="D865" t="s">
        <v>26</v>
      </c>
      <c r="E865" s="2">
        <v>1</v>
      </c>
      <c r="F865" t="s">
        <v>78</v>
      </c>
      <c r="G865">
        <v>5.49</v>
      </c>
      <c r="H865">
        <v>4.99</v>
      </c>
      <c r="I865" s="2" t="str">
        <f>_xlfn.XLOOKUP(F865,DeparaIMG!D:D,DeparaIMG!F:F,,0)</f>
        <v>MIC350.png</v>
      </c>
    </row>
    <row r="866" spans="1:9" x14ac:dyDescent="0.25">
      <c r="A866" s="2" t="s">
        <v>102</v>
      </c>
      <c r="B866" s="2" t="s">
        <v>62</v>
      </c>
      <c r="C866" t="s">
        <v>90</v>
      </c>
      <c r="D866" t="s">
        <v>26</v>
      </c>
      <c r="E866" s="2">
        <v>2</v>
      </c>
      <c r="F866" t="s">
        <v>80</v>
      </c>
      <c r="G866">
        <v>6.29</v>
      </c>
      <c r="H866">
        <v>5.59</v>
      </c>
      <c r="I866" s="2" t="str">
        <f>_xlfn.XLOOKUP(F866,DeparaIMG!D:D,DeparaIMG!F:F,,0)</f>
        <v>CORCERO350.png</v>
      </c>
    </row>
    <row r="867" spans="1:9" x14ac:dyDescent="0.25">
      <c r="A867" s="2" t="s">
        <v>102</v>
      </c>
      <c r="B867" s="2" t="s">
        <v>62</v>
      </c>
      <c r="C867" t="s">
        <v>89</v>
      </c>
      <c r="D867" t="s">
        <v>26</v>
      </c>
      <c r="E867" s="2">
        <v>2</v>
      </c>
      <c r="F867" t="s">
        <v>80</v>
      </c>
      <c r="G867">
        <v>6.29</v>
      </c>
      <c r="H867">
        <v>5.59</v>
      </c>
      <c r="I867" s="2" t="str">
        <f>_xlfn.XLOOKUP(F867,DeparaIMG!D:D,DeparaIMG!F:F,,0)</f>
        <v>CORCERO350.png</v>
      </c>
    </row>
    <row r="868" spans="1:9" x14ac:dyDescent="0.25">
      <c r="A868" s="2" t="s">
        <v>102</v>
      </c>
      <c r="B868" s="2" t="s">
        <v>62</v>
      </c>
      <c r="C868" t="s">
        <v>89</v>
      </c>
      <c r="D868" t="s">
        <v>26</v>
      </c>
      <c r="E868" s="2">
        <v>2</v>
      </c>
      <c r="F868" t="s">
        <v>81</v>
      </c>
      <c r="G868">
        <v>6.29</v>
      </c>
      <c r="H868">
        <v>5.29</v>
      </c>
      <c r="I868" s="2" t="str">
        <f>_xlfn.XLOOKUP(F868,DeparaIMG!D:D,DeparaIMG!F:F,,0)</f>
        <v>BUDZEROLN.png</v>
      </c>
    </row>
    <row r="869" spans="1:9" x14ac:dyDescent="0.25">
      <c r="A869" s="2" t="s">
        <v>102</v>
      </c>
      <c r="B869" s="2" t="s">
        <v>62</v>
      </c>
      <c r="C869" t="s">
        <v>90</v>
      </c>
      <c r="D869" t="s">
        <v>26</v>
      </c>
      <c r="E869" s="2">
        <v>2</v>
      </c>
      <c r="F869" t="s">
        <v>81</v>
      </c>
      <c r="G869">
        <v>6.29</v>
      </c>
      <c r="H869">
        <v>5.29</v>
      </c>
      <c r="I869" s="2" t="str">
        <f>_xlfn.XLOOKUP(F869,DeparaIMG!D:D,DeparaIMG!F:F,,0)</f>
        <v>BUDZEROLN.png</v>
      </c>
    </row>
    <row r="870" spans="1:9" x14ac:dyDescent="0.25">
      <c r="A870" s="2" t="s">
        <v>102</v>
      </c>
      <c r="B870" s="2" t="s">
        <v>62</v>
      </c>
      <c r="C870" t="s">
        <v>90</v>
      </c>
      <c r="D870" t="s">
        <v>26</v>
      </c>
      <c r="E870" s="2">
        <v>2</v>
      </c>
      <c r="F870" t="s">
        <v>83</v>
      </c>
      <c r="G870">
        <v>6.69</v>
      </c>
      <c r="H870">
        <v>5.99</v>
      </c>
      <c r="I870" s="2" t="str">
        <f>_xlfn.XLOOKUP(F870,DeparaIMG!D:D,DeparaIMG!F:F,,0)</f>
        <v>MICLN.png</v>
      </c>
    </row>
    <row r="871" spans="1:9" x14ac:dyDescent="0.25">
      <c r="A871" s="2" t="s">
        <v>102</v>
      </c>
      <c r="B871" s="2" t="s">
        <v>62</v>
      </c>
      <c r="C871" t="s">
        <v>89</v>
      </c>
      <c r="D871" t="s">
        <v>26</v>
      </c>
      <c r="E871" s="2">
        <v>2</v>
      </c>
      <c r="F871" t="s">
        <v>83</v>
      </c>
      <c r="G871">
        <v>6.69</v>
      </c>
      <c r="H871">
        <v>5.99</v>
      </c>
      <c r="I871" s="2" t="str">
        <f>_xlfn.XLOOKUP(F871,DeparaIMG!D:D,DeparaIMG!F:F,,0)</f>
        <v>MICLN.png</v>
      </c>
    </row>
    <row r="872" spans="1:9" x14ac:dyDescent="0.25">
      <c r="A872" s="2" t="s">
        <v>102</v>
      </c>
      <c r="B872" s="2" t="s">
        <v>62</v>
      </c>
      <c r="C872" t="s">
        <v>89</v>
      </c>
      <c r="D872" t="s">
        <v>25</v>
      </c>
      <c r="E872" s="2">
        <v>2</v>
      </c>
      <c r="F872" t="s">
        <v>83</v>
      </c>
      <c r="G872">
        <v>6.69</v>
      </c>
      <c r="H872">
        <v>5.99</v>
      </c>
      <c r="I872" s="2" t="str">
        <f>_xlfn.XLOOKUP(F872,DeparaIMG!D:D,DeparaIMG!F:F,,0)</f>
        <v>MICLN.png</v>
      </c>
    </row>
    <row r="873" spans="1:9" x14ac:dyDescent="0.25">
      <c r="A873" s="2" t="s">
        <v>102</v>
      </c>
      <c r="B873" s="2" t="s">
        <v>62</v>
      </c>
      <c r="C873" t="s">
        <v>90</v>
      </c>
      <c r="D873" t="s">
        <v>25</v>
      </c>
      <c r="E873" s="2">
        <v>2</v>
      </c>
      <c r="F873" t="s">
        <v>83</v>
      </c>
      <c r="G873">
        <v>6.69</v>
      </c>
      <c r="H873">
        <v>5.99</v>
      </c>
      <c r="I873" s="2" t="str">
        <f>_xlfn.XLOOKUP(F873,DeparaIMG!D:D,DeparaIMG!F:F,,0)</f>
        <v>MICLN.png</v>
      </c>
    </row>
    <row r="874" spans="1:9" x14ac:dyDescent="0.25">
      <c r="A874" s="2" t="s">
        <v>102</v>
      </c>
      <c r="B874" s="2" t="s">
        <v>62</v>
      </c>
      <c r="C874" t="s">
        <v>89</v>
      </c>
      <c r="D874" t="s">
        <v>26</v>
      </c>
      <c r="E874" s="2">
        <v>1</v>
      </c>
      <c r="F874" t="s">
        <v>85</v>
      </c>
      <c r="G874">
        <v>7.99</v>
      </c>
      <c r="H874">
        <v>6.99</v>
      </c>
      <c r="I874" s="2" t="str">
        <f>_xlfn.XLOOKUP(F874,DeparaIMG!D:D,DeparaIMG!F:F,,0)</f>
        <v>CORLN.png</v>
      </c>
    </row>
    <row r="875" spans="1:9" x14ac:dyDescent="0.25">
      <c r="A875" s="2" t="s">
        <v>102</v>
      </c>
      <c r="B875" s="2" t="s">
        <v>62</v>
      </c>
      <c r="C875" t="s">
        <v>90</v>
      </c>
      <c r="D875" t="s">
        <v>26</v>
      </c>
      <c r="E875" s="2">
        <v>1</v>
      </c>
      <c r="F875" t="s">
        <v>85</v>
      </c>
      <c r="G875">
        <v>7.99</v>
      </c>
      <c r="H875">
        <v>6.99</v>
      </c>
      <c r="I875" s="2" t="str">
        <f>_xlfn.XLOOKUP(F875,DeparaIMG!D:D,DeparaIMG!F:F,,0)</f>
        <v>CORLN.png</v>
      </c>
    </row>
    <row r="876" spans="1:9" x14ac:dyDescent="0.25">
      <c r="A876" s="2" t="s">
        <v>102</v>
      </c>
      <c r="B876" s="2" t="s">
        <v>62</v>
      </c>
      <c r="C876" t="s">
        <v>89</v>
      </c>
      <c r="D876" t="s">
        <v>25</v>
      </c>
      <c r="E876" s="2">
        <v>1</v>
      </c>
      <c r="F876" t="s">
        <v>85</v>
      </c>
      <c r="G876">
        <v>7.99</v>
      </c>
      <c r="H876">
        <v>6.99</v>
      </c>
      <c r="I876" s="2" t="str">
        <f>_xlfn.XLOOKUP(F876,DeparaIMG!D:D,DeparaIMG!F:F,,0)</f>
        <v>CORLN.png</v>
      </c>
    </row>
    <row r="877" spans="1:9" x14ac:dyDescent="0.25">
      <c r="A877" s="2" t="s">
        <v>102</v>
      </c>
      <c r="B877" s="2" t="s">
        <v>62</v>
      </c>
      <c r="C877" t="s">
        <v>90</v>
      </c>
      <c r="D877" t="s">
        <v>25</v>
      </c>
      <c r="E877" s="2">
        <v>1</v>
      </c>
      <c r="F877" t="s">
        <v>85</v>
      </c>
      <c r="G877">
        <v>7.99</v>
      </c>
      <c r="H877">
        <v>6.99</v>
      </c>
      <c r="I877" s="2" t="str">
        <f>_xlfn.XLOOKUP(F877,DeparaIMG!D:D,DeparaIMG!F:F,,0)</f>
        <v>CORLN.png</v>
      </c>
    </row>
    <row r="878" spans="1:9" x14ac:dyDescent="0.25">
      <c r="A878" s="2" t="s">
        <v>102</v>
      </c>
      <c r="B878" s="2" t="s">
        <v>62</v>
      </c>
      <c r="C878" t="s">
        <v>90</v>
      </c>
      <c r="D878" t="s">
        <v>25</v>
      </c>
      <c r="E878" s="2">
        <v>2</v>
      </c>
      <c r="F878" t="s">
        <v>67</v>
      </c>
      <c r="G878">
        <v>3.29</v>
      </c>
      <c r="H878">
        <v>2.99</v>
      </c>
      <c r="I878" s="2" t="str">
        <f>_xlfn.XLOOKUP(F878,DeparaIMG!D:D,DeparaIMG!F:F,,0)</f>
        <v>AP269.png</v>
      </c>
    </row>
    <row r="879" spans="1:9" x14ac:dyDescent="0.25">
      <c r="A879" s="2" t="s">
        <v>102</v>
      </c>
      <c r="B879" s="2" t="s">
        <v>62</v>
      </c>
      <c r="C879" t="s">
        <v>89</v>
      </c>
      <c r="D879" t="s">
        <v>25</v>
      </c>
      <c r="E879" s="2">
        <v>2</v>
      </c>
      <c r="F879" t="s">
        <v>68</v>
      </c>
      <c r="G879">
        <v>3.09</v>
      </c>
      <c r="H879">
        <v>2.79</v>
      </c>
      <c r="I879" s="2" t="str">
        <f>_xlfn.XLOOKUP(F879,DeparaIMG!D:D,DeparaIMG!F:F,,0)</f>
        <v>BC269.png</v>
      </c>
    </row>
    <row r="880" spans="1:9" x14ac:dyDescent="0.25">
      <c r="A880" s="2" t="s">
        <v>102</v>
      </c>
      <c r="B880" s="2" t="s">
        <v>62</v>
      </c>
      <c r="C880" t="s">
        <v>89</v>
      </c>
      <c r="D880" t="s">
        <v>26</v>
      </c>
      <c r="E880" s="2">
        <v>2</v>
      </c>
      <c r="F880" t="s">
        <v>68</v>
      </c>
      <c r="G880">
        <v>3.09</v>
      </c>
      <c r="H880">
        <v>2.79</v>
      </c>
      <c r="I880" s="2" t="str">
        <f>_xlfn.XLOOKUP(F880,DeparaIMG!D:D,DeparaIMG!F:F,,0)</f>
        <v>BC269.png</v>
      </c>
    </row>
    <row r="881" spans="1:9" x14ac:dyDescent="0.25">
      <c r="A881" s="2" t="s">
        <v>102</v>
      </c>
      <c r="B881" s="2" t="s">
        <v>62</v>
      </c>
      <c r="C881" t="s">
        <v>90</v>
      </c>
      <c r="D881" t="s">
        <v>26</v>
      </c>
      <c r="E881" s="2">
        <v>2</v>
      </c>
      <c r="F881" t="s">
        <v>67</v>
      </c>
      <c r="G881">
        <v>3.29</v>
      </c>
      <c r="H881">
        <v>2.99</v>
      </c>
      <c r="I881" s="2" t="str">
        <f>_xlfn.XLOOKUP(F881,DeparaIMG!D:D,DeparaIMG!F:F,,0)</f>
        <v>AP269.png</v>
      </c>
    </row>
    <row r="882" spans="1:9" x14ac:dyDescent="0.25">
      <c r="A882" s="2" t="s">
        <v>102</v>
      </c>
      <c r="B882" s="2" t="s">
        <v>62</v>
      </c>
      <c r="C882" t="s">
        <v>89</v>
      </c>
      <c r="D882" t="s">
        <v>26</v>
      </c>
      <c r="E882" s="2">
        <v>1</v>
      </c>
      <c r="F882" t="s">
        <v>66</v>
      </c>
      <c r="G882">
        <v>3.29</v>
      </c>
      <c r="H882">
        <v>2.99</v>
      </c>
      <c r="I882" s="2" t="str">
        <f>_xlfn.XLOOKUP(F882,DeparaIMG!D:D,DeparaIMG!F:F,,0)</f>
        <v>SK269.png</v>
      </c>
    </row>
    <row r="883" spans="1:9" x14ac:dyDescent="0.25">
      <c r="A883" s="2" t="s">
        <v>102</v>
      </c>
      <c r="B883" s="2" t="s">
        <v>62</v>
      </c>
      <c r="C883" t="s">
        <v>90</v>
      </c>
      <c r="D883" t="s">
        <v>26</v>
      </c>
      <c r="E883" s="2">
        <v>1</v>
      </c>
      <c r="F883" t="s">
        <v>66</v>
      </c>
      <c r="G883">
        <v>3.29</v>
      </c>
      <c r="H883">
        <v>2.99</v>
      </c>
      <c r="I883" s="2" t="str">
        <f>_xlfn.XLOOKUP(F883,DeparaIMG!D:D,DeparaIMG!F:F,,0)</f>
        <v>SK269.png</v>
      </c>
    </row>
    <row r="884" spans="1:9" x14ac:dyDescent="0.25">
      <c r="A884" s="2" t="s">
        <v>102</v>
      </c>
      <c r="B884" s="2" t="s">
        <v>62</v>
      </c>
      <c r="C884" t="s">
        <v>112</v>
      </c>
      <c r="D884" t="s">
        <v>25</v>
      </c>
      <c r="E884" s="2">
        <v>1</v>
      </c>
      <c r="F884" t="s">
        <v>86</v>
      </c>
      <c r="G884">
        <v>7.99</v>
      </c>
      <c r="H884">
        <v>6.99</v>
      </c>
      <c r="I884" s="2" t="str">
        <f>_xlfn.XLOOKUP(F884,DeparaIMG!D:D,DeparaIMG!F:F,,0)</f>
        <v>CORCEROLN.png</v>
      </c>
    </row>
    <row r="885" spans="1:9" x14ac:dyDescent="0.25">
      <c r="A885" s="2" t="s">
        <v>102</v>
      </c>
      <c r="B885" s="2" t="s">
        <v>62</v>
      </c>
      <c r="C885" t="s">
        <v>112</v>
      </c>
      <c r="D885" t="s">
        <v>26</v>
      </c>
      <c r="E885" s="2">
        <v>1</v>
      </c>
      <c r="F885" t="s">
        <v>86</v>
      </c>
      <c r="G885">
        <v>7.99</v>
      </c>
      <c r="H885">
        <v>6.99</v>
      </c>
      <c r="I885" s="2" t="str">
        <f>_xlfn.XLOOKUP(F885,DeparaIMG!D:D,DeparaIMG!F:F,,0)</f>
        <v>CORCEROLN.png</v>
      </c>
    </row>
    <row r="886" spans="1:9" x14ac:dyDescent="0.25">
      <c r="A886" s="2" t="s">
        <v>102</v>
      </c>
      <c r="B886" s="2" t="s">
        <v>62</v>
      </c>
      <c r="C886" t="s">
        <v>29</v>
      </c>
      <c r="D886" t="s">
        <v>25</v>
      </c>
      <c r="E886" s="2">
        <v>1</v>
      </c>
      <c r="F886" t="s">
        <v>86</v>
      </c>
      <c r="G886">
        <v>7.99</v>
      </c>
      <c r="H886">
        <v>6.99</v>
      </c>
      <c r="I886" s="2" t="str">
        <f>_xlfn.XLOOKUP(F886,DeparaIMG!D:D,DeparaIMG!F:F,,0)</f>
        <v>CORCEROLN.png</v>
      </c>
    </row>
    <row r="887" spans="1:9" x14ac:dyDescent="0.25">
      <c r="A887" s="2" t="s">
        <v>102</v>
      </c>
      <c r="B887" s="2" t="s">
        <v>62</v>
      </c>
      <c r="C887" t="s">
        <v>29</v>
      </c>
      <c r="D887" t="s">
        <v>26</v>
      </c>
      <c r="E887" s="2">
        <v>1</v>
      </c>
      <c r="F887" t="s">
        <v>86</v>
      </c>
      <c r="G887">
        <v>7.99</v>
      </c>
      <c r="H887">
        <v>6.99</v>
      </c>
      <c r="I887" s="2" t="str">
        <f>_xlfn.XLOOKUP(F887,DeparaIMG!D:D,DeparaIMG!F:F,,0)</f>
        <v>CORCEROLN.png</v>
      </c>
    </row>
    <row r="888" spans="1:9" x14ac:dyDescent="0.25">
      <c r="A888" s="2" t="s">
        <v>102</v>
      </c>
      <c r="B888" s="2" t="s">
        <v>62</v>
      </c>
      <c r="C888" t="s">
        <v>87</v>
      </c>
      <c r="D888" t="s">
        <v>25</v>
      </c>
      <c r="E888" s="2">
        <v>1</v>
      </c>
      <c r="F888" t="s">
        <v>86</v>
      </c>
      <c r="G888">
        <v>7.99</v>
      </c>
      <c r="H888">
        <v>6.99</v>
      </c>
      <c r="I888" s="2" t="str">
        <f>_xlfn.XLOOKUP(F888,DeparaIMG!D:D,DeparaIMG!F:F,,0)</f>
        <v>CORCEROLN.png</v>
      </c>
    </row>
    <row r="889" spans="1:9" x14ac:dyDescent="0.25">
      <c r="A889" s="2" t="s">
        <v>102</v>
      </c>
      <c r="B889" s="2" t="s">
        <v>62</v>
      </c>
      <c r="C889" t="s">
        <v>87</v>
      </c>
      <c r="D889" t="s">
        <v>26</v>
      </c>
      <c r="E889" s="2">
        <v>1</v>
      </c>
      <c r="F889" t="s">
        <v>86</v>
      </c>
      <c r="G889">
        <v>7.99</v>
      </c>
      <c r="H889">
        <v>6.99</v>
      </c>
      <c r="I889" s="2" t="str">
        <f>_xlfn.XLOOKUP(F889,DeparaIMG!D:D,DeparaIMG!F:F,,0)</f>
        <v>CORCEROLN.png</v>
      </c>
    </row>
    <row r="890" spans="1:9" x14ac:dyDescent="0.25">
      <c r="A890" s="2" t="s">
        <v>102</v>
      </c>
      <c r="B890" s="2" t="s">
        <v>62</v>
      </c>
      <c r="C890" t="s">
        <v>88</v>
      </c>
      <c r="D890" t="s">
        <v>25</v>
      </c>
      <c r="E890" s="2">
        <v>1</v>
      </c>
      <c r="F890" t="s">
        <v>86</v>
      </c>
      <c r="G890">
        <v>7.99</v>
      </c>
      <c r="H890">
        <v>6.99</v>
      </c>
      <c r="I890" s="2" t="str">
        <f>_xlfn.XLOOKUP(F890,DeparaIMG!D:D,DeparaIMG!F:F,,0)</f>
        <v>CORCEROLN.png</v>
      </c>
    </row>
    <row r="891" spans="1:9" x14ac:dyDescent="0.25">
      <c r="A891" s="2" t="s">
        <v>102</v>
      </c>
      <c r="B891" s="2" t="s">
        <v>62</v>
      </c>
      <c r="C891" t="s">
        <v>88</v>
      </c>
      <c r="D891" t="s">
        <v>26</v>
      </c>
      <c r="E891" s="2">
        <v>1</v>
      </c>
      <c r="F891" t="s">
        <v>86</v>
      </c>
      <c r="G891">
        <v>7.99</v>
      </c>
      <c r="H891">
        <v>6.99</v>
      </c>
      <c r="I891" s="2" t="str">
        <f>_xlfn.XLOOKUP(F891,DeparaIMG!D:D,DeparaIMG!F:F,,0)</f>
        <v>CORCEROLN.png</v>
      </c>
    </row>
    <row r="892" spans="1:9" x14ac:dyDescent="0.25">
      <c r="A892" s="2" t="s">
        <v>102</v>
      </c>
      <c r="B892" s="2" t="s">
        <v>62</v>
      </c>
      <c r="C892" t="s">
        <v>113</v>
      </c>
      <c r="D892" t="s">
        <v>25</v>
      </c>
      <c r="E892" s="2">
        <v>1</v>
      </c>
      <c r="F892" t="s">
        <v>86</v>
      </c>
      <c r="G892">
        <v>7.99</v>
      </c>
      <c r="H892">
        <v>6.99</v>
      </c>
      <c r="I892" s="2" t="str">
        <f>_xlfn.XLOOKUP(F892,DeparaIMG!D:D,DeparaIMG!F:F,,0)</f>
        <v>CORCEROLN.png</v>
      </c>
    </row>
    <row r="893" spans="1:9" x14ac:dyDescent="0.25">
      <c r="A893" s="2" t="s">
        <v>102</v>
      </c>
      <c r="B893" s="2" t="s">
        <v>62</v>
      </c>
      <c r="C893" t="s">
        <v>113</v>
      </c>
      <c r="D893" t="s">
        <v>26</v>
      </c>
      <c r="E893" s="2">
        <v>1</v>
      </c>
      <c r="F893" t="s">
        <v>86</v>
      </c>
      <c r="G893">
        <v>7.99</v>
      </c>
      <c r="H893">
        <v>6.99</v>
      </c>
      <c r="I893" s="2" t="str">
        <f>_xlfn.XLOOKUP(F893,DeparaIMG!D:D,DeparaIMG!F:F,,0)</f>
        <v>CORCEROLN.png</v>
      </c>
    </row>
    <row r="894" spans="1:9" x14ac:dyDescent="0.25">
      <c r="A894" s="2" t="s">
        <v>102</v>
      </c>
      <c r="B894" s="2" t="s">
        <v>62</v>
      </c>
      <c r="C894" t="s">
        <v>89</v>
      </c>
      <c r="D894" t="s">
        <v>26</v>
      </c>
      <c r="E894" s="2">
        <v>1</v>
      </c>
      <c r="F894" t="s">
        <v>86</v>
      </c>
      <c r="G894">
        <v>7.99</v>
      </c>
      <c r="H894">
        <v>6.99</v>
      </c>
      <c r="I894" s="2" t="str">
        <f>_xlfn.XLOOKUP(F894,DeparaIMG!D:D,DeparaIMG!F:F,,0)</f>
        <v>CORCEROLN.png</v>
      </c>
    </row>
    <row r="895" spans="1:9" x14ac:dyDescent="0.25">
      <c r="A895" s="2" t="s">
        <v>102</v>
      </c>
      <c r="B895" s="2" t="s">
        <v>62</v>
      </c>
      <c r="C895" t="s">
        <v>90</v>
      </c>
      <c r="D895" t="s">
        <v>26</v>
      </c>
      <c r="E895" s="2">
        <v>1</v>
      </c>
      <c r="F895" t="s">
        <v>86</v>
      </c>
      <c r="G895">
        <v>7.99</v>
      </c>
      <c r="H895">
        <v>6.99</v>
      </c>
      <c r="I895" s="2" t="str">
        <f>_xlfn.XLOOKUP(F895,DeparaIMG!D:D,DeparaIMG!F:F,,0)</f>
        <v>CORCEROLN.png</v>
      </c>
    </row>
    <row r="896" spans="1:9" x14ac:dyDescent="0.25">
      <c r="A896" s="2" t="s">
        <v>102</v>
      </c>
      <c r="B896" s="2" t="s">
        <v>62</v>
      </c>
      <c r="C896" t="s">
        <v>89</v>
      </c>
      <c r="D896" t="s">
        <v>25</v>
      </c>
      <c r="E896" s="2">
        <v>1</v>
      </c>
      <c r="F896" t="s">
        <v>86</v>
      </c>
      <c r="G896">
        <v>7.99</v>
      </c>
      <c r="H896">
        <v>6.99</v>
      </c>
      <c r="I896" s="2" t="str">
        <f>_xlfn.XLOOKUP(F896,DeparaIMG!D:D,DeparaIMG!F:F,,0)</f>
        <v>CORCEROLN.png</v>
      </c>
    </row>
    <row r="897" spans="1:9" x14ac:dyDescent="0.25">
      <c r="A897" s="2" t="s">
        <v>102</v>
      </c>
      <c r="B897" s="2" t="s">
        <v>62</v>
      </c>
      <c r="C897" t="s">
        <v>90</v>
      </c>
      <c r="D897" t="s">
        <v>25</v>
      </c>
      <c r="E897" s="2">
        <v>1</v>
      </c>
      <c r="F897" t="s">
        <v>86</v>
      </c>
      <c r="G897">
        <v>7.99</v>
      </c>
      <c r="H897">
        <v>6.99</v>
      </c>
      <c r="I897" s="2" t="str">
        <f>_xlfn.XLOOKUP(F897,DeparaIMG!D:D,DeparaIMG!F:F,,0)</f>
        <v>CORCEROLN.png</v>
      </c>
    </row>
    <row r="898" spans="1:9" x14ac:dyDescent="0.25">
      <c r="A898" s="2" t="s">
        <v>98</v>
      </c>
      <c r="B898" s="2" t="s">
        <v>104</v>
      </c>
      <c r="C898" t="s">
        <v>105</v>
      </c>
      <c r="D898" t="s">
        <v>25</v>
      </c>
      <c r="E898" s="2">
        <v>1</v>
      </c>
      <c r="F898" s="2" t="s">
        <v>106</v>
      </c>
      <c r="G898">
        <v>6.49</v>
      </c>
      <c r="H898">
        <v>5.99</v>
      </c>
      <c r="I898" s="2" t="str">
        <f>_xlfn.XLOOKUP(F898,DeparaIMG!D:D,DeparaIMG!F:F,,0)</f>
        <v>BEATSLT.png</v>
      </c>
    </row>
    <row r="899" spans="1:9" x14ac:dyDescent="0.25">
      <c r="A899" s="2" t="s">
        <v>98</v>
      </c>
      <c r="B899" s="2" t="s">
        <v>104</v>
      </c>
      <c r="C899" t="s">
        <v>105</v>
      </c>
      <c r="D899" t="s">
        <v>26</v>
      </c>
      <c r="E899" s="2">
        <v>1</v>
      </c>
      <c r="F899" s="2" t="s">
        <v>106</v>
      </c>
      <c r="G899">
        <v>6.99</v>
      </c>
      <c r="H899">
        <v>6.49</v>
      </c>
      <c r="I899" s="2" t="str">
        <f>_xlfn.XLOOKUP(F899,DeparaIMG!D:D,DeparaIMG!F:F,,0)</f>
        <v>BEATSLT.png</v>
      </c>
    </row>
    <row r="900" spans="1:9" x14ac:dyDescent="0.25">
      <c r="A900" s="2" t="s">
        <v>98</v>
      </c>
      <c r="B900" s="2" t="s">
        <v>104</v>
      </c>
      <c r="C900" t="s">
        <v>105</v>
      </c>
      <c r="D900" t="s">
        <v>25</v>
      </c>
      <c r="E900" s="2">
        <v>1</v>
      </c>
      <c r="F900" s="2" t="s">
        <v>107</v>
      </c>
      <c r="G900">
        <v>7.89</v>
      </c>
      <c r="H900">
        <v>7.39</v>
      </c>
      <c r="I900" s="2" t="str">
        <f>_xlfn.XLOOKUP(F900,DeparaIMG!D:D,DeparaIMG!F:F,,0)</f>
        <v>BEATSLN.png</v>
      </c>
    </row>
    <row r="901" spans="1:9" x14ac:dyDescent="0.25">
      <c r="A901" s="2" t="s">
        <v>98</v>
      </c>
      <c r="B901" s="2" t="s">
        <v>104</v>
      </c>
      <c r="C901" t="s">
        <v>105</v>
      </c>
      <c r="D901" t="s">
        <v>26</v>
      </c>
      <c r="E901" s="2">
        <v>1</v>
      </c>
      <c r="F901" s="2" t="s">
        <v>107</v>
      </c>
      <c r="G901">
        <v>8.39</v>
      </c>
      <c r="H901">
        <v>7.8900000000000006</v>
      </c>
      <c r="I901" s="2" t="str">
        <f>_xlfn.XLOOKUP(F901,DeparaIMG!D:D,DeparaIMG!F:F,,0)</f>
        <v>BEATSLN.png</v>
      </c>
    </row>
    <row r="902" spans="1:9" x14ac:dyDescent="0.25">
      <c r="A902" s="2" t="s">
        <v>98</v>
      </c>
      <c r="B902" s="2" t="s">
        <v>104</v>
      </c>
      <c r="C902" t="s">
        <v>105</v>
      </c>
      <c r="D902" t="s">
        <v>25</v>
      </c>
      <c r="E902" s="2">
        <v>2</v>
      </c>
      <c r="F902" s="2" t="s">
        <v>106</v>
      </c>
      <c r="G902">
        <v>6.49</v>
      </c>
      <c r="H902">
        <v>5.99</v>
      </c>
      <c r="I902" s="2" t="str">
        <f>_xlfn.XLOOKUP(F902,DeparaIMG!D:D,DeparaIMG!F:F,,0)</f>
        <v>BEATSLT.png</v>
      </c>
    </row>
    <row r="903" spans="1:9" x14ac:dyDescent="0.25">
      <c r="A903" s="2" t="s">
        <v>98</v>
      </c>
      <c r="B903" s="2" t="s">
        <v>104</v>
      </c>
      <c r="C903" t="s">
        <v>105</v>
      </c>
      <c r="D903" t="s">
        <v>26</v>
      </c>
      <c r="E903" s="2">
        <v>2</v>
      </c>
      <c r="F903" s="2" t="s">
        <v>106</v>
      </c>
      <c r="G903">
        <v>6.99</v>
      </c>
      <c r="H903">
        <v>6.49</v>
      </c>
      <c r="I903" s="2" t="str">
        <f>_xlfn.XLOOKUP(F903,DeparaIMG!D:D,DeparaIMG!F:F,,0)</f>
        <v>BEATSLT.png</v>
      </c>
    </row>
    <row r="904" spans="1:9" x14ac:dyDescent="0.25">
      <c r="A904" s="2" t="s">
        <v>98</v>
      </c>
      <c r="B904" s="2" t="s">
        <v>104</v>
      </c>
      <c r="C904" t="s">
        <v>105</v>
      </c>
      <c r="D904" t="s">
        <v>25</v>
      </c>
      <c r="E904" s="2">
        <v>2</v>
      </c>
      <c r="F904" s="2" t="s">
        <v>107</v>
      </c>
      <c r="G904">
        <v>7.89</v>
      </c>
      <c r="H904">
        <v>7.39</v>
      </c>
      <c r="I904" s="2" t="str">
        <f>_xlfn.XLOOKUP(F904,DeparaIMG!D:D,DeparaIMG!F:F,,0)</f>
        <v>BEATSLN.png</v>
      </c>
    </row>
    <row r="905" spans="1:9" x14ac:dyDescent="0.25">
      <c r="A905" s="2" t="s">
        <v>98</v>
      </c>
      <c r="B905" s="2" t="s">
        <v>104</v>
      </c>
      <c r="C905" t="s">
        <v>105</v>
      </c>
      <c r="D905" t="s">
        <v>26</v>
      </c>
      <c r="E905" s="2">
        <v>2</v>
      </c>
      <c r="F905" s="2" t="s">
        <v>107</v>
      </c>
      <c r="G905">
        <v>8.39</v>
      </c>
      <c r="H905">
        <v>7.8900000000000006</v>
      </c>
      <c r="I905" s="2" t="str">
        <f>_xlfn.XLOOKUP(F905,DeparaIMG!D:D,DeparaIMG!F:F,,0)</f>
        <v>BEATSLN.png</v>
      </c>
    </row>
    <row r="906" spans="1:9" x14ac:dyDescent="0.25">
      <c r="A906" s="2" t="s">
        <v>98</v>
      </c>
      <c r="B906" s="2" t="s">
        <v>104</v>
      </c>
      <c r="C906" t="s">
        <v>105</v>
      </c>
      <c r="D906" t="s">
        <v>25</v>
      </c>
      <c r="E906" s="2">
        <v>1</v>
      </c>
      <c r="F906" s="2" t="s">
        <v>108</v>
      </c>
      <c r="G906">
        <v>5.19</v>
      </c>
      <c r="H906">
        <v>4.8900000000000006</v>
      </c>
      <c r="I906" s="2" t="str">
        <f>_xlfn.XLOOKUP(F906,DeparaIMG!D:D,DeparaIMG!F:F,,0)</f>
        <v>FF350.png</v>
      </c>
    </row>
    <row r="907" spans="1:9" x14ac:dyDescent="0.25">
      <c r="A907" s="2" t="s">
        <v>98</v>
      </c>
      <c r="B907" s="2" t="s">
        <v>104</v>
      </c>
      <c r="C907" t="s">
        <v>105</v>
      </c>
      <c r="D907" t="s">
        <v>25</v>
      </c>
      <c r="E907" s="2">
        <v>1</v>
      </c>
      <c r="F907" s="2" t="s">
        <v>109</v>
      </c>
      <c r="G907">
        <v>6.29</v>
      </c>
      <c r="H907">
        <v>5.99</v>
      </c>
      <c r="I907" s="2" t="str">
        <f>_xlfn.XLOOKUP(F907,DeparaIMG!D:D,DeparaIMG!F:F,,0)</f>
        <v>FFLN.png</v>
      </c>
    </row>
    <row r="908" spans="1:9" x14ac:dyDescent="0.25">
      <c r="A908" s="2" t="s">
        <v>98</v>
      </c>
      <c r="B908" s="2" t="s">
        <v>104</v>
      </c>
      <c r="C908" t="s">
        <v>105</v>
      </c>
      <c r="D908" t="s">
        <v>26</v>
      </c>
      <c r="E908" s="2">
        <v>1</v>
      </c>
      <c r="F908" s="2" t="s">
        <v>108</v>
      </c>
      <c r="G908">
        <v>5.19</v>
      </c>
      <c r="H908">
        <v>4.8900000000000006</v>
      </c>
      <c r="I908" s="2" t="str">
        <f>_xlfn.XLOOKUP(F908,DeparaIMG!D:D,DeparaIMG!F:F,,0)</f>
        <v>FF350.png</v>
      </c>
    </row>
    <row r="909" spans="1:9" x14ac:dyDescent="0.25">
      <c r="A909" s="2" t="s">
        <v>98</v>
      </c>
      <c r="B909" s="2" t="s">
        <v>104</v>
      </c>
      <c r="C909" t="s">
        <v>105</v>
      </c>
      <c r="D909" t="s">
        <v>26</v>
      </c>
      <c r="E909" s="2">
        <v>1</v>
      </c>
      <c r="F909" s="2" t="s">
        <v>109</v>
      </c>
      <c r="G909">
        <v>6.29</v>
      </c>
      <c r="H909">
        <v>5.99</v>
      </c>
      <c r="I909" s="2" t="str">
        <f>_xlfn.XLOOKUP(F909,DeparaIMG!D:D,DeparaIMG!F:F,,0)</f>
        <v>FFLN.png</v>
      </c>
    </row>
    <row r="910" spans="1:9" x14ac:dyDescent="0.25">
      <c r="A910" s="2" t="s">
        <v>98</v>
      </c>
      <c r="B910" s="2" t="s">
        <v>104</v>
      </c>
      <c r="C910" t="s">
        <v>105</v>
      </c>
      <c r="D910" t="s">
        <v>25</v>
      </c>
      <c r="E910" s="2">
        <v>2</v>
      </c>
      <c r="F910" s="2" t="s">
        <v>108</v>
      </c>
      <c r="G910">
        <v>5.19</v>
      </c>
      <c r="H910">
        <v>4.8900000000000006</v>
      </c>
      <c r="I910" s="2" t="str">
        <f>_xlfn.XLOOKUP(F910,DeparaIMG!D:D,DeparaIMG!F:F,,0)</f>
        <v>FF350.png</v>
      </c>
    </row>
    <row r="911" spans="1:9" x14ac:dyDescent="0.25">
      <c r="A911" s="2" t="s">
        <v>98</v>
      </c>
      <c r="B911" s="2" t="s">
        <v>104</v>
      </c>
      <c r="C911" t="s">
        <v>105</v>
      </c>
      <c r="D911" t="s">
        <v>25</v>
      </c>
      <c r="E911" s="2">
        <v>2</v>
      </c>
      <c r="F911" s="2" t="s">
        <v>109</v>
      </c>
      <c r="G911">
        <v>6.29</v>
      </c>
      <c r="H911">
        <v>5.99</v>
      </c>
      <c r="I911" s="2" t="str">
        <f>_xlfn.XLOOKUP(F911,DeparaIMG!D:D,DeparaIMG!F:F,,0)</f>
        <v>FFLN.png</v>
      </c>
    </row>
    <row r="912" spans="1:9" x14ac:dyDescent="0.25">
      <c r="A912" s="2" t="s">
        <v>98</v>
      </c>
      <c r="B912" s="2" t="s">
        <v>104</v>
      </c>
      <c r="C912" t="s">
        <v>105</v>
      </c>
      <c r="D912" t="s">
        <v>26</v>
      </c>
      <c r="E912" s="2">
        <v>2</v>
      </c>
      <c r="F912" s="2" t="s">
        <v>108</v>
      </c>
      <c r="G912">
        <v>5.19</v>
      </c>
      <c r="H912">
        <v>4.8900000000000006</v>
      </c>
      <c r="I912" s="2" t="str">
        <f>_xlfn.XLOOKUP(F912,DeparaIMG!D:D,DeparaIMG!F:F,,0)</f>
        <v>FF350.png</v>
      </c>
    </row>
    <row r="913" spans="1:9" x14ac:dyDescent="0.25">
      <c r="A913" s="2" t="s">
        <v>98</v>
      </c>
      <c r="B913" s="2" t="s">
        <v>104</v>
      </c>
      <c r="C913" t="s">
        <v>105</v>
      </c>
      <c r="D913" t="s">
        <v>26</v>
      </c>
      <c r="E913" s="2">
        <v>2</v>
      </c>
      <c r="F913" s="2" t="s">
        <v>109</v>
      </c>
      <c r="G913">
        <v>6.29</v>
      </c>
      <c r="H913">
        <v>5.99</v>
      </c>
      <c r="I913" s="2" t="str">
        <f>_xlfn.XLOOKUP(F913,DeparaIMG!D:D,DeparaIMG!F:F,,0)</f>
        <v>FFLN.png</v>
      </c>
    </row>
    <row r="914" spans="1:9" x14ac:dyDescent="0.25">
      <c r="A914" s="2" t="s">
        <v>98</v>
      </c>
      <c r="B914" s="2" t="s">
        <v>61</v>
      </c>
      <c r="C914" t="s">
        <v>4</v>
      </c>
      <c r="D914" t="s">
        <v>25</v>
      </c>
      <c r="E914" s="2">
        <v>1</v>
      </c>
      <c r="F914" t="s">
        <v>31</v>
      </c>
      <c r="G914">
        <v>4.99</v>
      </c>
      <c r="H914">
        <v>4.6900000000000004</v>
      </c>
      <c r="I914" s="2" t="str">
        <f>_xlfn.XLOOKUP(F914,DeparaIMG!D:D,DeparaIMG!F:F,,0)</f>
        <v>GCAP1.png</v>
      </c>
    </row>
    <row r="915" spans="1:9" x14ac:dyDescent="0.25">
      <c r="A915" s="2" t="s">
        <v>98</v>
      </c>
      <c r="B915" s="2" t="s">
        <v>61</v>
      </c>
      <c r="C915" t="s">
        <v>28</v>
      </c>
      <c r="D915" t="s">
        <v>25</v>
      </c>
      <c r="E915" s="2">
        <v>1</v>
      </c>
      <c r="F915" t="s">
        <v>32</v>
      </c>
      <c r="G915">
        <v>5.99</v>
      </c>
      <c r="H915">
        <v>5.59</v>
      </c>
      <c r="I915" s="2" t="str">
        <f>_xlfn.XLOOKUP(F915,DeparaIMG!D:D,DeparaIMG!F:F,,0)</f>
        <v>GCAP1,5.png</v>
      </c>
    </row>
    <row r="916" spans="1:9" x14ac:dyDescent="0.25">
      <c r="A916" s="2" t="s">
        <v>98</v>
      </c>
      <c r="B916" s="2" t="s">
        <v>61</v>
      </c>
      <c r="C916" t="s">
        <v>29</v>
      </c>
      <c r="D916" t="s">
        <v>25</v>
      </c>
      <c r="E916" s="2">
        <v>1</v>
      </c>
      <c r="F916" t="s">
        <v>32</v>
      </c>
      <c r="G916">
        <v>5.99</v>
      </c>
      <c r="H916">
        <v>5.59</v>
      </c>
      <c r="I916" s="2" t="str">
        <f>_xlfn.XLOOKUP(F916,DeparaIMG!D:D,DeparaIMG!F:F,,0)</f>
        <v>GCAP1,5.png</v>
      </c>
    </row>
    <row r="917" spans="1:9" x14ac:dyDescent="0.25">
      <c r="A917" s="2" t="s">
        <v>98</v>
      </c>
      <c r="B917" s="2" t="s">
        <v>61</v>
      </c>
      <c r="C917" t="s">
        <v>30</v>
      </c>
      <c r="D917" t="s">
        <v>25</v>
      </c>
      <c r="E917" s="2">
        <v>1</v>
      </c>
      <c r="F917" t="s">
        <v>32</v>
      </c>
      <c r="G917">
        <v>6.99</v>
      </c>
      <c r="H917">
        <v>6.59</v>
      </c>
      <c r="I917" s="2" t="str">
        <f>_xlfn.XLOOKUP(F917,DeparaIMG!D:D,DeparaIMG!F:F,,0)</f>
        <v>GCAP1,5.png</v>
      </c>
    </row>
    <row r="918" spans="1:9" x14ac:dyDescent="0.25">
      <c r="A918" s="2" t="s">
        <v>98</v>
      </c>
      <c r="B918" s="2" t="s">
        <v>61</v>
      </c>
      <c r="C918" t="s">
        <v>4</v>
      </c>
      <c r="D918" t="s">
        <v>25</v>
      </c>
      <c r="E918" s="2">
        <v>1</v>
      </c>
      <c r="F918" t="s">
        <v>33</v>
      </c>
      <c r="G918">
        <v>7.79</v>
      </c>
      <c r="H918">
        <v>7.29</v>
      </c>
      <c r="I918" s="2" t="str">
        <f>_xlfn.XLOOKUP(F918,DeparaIMG!D:D,DeparaIMG!F:F,,0)</f>
        <v>PCP2.png</v>
      </c>
    </row>
    <row r="919" spans="1:9" x14ac:dyDescent="0.25">
      <c r="A919" s="2" t="s">
        <v>98</v>
      </c>
      <c r="B919" s="2" t="s">
        <v>61</v>
      </c>
      <c r="C919" t="s">
        <v>28</v>
      </c>
      <c r="D919" t="s">
        <v>25</v>
      </c>
      <c r="E919" s="2">
        <v>1</v>
      </c>
      <c r="F919" t="s">
        <v>33</v>
      </c>
      <c r="G919">
        <v>7.79</v>
      </c>
      <c r="H919">
        <v>7.29</v>
      </c>
      <c r="I919" s="2" t="str">
        <f>_xlfn.XLOOKUP(F919,DeparaIMG!D:D,DeparaIMG!F:F,,0)</f>
        <v>PCP2.png</v>
      </c>
    </row>
    <row r="920" spans="1:9" x14ac:dyDescent="0.25">
      <c r="A920" s="2" t="s">
        <v>98</v>
      </c>
      <c r="B920" s="2" t="s">
        <v>61</v>
      </c>
      <c r="C920" t="s">
        <v>29</v>
      </c>
      <c r="D920" t="s">
        <v>25</v>
      </c>
      <c r="E920" s="2">
        <v>1</v>
      </c>
      <c r="F920" t="s">
        <v>33</v>
      </c>
      <c r="G920">
        <v>7.79</v>
      </c>
      <c r="H920">
        <v>7.29</v>
      </c>
      <c r="I920" s="2" t="str">
        <f>_xlfn.XLOOKUP(F920,DeparaIMG!D:D,DeparaIMG!F:F,,0)</f>
        <v>PCP2.png</v>
      </c>
    </row>
    <row r="921" spans="1:9" x14ac:dyDescent="0.25">
      <c r="A921" s="2" t="s">
        <v>98</v>
      </c>
      <c r="B921" s="2" t="s">
        <v>61</v>
      </c>
      <c r="C921" t="s">
        <v>30</v>
      </c>
      <c r="D921" t="s">
        <v>25</v>
      </c>
      <c r="E921" s="2">
        <v>1</v>
      </c>
      <c r="F921" t="s">
        <v>33</v>
      </c>
      <c r="G921">
        <v>8.7899999999999991</v>
      </c>
      <c r="H921">
        <v>8.2899999999999991</v>
      </c>
      <c r="I921" s="2" t="str">
        <f>_xlfn.XLOOKUP(F921,DeparaIMG!D:D,DeparaIMG!F:F,,0)</f>
        <v>PCP2.png</v>
      </c>
    </row>
    <row r="922" spans="1:9" x14ac:dyDescent="0.25">
      <c r="A922" s="2" t="s">
        <v>98</v>
      </c>
      <c r="B922" s="2" t="s">
        <v>61</v>
      </c>
      <c r="C922" t="s">
        <v>4</v>
      </c>
      <c r="D922" t="s">
        <v>25</v>
      </c>
      <c r="E922" s="2">
        <v>1</v>
      </c>
      <c r="F922" t="s">
        <v>34</v>
      </c>
      <c r="G922">
        <v>5.79</v>
      </c>
      <c r="H922">
        <v>5.49</v>
      </c>
      <c r="I922" s="2" t="str">
        <f>_xlfn.XLOOKUP(F922,DeparaIMG!D:D,DeparaIMG!F:F,,0)</f>
        <v>BAREP2.png</v>
      </c>
    </row>
    <row r="923" spans="1:9" x14ac:dyDescent="0.25">
      <c r="A923" s="2" t="s">
        <v>98</v>
      </c>
      <c r="B923" s="2" t="s">
        <v>61</v>
      </c>
      <c r="C923" t="s">
        <v>27</v>
      </c>
      <c r="D923" t="s">
        <v>25</v>
      </c>
      <c r="E923" s="2">
        <v>1</v>
      </c>
      <c r="F923" t="s">
        <v>35</v>
      </c>
      <c r="G923">
        <v>5.29</v>
      </c>
      <c r="H923">
        <v>4.79</v>
      </c>
      <c r="I923" s="2" t="str">
        <f>_xlfn.XLOOKUP(F923,DeparaIMG!D:D,DeparaIMG!F:F,,0)</f>
        <v>H2OHP500.png</v>
      </c>
    </row>
    <row r="924" spans="1:9" x14ac:dyDescent="0.25">
      <c r="A924" s="2" t="s">
        <v>98</v>
      </c>
      <c r="B924" s="2" t="s">
        <v>61</v>
      </c>
      <c r="C924" t="s">
        <v>28</v>
      </c>
      <c r="D924" t="s">
        <v>25</v>
      </c>
      <c r="E924" s="2">
        <v>1</v>
      </c>
      <c r="F924" t="s">
        <v>35</v>
      </c>
      <c r="G924">
        <v>5.29</v>
      </c>
      <c r="H924">
        <v>4.79</v>
      </c>
      <c r="I924" s="2" t="str">
        <f>_xlfn.XLOOKUP(F924,DeparaIMG!D:D,DeparaIMG!F:F,,0)</f>
        <v>H2OHP500.png</v>
      </c>
    </row>
    <row r="925" spans="1:9" x14ac:dyDescent="0.25">
      <c r="A925" s="2" t="s">
        <v>98</v>
      </c>
      <c r="B925" s="2" t="s">
        <v>61</v>
      </c>
      <c r="C925" t="s">
        <v>29</v>
      </c>
      <c r="D925" t="s">
        <v>25</v>
      </c>
      <c r="E925" s="2">
        <v>1</v>
      </c>
      <c r="F925" t="s">
        <v>35</v>
      </c>
      <c r="G925">
        <v>5.29</v>
      </c>
      <c r="H925">
        <v>4.79</v>
      </c>
      <c r="I925" s="2" t="str">
        <f>_xlfn.XLOOKUP(F925,DeparaIMG!D:D,DeparaIMG!F:F,,0)</f>
        <v>H2OHP500.png</v>
      </c>
    </row>
    <row r="926" spans="1:9" x14ac:dyDescent="0.25">
      <c r="A926" s="2" t="s">
        <v>98</v>
      </c>
      <c r="B926" s="2" t="s">
        <v>61</v>
      </c>
      <c r="C926" t="s">
        <v>30</v>
      </c>
      <c r="D926" t="s">
        <v>25</v>
      </c>
      <c r="E926" s="2">
        <v>1</v>
      </c>
      <c r="F926" t="s">
        <v>35</v>
      </c>
      <c r="G926">
        <v>5.29</v>
      </c>
      <c r="H926">
        <v>4.79</v>
      </c>
      <c r="I926" s="2" t="str">
        <f>_xlfn.XLOOKUP(F926,DeparaIMG!D:D,DeparaIMG!F:F,,0)</f>
        <v>H2OHP500.png</v>
      </c>
    </row>
    <row r="927" spans="1:9" x14ac:dyDescent="0.25">
      <c r="A927" s="2" t="s">
        <v>98</v>
      </c>
      <c r="B927" s="2" t="s">
        <v>61</v>
      </c>
      <c r="C927" t="s">
        <v>4</v>
      </c>
      <c r="D927" t="s">
        <v>26</v>
      </c>
      <c r="E927" s="2">
        <v>1</v>
      </c>
      <c r="F927" t="s">
        <v>37</v>
      </c>
      <c r="G927">
        <v>8.99</v>
      </c>
      <c r="H927">
        <v>8.2900000000000009</v>
      </c>
      <c r="I927" s="2" t="str">
        <f>_xlfn.XLOOKUP(F927,DeparaIMG!D:D,DeparaIMG!F:F,,0)</f>
        <v>GCAP2.png</v>
      </c>
    </row>
    <row r="928" spans="1:9" x14ac:dyDescent="0.25">
      <c r="A928" s="2" t="s">
        <v>98</v>
      </c>
      <c r="B928" s="2" t="s">
        <v>61</v>
      </c>
      <c r="C928" t="s">
        <v>28</v>
      </c>
      <c r="D928" t="s">
        <v>26</v>
      </c>
      <c r="E928" s="2">
        <v>1</v>
      </c>
      <c r="F928" t="s">
        <v>37</v>
      </c>
      <c r="G928">
        <v>8.49</v>
      </c>
      <c r="H928">
        <v>7.79</v>
      </c>
      <c r="I928" s="2" t="str">
        <f>_xlfn.XLOOKUP(F928,DeparaIMG!D:D,DeparaIMG!F:F,,0)</f>
        <v>GCAP2.png</v>
      </c>
    </row>
    <row r="929" spans="1:9" x14ac:dyDescent="0.25">
      <c r="A929" s="2" t="s">
        <v>98</v>
      </c>
      <c r="B929" s="2" t="s">
        <v>61</v>
      </c>
      <c r="C929" t="s">
        <v>29</v>
      </c>
      <c r="D929" t="s">
        <v>26</v>
      </c>
      <c r="E929" s="2">
        <v>1</v>
      </c>
      <c r="F929" t="s">
        <v>37</v>
      </c>
      <c r="G929">
        <v>8.49</v>
      </c>
      <c r="H929">
        <v>7.79</v>
      </c>
      <c r="I929" s="2" t="str">
        <f>_xlfn.XLOOKUP(F929,DeparaIMG!D:D,DeparaIMG!F:F,,0)</f>
        <v>GCAP2.png</v>
      </c>
    </row>
    <row r="930" spans="1:9" x14ac:dyDescent="0.25">
      <c r="A930" s="2" t="s">
        <v>98</v>
      </c>
      <c r="B930" s="2" t="s">
        <v>61</v>
      </c>
      <c r="C930" t="s">
        <v>30</v>
      </c>
      <c r="D930" t="s">
        <v>26</v>
      </c>
      <c r="E930" s="2">
        <v>1</v>
      </c>
      <c r="F930" t="s">
        <v>37</v>
      </c>
      <c r="G930">
        <v>9.49</v>
      </c>
      <c r="H930">
        <v>8.7900000000000009</v>
      </c>
      <c r="I930" s="2" t="str">
        <f>_xlfn.XLOOKUP(F930,DeparaIMG!D:D,DeparaIMG!F:F,,0)</f>
        <v>GCAP2.png</v>
      </c>
    </row>
    <row r="931" spans="1:9" x14ac:dyDescent="0.25">
      <c r="A931" s="2" t="s">
        <v>98</v>
      </c>
      <c r="B931" s="2" t="s">
        <v>61</v>
      </c>
      <c r="C931" t="s">
        <v>4</v>
      </c>
      <c r="D931" t="s">
        <v>26</v>
      </c>
      <c r="E931" s="2">
        <v>1</v>
      </c>
      <c r="F931" t="s">
        <v>38</v>
      </c>
      <c r="G931">
        <v>3.49</v>
      </c>
      <c r="H931">
        <v>3.1900000000000004</v>
      </c>
      <c r="I931" s="2" t="str">
        <f>_xlfn.XLOOKUP(F931,DeparaIMG!D:D,DeparaIMG!F:F,,0)</f>
        <v>GCA350.png</v>
      </c>
    </row>
    <row r="932" spans="1:9" x14ac:dyDescent="0.25">
      <c r="A932" s="2" t="s">
        <v>98</v>
      </c>
      <c r="B932" s="2" t="s">
        <v>61</v>
      </c>
      <c r="C932" t="s">
        <v>27</v>
      </c>
      <c r="D932" t="s">
        <v>26</v>
      </c>
      <c r="E932" s="2">
        <v>1</v>
      </c>
      <c r="F932" t="s">
        <v>38</v>
      </c>
      <c r="G932">
        <v>3.49</v>
      </c>
      <c r="H932">
        <v>3.1900000000000004</v>
      </c>
      <c r="I932" s="2" t="str">
        <f>_xlfn.XLOOKUP(F932,DeparaIMG!D:D,DeparaIMG!F:F,,0)</f>
        <v>GCA350.png</v>
      </c>
    </row>
    <row r="933" spans="1:9" x14ac:dyDescent="0.25">
      <c r="A933" s="2" t="s">
        <v>98</v>
      </c>
      <c r="B933" s="2" t="s">
        <v>61</v>
      </c>
      <c r="C933" t="s">
        <v>28</v>
      </c>
      <c r="D933" t="s">
        <v>26</v>
      </c>
      <c r="E933" s="2">
        <v>1</v>
      </c>
      <c r="F933" t="s">
        <v>38</v>
      </c>
      <c r="G933">
        <v>3.49</v>
      </c>
      <c r="H933">
        <v>3.1900000000000004</v>
      </c>
      <c r="I933" s="2" t="str">
        <f>_xlfn.XLOOKUP(F933,DeparaIMG!D:D,DeparaIMG!F:F,,0)</f>
        <v>GCA350.png</v>
      </c>
    </row>
    <row r="934" spans="1:9" x14ac:dyDescent="0.25">
      <c r="A934" s="2" t="s">
        <v>98</v>
      </c>
      <c r="B934" s="2" t="s">
        <v>61</v>
      </c>
      <c r="C934" t="s">
        <v>29</v>
      </c>
      <c r="D934" t="s">
        <v>26</v>
      </c>
      <c r="E934" s="2">
        <v>1</v>
      </c>
      <c r="F934" t="s">
        <v>38</v>
      </c>
      <c r="G934">
        <v>3.49</v>
      </c>
      <c r="H934">
        <v>3.1900000000000004</v>
      </c>
      <c r="I934" s="2" t="str">
        <f>_xlfn.XLOOKUP(F934,DeparaIMG!D:D,DeparaIMG!F:F,,0)</f>
        <v>GCA350.png</v>
      </c>
    </row>
    <row r="935" spans="1:9" x14ac:dyDescent="0.25">
      <c r="A935" s="2" t="s">
        <v>98</v>
      </c>
      <c r="B935" s="2" t="s">
        <v>61</v>
      </c>
      <c r="C935" t="s">
        <v>30</v>
      </c>
      <c r="D935" t="s">
        <v>26</v>
      </c>
      <c r="E935" s="2">
        <v>1</v>
      </c>
      <c r="F935" t="s">
        <v>38</v>
      </c>
      <c r="G935">
        <v>3.49</v>
      </c>
      <c r="H935">
        <v>3.1900000000000004</v>
      </c>
      <c r="I935" s="2" t="str">
        <f>_xlfn.XLOOKUP(F935,DeparaIMG!D:D,DeparaIMG!F:F,,0)</f>
        <v>GCA350.png</v>
      </c>
    </row>
    <row r="936" spans="1:9" x14ac:dyDescent="0.25">
      <c r="A936" s="2" t="s">
        <v>98</v>
      </c>
      <c r="B936" s="2" t="s">
        <v>61</v>
      </c>
      <c r="C936" t="s">
        <v>4</v>
      </c>
      <c r="D936" t="s">
        <v>26</v>
      </c>
      <c r="E936" s="2">
        <v>1</v>
      </c>
      <c r="F936" t="s">
        <v>34</v>
      </c>
      <c r="G936">
        <v>5.99</v>
      </c>
      <c r="H936">
        <v>5.49</v>
      </c>
      <c r="I936" s="2" t="str">
        <f>_xlfn.XLOOKUP(F936,DeparaIMG!D:D,DeparaIMG!F:F,,0)</f>
        <v>BAREP2.png</v>
      </c>
    </row>
    <row r="937" spans="1:9" x14ac:dyDescent="0.25">
      <c r="A937" s="2" t="s">
        <v>98</v>
      </c>
      <c r="B937" s="2" t="s">
        <v>61</v>
      </c>
      <c r="C937" t="s">
        <v>27</v>
      </c>
      <c r="D937" t="s">
        <v>26</v>
      </c>
      <c r="E937" s="2">
        <v>1</v>
      </c>
      <c r="F937" t="s">
        <v>35</v>
      </c>
      <c r="G937">
        <v>5.49</v>
      </c>
      <c r="H937">
        <v>5.19</v>
      </c>
      <c r="I937" s="2" t="str">
        <f>_xlfn.XLOOKUP(F937,DeparaIMG!D:D,DeparaIMG!F:F,,0)</f>
        <v>H2OHP500.png</v>
      </c>
    </row>
    <row r="938" spans="1:9" x14ac:dyDescent="0.25">
      <c r="A938" s="2" t="s">
        <v>98</v>
      </c>
      <c r="B938" s="2" t="s">
        <v>61</v>
      </c>
      <c r="C938" t="s">
        <v>28</v>
      </c>
      <c r="D938" t="s">
        <v>26</v>
      </c>
      <c r="E938" s="2">
        <v>1</v>
      </c>
      <c r="F938" t="s">
        <v>35</v>
      </c>
      <c r="G938">
        <v>5.49</v>
      </c>
      <c r="H938">
        <v>5.19</v>
      </c>
      <c r="I938" s="2" t="str">
        <f>_xlfn.XLOOKUP(F938,DeparaIMG!D:D,DeparaIMG!F:F,,0)</f>
        <v>H2OHP500.png</v>
      </c>
    </row>
    <row r="939" spans="1:9" x14ac:dyDescent="0.25">
      <c r="A939" s="2" t="s">
        <v>98</v>
      </c>
      <c r="B939" s="2" t="s">
        <v>61</v>
      </c>
      <c r="C939" t="s">
        <v>29</v>
      </c>
      <c r="D939" t="s">
        <v>26</v>
      </c>
      <c r="E939" s="2">
        <v>1</v>
      </c>
      <c r="F939" t="s">
        <v>35</v>
      </c>
      <c r="G939">
        <v>5.49</v>
      </c>
      <c r="H939">
        <v>5.19</v>
      </c>
      <c r="I939" s="2" t="str">
        <f>_xlfn.XLOOKUP(F939,DeparaIMG!D:D,DeparaIMG!F:F,,0)</f>
        <v>H2OHP500.png</v>
      </c>
    </row>
    <row r="940" spans="1:9" x14ac:dyDescent="0.25">
      <c r="A940" s="2" t="s">
        <v>98</v>
      </c>
      <c r="B940" s="2" t="s">
        <v>61</v>
      </c>
      <c r="C940" t="s">
        <v>30</v>
      </c>
      <c r="D940" t="s">
        <v>26</v>
      </c>
      <c r="E940" s="2">
        <v>1</v>
      </c>
      <c r="F940" t="s">
        <v>35</v>
      </c>
      <c r="G940">
        <v>5.49</v>
      </c>
      <c r="H940">
        <v>5.19</v>
      </c>
      <c r="I940" s="2" t="str">
        <f>_xlfn.XLOOKUP(F940,DeparaIMG!D:D,DeparaIMG!F:F,,0)</f>
        <v>H2OHP500.png</v>
      </c>
    </row>
    <row r="941" spans="1:9" x14ac:dyDescent="0.25">
      <c r="A941" s="2" t="s">
        <v>98</v>
      </c>
      <c r="B941" s="2" t="s">
        <v>61</v>
      </c>
      <c r="C941" t="s">
        <v>4</v>
      </c>
      <c r="D941" t="s">
        <v>26</v>
      </c>
      <c r="E941" s="2">
        <v>1</v>
      </c>
      <c r="F941" t="s">
        <v>39</v>
      </c>
      <c r="G941">
        <v>3.49</v>
      </c>
      <c r="H941">
        <v>3.0900000000000003</v>
      </c>
      <c r="I941" s="2" t="str">
        <f>_xlfn.XLOOKUP(F941,DeparaIMG!D:D,DeparaIMG!F:F,,0)</f>
        <v>PCB350.png</v>
      </c>
    </row>
    <row r="942" spans="1:9" x14ac:dyDescent="0.25">
      <c r="A942" s="2" t="s">
        <v>98</v>
      </c>
      <c r="B942" s="2" t="s">
        <v>61</v>
      </c>
      <c r="C942" t="s">
        <v>27</v>
      </c>
      <c r="D942" t="s">
        <v>26</v>
      </c>
      <c r="E942" s="2">
        <v>1</v>
      </c>
      <c r="F942" t="s">
        <v>39</v>
      </c>
      <c r="G942">
        <v>3.49</v>
      </c>
      <c r="H942">
        <v>3.0900000000000003</v>
      </c>
      <c r="I942" s="2" t="str">
        <f>_xlfn.XLOOKUP(F942,DeparaIMG!D:D,DeparaIMG!F:F,,0)</f>
        <v>PCB350.png</v>
      </c>
    </row>
    <row r="943" spans="1:9" x14ac:dyDescent="0.25">
      <c r="A943" s="2" t="s">
        <v>98</v>
      </c>
      <c r="B943" s="2" t="s">
        <v>61</v>
      </c>
      <c r="C943" t="s">
        <v>28</v>
      </c>
      <c r="D943" t="s">
        <v>26</v>
      </c>
      <c r="E943" s="2">
        <v>1</v>
      </c>
      <c r="F943" t="s">
        <v>39</v>
      </c>
      <c r="G943">
        <v>3.49</v>
      </c>
      <c r="H943">
        <v>3.0900000000000003</v>
      </c>
      <c r="I943" s="2" t="str">
        <f>_xlfn.XLOOKUP(F943,DeparaIMG!D:D,DeparaIMG!F:F,,0)</f>
        <v>PCB350.png</v>
      </c>
    </row>
    <row r="944" spans="1:9" x14ac:dyDescent="0.25">
      <c r="A944" s="2" t="s">
        <v>98</v>
      </c>
      <c r="B944" s="2" t="s">
        <v>61</v>
      </c>
      <c r="C944" t="s">
        <v>29</v>
      </c>
      <c r="D944" t="s">
        <v>26</v>
      </c>
      <c r="E944" s="2">
        <v>1</v>
      </c>
      <c r="F944" t="s">
        <v>39</v>
      </c>
      <c r="G944">
        <v>3.49</v>
      </c>
      <c r="H944">
        <v>3.0900000000000003</v>
      </c>
      <c r="I944" s="2" t="str">
        <f>_xlfn.XLOOKUP(F944,DeparaIMG!D:D,DeparaIMG!F:F,,0)</f>
        <v>PCB350.png</v>
      </c>
    </row>
    <row r="945" spans="1:9" x14ac:dyDescent="0.25">
      <c r="A945" s="2" t="s">
        <v>98</v>
      </c>
      <c r="B945" s="2" t="s">
        <v>61</v>
      </c>
      <c r="C945" t="s">
        <v>30</v>
      </c>
      <c r="D945" t="s">
        <v>26</v>
      </c>
      <c r="E945" s="2">
        <v>1</v>
      </c>
      <c r="F945" t="s">
        <v>39</v>
      </c>
      <c r="G945">
        <v>3.49</v>
      </c>
      <c r="H945">
        <v>3.0900000000000003</v>
      </c>
      <c r="I945" s="2" t="str">
        <f>_xlfn.XLOOKUP(F945,DeparaIMG!D:D,DeparaIMG!F:F,,0)</f>
        <v>PCB350.png</v>
      </c>
    </row>
    <row r="946" spans="1:9" x14ac:dyDescent="0.25">
      <c r="A946" s="2" t="s">
        <v>98</v>
      </c>
      <c r="B946" s="2" t="s">
        <v>61</v>
      </c>
      <c r="C946" t="s">
        <v>4</v>
      </c>
      <c r="D946" t="s">
        <v>25</v>
      </c>
      <c r="E946" s="2">
        <v>2</v>
      </c>
      <c r="F946" t="s">
        <v>37</v>
      </c>
      <c r="G946">
        <v>8.7899999999999991</v>
      </c>
      <c r="H946">
        <v>8.09</v>
      </c>
      <c r="I946" s="2" t="str">
        <f>_xlfn.XLOOKUP(F946,DeparaIMG!D:D,DeparaIMG!F:F,,0)</f>
        <v>GCAP2.png</v>
      </c>
    </row>
    <row r="947" spans="1:9" x14ac:dyDescent="0.25">
      <c r="A947" s="2" t="s">
        <v>98</v>
      </c>
      <c r="B947" s="2" t="s">
        <v>61</v>
      </c>
      <c r="C947" t="s">
        <v>28</v>
      </c>
      <c r="D947" t="s">
        <v>25</v>
      </c>
      <c r="E947" s="2">
        <v>2</v>
      </c>
      <c r="F947" t="s">
        <v>37</v>
      </c>
      <c r="G947">
        <v>8.2899999999999991</v>
      </c>
      <c r="H947">
        <v>7.589999999999999</v>
      </c>
      <c r="I947" s="2" t="str">
        <f>_xlfn.XLOOKUP(F947,DeparaIMG!D:D,DeparaIMG!F:F,,0)</f>
        <v>GCAP2.png</v>
      </c>
    </row>
    <row r="948" spans="1:9" x14ac:dyDescent="0.25">
      <c r="A948" s="2" t="s">
        <v>98</v>
      </c>
      <c r="B948" s="2" t="s">
        <v>61</v>
      </c>
      <c r="C948" t="s">
        <v>29</v>
      </c>
      <c r="D948" t="s">
        <v>25</v>
      </c>
      <c r="E948" s="2">
        <v>2</v>
      </c>
      <c r="F948" t="s">
        <v>37</v>
      </c>
      <c r="G948">
        <v>8.2899999999999991</v>
      </c>
      <c r="H948">
        <v>7.589999999999999</v>
      </c>
      <c r="I948" s="2" t="str">
        <f>_xlfn.XLOOKUP(F948,DeparaIMG!D:D,DeparaIMG!F:F,,0)</f>
        <v>GCAP2.png</v>
      </c>
    </row>
    <row r="949" spans="1:9" x14ac:dyDescent="0.25">
      <c r="A949" s="2" t="s">
        <v>98</v>
      </c>
      <c r="B949" s="2" t="s">
        <v>61</v>
      </c>
      <c r="C949" t="s">
        <v>30</v>
      </c>
      <c r="D949" t="s">
        <v>25</v>
      </c>
      <c r="E949" s="2">
        <v>2</v>
      </c>
      <c r="F949" t="s">
        <v>37</v>
      </c>
      <c r="G949">
        <v>9.2899999999999991</v>
      </c>
      <c r="H949">
        <v>8.59</v>
      </c>
      <c r="I949" s="2" t="str">
        <f>_xlfn.XLOOKUP(F949,DeparaIMG!D:D,DeparaIMG!F:F,,0)</f>
        <v>GCAP2.png</v>
      </c>
    </row>
    <row r="950" spans="1:9" x14ac:dyDescent="0.25">
      <c r="A950" s="2" t="s">
        <v>98</v>
      </c>
      <c r="B950" s="2" t="s">
        <v>61</v>
      </c>
      <c r="C950" t="s">
        <v>4</v>
      </c>
      <c r="D950" t="s">
        <v>25</v>
      </c>
      <c r="E950" s="2">
        <v>2</v>
      </c>
      <c r="F950" t="s">
        <v>40</v>
      </c>
      <c r="G950">
        <v>2.39</v>
      </c>
      <c r="H950">
        <v>2.19</v>
      </c>
      <c r="I950" s="2" t="str">
        <f>_xlfn.XLOOKUP(F950,DeparaIMG!D:D,DeparaIMG!F:F,,0)</f>
        <v>GCA269.png</v>
      </c>
    </row>
    <row r="951" spans="1:9" x14ac:dyDescent="0.25">
      <c r="A951" s="2" t="s">
        <v>98</v>
      </c>
      <c r="B951" s="2" t="s">
        <v>61</v>
      </c>
      <c r="C951" t="s">
        <v>27</v>
      </c>
      <c r="D951" t="s">
        <v>25</v>
      </c>
      <c r="E951" s="2">
        <v>2</v>
      </c>
      <c r="F951" t="s">
        <v>40</v>
      </c>
      <c r="G951">
        <v>2.39</v>
      </c>
      <c r="H951">
        <v>2.19</v>
      </c>
      <c r="I951" s="2" t="str">
        <f>_xlfn.XLOOKUP(F951,DeparaIMG!D:D,DeparaIMG!F:F,,0)</f>
        <v>GCA269.png</v>
      </c>
    </row>
    <row r="952" spans="1:9" x14ac:dyDescent="0.25">
      <c r="A952" s="2" t="s">
        <v>98</v>
      </c>
      <c r="B952" s="2" t="s">
        <v>61</v>
      </c>
      <c r="C952" t="s">
        <v>28</v>
      </c>
      <c r="D952" t="s">
        <v>25</v>
      </c>
      <c r="E952" s="2">
        <v>2</v>
      </c>
      <c r="F952" t="s">
        <v>40</v>
      </c>
      <c r="G952">
        <v>2.39</v>
      </c>
      <c r="H952">
        <v>2.19</v>
      </c>
      <c r="I952" s="2" t="str">
        <f>_xlfn.XLOOKUP(F952,DeparaIMG!D:D,DeparaIMG!F:F,,0)</f>
        <v>GCA269.png</v>
      </c>
    </row>
    <row r="953" spans="1:9" x14ac:dyDescent="0.25">
      <c r="A953" s="2" t="s">
        <v>98</v>
      </c>
      <c r="B953" s="2" t="s">
        <v>61</v>
      </c>
      <c r="C953" t="s">
        <v>29</v>
      </c>
      <c r="D953" t="s">
        <v>25</v>
      </c>
      <c r="E953" s="2">
        <v>2</v>
      </c>
      <c r="F953" t="s">
        <v>40</v>
      </c>
      <c r="G953">
        <v>2.39</v>
      </c>
      <c r="H953">
        <v>2.19</v>
      </c>
      <c r="I953" s="2" t="str">
        <f>_xlfn.XLOOKUP(F953,DeparaIMG!D:D,DeparaIMG!F:F,,0)</f>
        <v>GCA269.png</v>
      </c>
    </row>
    <row r="954" spans="1:9" x14ac:dyDescent="0.25">
      <c r="A954" s="2" t="s">
        <v>98</v>
      </c>
      <c r="B954" s="2" t="s">
        <v>61</v>
      </c>
      <c r="C954" t="s">
        <v>30</v>
      </c>
      <c r="D954" t="s">
        <v>25</v>
      </c>
      <c r="E954" s="2">
        <v>2</v>
      </c>
      <c r="F954" t="s">
        <v>40</v>
      </c>
      <c r="G954">
        <v>2.39</v>
      </c>
      <c r="H954">
        <v>2.19</v>
      </c>
      <c r="I954" s="2" t="str">
        <f>_xlfn.XLOOKUP(F954,DeparaIMG!D:D,DeparaIMG!F:F,,0)</f>
        <v>GCA269.png</v>
      </c>
    </row>
    <row r="955" spans="1:9" x14ac:dyDescent="0.25">
      <c r="A955" s="2" t="s">
        <v>98</v>
      </c>
      <c r="B955" s="2" t="s">
        <v>61</v>
      </c>
      <c r="C955" t="s">
        <v>4</v>
      </c>
      <c r="D955" t="s">
        <v>25</v>
      </c>
      <c r="E955" s="2">
        <v>2</v>
      </c>
      <c r="F955" t="s">
        <v>41</v>
      </c>
      <c r="G955">
        <v>2.29</v>
      </c>
      <c r="H955">
        <v>2.09</v>
      </c>
      <c r="I955" s="2" t="str">
        <f>_xlfn.XLOOKUP(F955,DeparaIMG!D:D,DeparaIMG!F:F,,0)</f>
        <v>PC269.png</v>
      </c>
    </row>
    <row r="956" spans="1:9" x14ac:dyDescent="0.25">
      <c r="A956" s="2" t="s">
        <v>98</v>
      </c>
      <c r="B956" s="2" t="s">
        <v>61</v>
      </c>
      <c r="C956" t="s">
        <v>27</v>
      </c>
      <c r="D956" t="s">
        <v>25</v>
      </c>
      <c r="E956" s="2">
        <v>2</v>
      </c>
      <c r="F956" t="s">
        <v>41</v>
      </c>
      <c r="G956">
        <v>2.29</v>
      </c>
      <c r="H956">
        <v>2.09</v>
      </c>
      <c r="I956" s="2" t="str">
        <f>_xlfn.XLOOKUP(F956,DeparaIMG!D:D,DeparaIMG!F:F,,0)</f>
        <v>PC269.png</v>
      </c>
    </row>
    <row r="957" spans="1:9" x14ac:dyDescent="0.25">
      <c r="A957" s="2" t="s">
        <v>98</v>
      </c>
      <c r="B957" s="2" t="s">
        <v>61</v>
      </c>
      <c r="C957" t="s">
        <v>28</v>
      </c>
      <c r="D957" t="s">
        <v>25</v>
      </c>
      <c r="E957" s="2">
        <v>2</v>
      </c>
      <c r="F957" t="s">
        <v>41</v>
      </c>
      <c r="G957">
        <v>2.29</v>
      </c>
      <c r="H957">
        <v>2.09</v>
      </c>
      <c r="I957" s="2" t="str">
        <f>_xlfn.XLOOKUP(F957,DeparaIMG!D:D,DeparaIMG!F:F,,0)</f>
        <v>PC269.png</v>
      </c>
    </row>
    <row r="958" spans="1:9" x14ac:dyDescent="0.25">
      <c r="A958" s="2" t="s">
        <v>98</v>
      </c>
      <c r="B958" s="2" t="s">
        <v>61</v>
      </c>
      <c r="C958" t="s">
        <v>29</v>
      </c>
      <c r="D958" t="s">
        <v>25</v>
      </c>
      <c r="E958" s="2">
        <v>2</v>
      </c>
      <c r="F958" t="s">
        <v>41</v>
      </c>
      <c r="G958">
        <v>2.29</v>
      </c>
      <c r="H958">
        <v>2.09</v>
      </c>
      <c r="I958" s="2" t="str">
        <f>_xlfn.XLOOKUP(F958,DeparaIMG!D:D,DeparaIMG!F:F,,0)</f>
        <v>PC269.png</v>
      </c>
    </row>
    <row r="959" spans="1:9" x14ac:dyDescent="0.25">
      <c r="A959" s="2" t="s">
        <v>98</v>
      </c>
      <c r="B959" s="2" t="s">
        <v>61</v>
      </c>
      <c r="C959" t="s">
        <v>30</v>
      </c>
      <c r="D959" t="s">
        <v>25</v>
      </c>
      <c r="E959" s="2">
        <v>2</v>
      </c>
      <c r="F959" t="s">
        <v>41</v>
      </c>
      <c r="G959">
        <v>2.29</v>
      </c>
      <c r="H959">
        <v>2.09</v>
      </c>
      <c r="I959" s="2" t="str">
        <f>_xlfn.XLOOKUP(F959,DeparaIMG!D:D,DeparaIMG!F:F,,0)</f>
        <v>PC269.png</v>
      </c>
    </row>
    <row r="960" spans="1:9" x14ac:dyDescent="0.25">
      <c r="A960" s="2" t="s">
        <v>98</v>
      </c>
      <c r="B960" s="2" t="s">
        <v>61</v>
      </c>
      <c r="C960" t="s">
        <v>4</v>
      </c>
      <c r="D960" t="s">
        <v>26</v>
      </c>
      <c r="E960" s="2">
        <v>2</v>
      </c>
      <c r="F960" t="s">
        <v>31</v>
      </c>
      <c r="G960">
        <v>5.29</v>
      </c>
      <c r="H960">
        <v>4.99</v>
      </c>
      <c r="I960" s="2" t="str">
        <f>_xlfn.XLOOKUP(F960,DeparaIMG!D:D,DeparaIMG!F:F,,0)</f>
        <v>GCAP1.png</v>
      </c>
    </row>
    <row r="961" spans="1:9" x14ac:dyDescent="0.25">
      <c r="A961" s="2" t="s">
        <v>98</v>
      </c>
      <c r="B961" s="2" t="s">
        <v>61</v>
      </c>
      <c r="C961" t="s">
        <v>28</v>
      </c>
      <c r="D961" t="s">
        <v>26</v>
      </c>
      <c r="E961" s="2">
        <v>2</v>
      </c>
      <c r="F961" t="s">
        <v>32</v>
      </c>
      <c r="G961">
        <v>6.99</v>
      </c>
      <c r="H961">
        <v>6.69</v>
      </c>
      <c r="I961" s="2" t="str">
        <f>_xlfn.XLOOKUP(F961,DeparaIMG!D:D,DeparaIMG!F:F,,0)</f>
        <v>GCAP1,5.png</v>
      </c>
    </row>
    <row r="962" spans="1:9" x14ac:dyDescent="0.25">
      <c r="A962" s="2" t="s">
        <v>98</v>
      </c>
      <c r="B962" s="2" t="s">
        <v>61</v>
      </c>
      <c r="C962" t="s">
        <v>29</v>
      </c>
      <c r="D962" t="s">
        <v>26</v>
      </c>
      <c r="E962" s="2">
        <v>2</v>
      </c>
      <c r="F962" t="s">
        <v>32</v>
      </c>
      <c r="G962">
        <v>6.99</v>
      </c>
      <c r="H962">
        <v>6.69</v>
      </c>
      <c r="I962" s="2" t="str">
        <f>_xlfn.XLOOKUP(F962,DeparaIMG!D:D,DeparaIMG!F:F,,0)</f>
        <v>GCAP1,5.png</v>
      </c>
    </row>
    <row r="963" spans="1:9" x14ac:dyDescent="0.25">
      <c r="A963" s="2" t="s">
        <v>98</v>
      </c>
      <c r="B963" s="2" t="s">
        <v>61</v>
      </c>
      <c r="C963" t="s">
        <v>30</v>
      </c>
      <c r="D963" t="s">
        <v>26</v>
      </c>
      <c r="E963" s="2">
        <v>2</v>
      </c>
      <c r="F963" t="s">
        <v>32</v>
      </c>
      <c r="G963">
        <v>7.49</v>
      </c>
      <c r="H963">
        <v>7.19</v>
      </c>
      <c r="I963" s="2" t="str">
        <f>_xlfn.XLOOKUP(F963,DeparaIMG!D:D,DeparaIMG!F:F,,0)</f>
        <v>GCAP1,5.png</v>
      </c>
    </row>
    <row r="964" spans="1:9" x14ac:dyDescent="0.25">
      <c r="A964" s="2" t="s">
        <v>98</v>
      </c>
      <c r="B964" s="2" t="s">
        <v>61</v>
      </c>
      <c r="C964" t="s">
        <v>4</v>
      </c>
      <c r="D964" t="s">
        <v>26</v>
      </c>
      <c r="E964" s="2">
        <v>2</v>
      </c>
      <c r="F964" t="s">
        <v>33</v>
      </c>
      <c r="G964">
        <v>7.99</v>
      </c>
      <c r="H964">
        <v>7.49</v>
      </c>
      <c r="I964" s="2" t="str">
        <f>_xlfn.XLOOKUP(F964,DeparaIMG!D:D,DeparaIMG!F:F,,0)</f>
        <v>PCP2.png</v>
      </c>
    </row>
    <row r="965" spans="1:9" x14ac:dyDescent="0.25">
      <c r="A965" s="2" t="s">
        <v>98</v>
      </c>
      <c r="B965" s="2" t="s">
        <v>61</v>
      </c>
      <c r="C965" t="s">
        <v>28</v>
      </c>
      <c r="D965" t="s">
        <v>26</v>
      </c>
      <c r="E965" s="2">
        <v>2</v>
      </c>
      <c r="F965" t="s">
        <v>33</v>
      </c>
      <c r="G965">
        <v>7.99</v>
      </c>
      <c r="H965">
        <v>7.49</v>
      </c>
      <c r="I965" s="2" t="str">
        <f>_xlfn.XLOOKUP(F965,DeparaIMG!D:D,DeparaIMG!F:F,,0)</f>
        <v>PCP2.png</v>
      </c>
    </row>
    <row r="966" spans="1:9" x14ac:dyDescent="0.25">
      <c r="A966" s="2" t="s">
        <v>98</v>
      </c>
      <c r="B966" s="2" t="s">
        <v>61</v>
      </c>
      <c r="C966" t="s">
        <v>29</v>
      </c>
      <c r="D966" t="s">
        <v>26</v>
      </c>
      <c r="E966" s="2">
        <v>2</v>
      </c>
      <c r="F966" t="s">
        <v>33</v>
      </c>
      <c r="G966">
        <v>7.99</v>
      </c>
      <c r="H966">
        <v>7.49</v>
      </c>
      <c r="I966" s="2" t="str">
        <f>_xlfn.XLOOKUP(F966,DeparaIMG!D:D,DeparaIMG!F:F,,0)</f>
        <v>PCP2.png</v>
      </c>
    </row>
    <row r="967" spans="1:9" x14ac:dyDescent="0.25">
      <c r="A967" s="2" t="s">
        <v>98</v>
      </c>
      <c r="B967" s="2" t="s">
        <v>61</v>
      </c>
      <c r="C967" t="s">
        <v>30</v>
      </c>
      <c r="D967" t="s">
        <v>26</v>
      </c>
      <c r="E967" s="2">
        <v>2</v>
      </c>
      <c r="F967" t="s">
        <v>33</v>
      </c>
      <c r="G967">
        <v>8.99</v>
      </c>
      <c r="H967">
        <v>8.49</v>
      </c>
      <c r="I967" s="2" t="str">
        <f>_xlfn.XLOOKUP(F967,DeparaIMG!D:D,DeparaIMG!F:F,,0)</f>
        <v>PCP2.png</v>
      </c>
    </row>
    <row r="968" spans="1:9" x14ac:dyDescent="0.25">
      <c r="A968" s="2" t="s">
        <v>98</v>
      </c>
      <c r="B968" s="2" t="s">
        <v>61</v>
      </c>
      <c r="C968" t="s">
        <v>27</v>
      </c>
      <c r="D968" t="s">
        <v>26</v>
      </c>
      <c r="E968" s="2">
        <v>2</v>
      </c>
      <c r="F968" t="s">
        <v>42</v>
      </c>
      <c r="G968">
        <v>8.49</v>
      </c>
      <c r="H968">
        <v>7.99</v>
      </c>
      <c r="I968" s="2" t="str">
        <f>_xlfn.XLOOKUP(F968,DeparaIMG!D:D,DeparaIMG!F:F,,0)</f>
        <v>H2OHP1,5.png</v>
      </c>
    </row>
    <row r="969" spans="1:9" x14ac:dyDescent="0.25">
      <c r="A969" s="2" t="s">
        <v>98</v>
      </c>
      <c r="B969" s="2" t="s">
        <v>61</v>
      </c>
      <c r="C969" t="s">
        <v>28</v>
      </c>
      <c r="D969" t="s">
        <v>26</v>
      </c>
      <c r="E969" s="2">
        <v>2</v>
      </c>
      <c r="F969" t="s">
        <v>42</v>
      </c>
      <c r="G969">
        <v>7.99</v>
      </c>
      <c r="H969">
        <v>7.49</v>
      </c>
      <c r="I969" s="2" t="str">
        <f>_xlfn.XLOOKUP(F969,DeparaIMG!D:D,DeparaIMG!F:F,,0)</f>
        <v>H2OHP1,5.png</v>
      </c>
    </row>
    <row r="970" spans="1:9" x14ac:dyDescent="0.25">
      <c r="A970" s="2" t="s">
        <v>98</v>
      </c>
      <c r="B970" s="2" t="s">
        <v>61</v>
      </c>
      <c r="C970" t="s">
        <v>29</v>
      </c>
      <c r="D970" t="s">
        <v>26</v>
      </c>
      <c r="E970" s="2">
        <v>2</v>
      </c>
      <c r="F970" t="s">
        <v>42</v>
      </c>
      <c r="G970">
        <v>7.99</v>
      </c>
      <c r="H970">
        <v>7.49</v>
      </c>
      <c r="I970" s="2" t="str">
        <f>_xlfn.XLOOKUP(F970,DeparaIMG!D:D,DeparaIMG!F:F,,0)</f>
        <v>H2OHP1,5.png</v>
      </c>
    </row>
    <row r="971" spans="1:9" x14ac:dyDescent="0.25">
      <c r="A971" s="2" t="s">
        <v>98</v>
      </c>
      <c r="B971" s="2" t="s">
        <v>61</v>
      </c>
      <c r="C971" t="s">
        <v>30</v>
      </c>
      <c r="D971" t="s">
        <v>26</v>
      </c>
      <c r="E971" s="2">
        <v>2</v>
      </c>
      <c r="F971" t="s">
        <v>42</v>
      </c>
      <c r="G971">
        <v>8.49</v>
      </c>
      <c r="H971">
        <v>7.99</v>
      </c>
      <c r="I971" s="2" t="str">
        <f>_xlfn.XLOOKUP(F971,DeparaIMG!D:D,DeparaIMG!F:F,,0)</f>
        <v>H2OHP1,5.png</v>
      </c>
    </row>
    <row r="972" spans="1:9" x14ac:dyDescent="0.25">
      <c r="A972" s="2" t="s">
        <v>98</v>
      </c>
      <c r="B972" s="2" t="s">
        <v>62</v>
      </c>
      <c r="C972" t="s">
        <v>87</v>
      </c>
      <c r="D972" t="s">
        <v>25</v>
      </c>
      <c r="E972" s="2">
        <v>2</v>
      </c>
      <c r="F972" t="s">
        <v>66</v>
      </c>
      <c r="G972">
        <v>3.09</v>
      </c>
      <c r="H972">
        <v>2.89</v>
      </c>
      <c r="I972" s="2" t="str">
        <f>_xlfn.XLOOKUP(F972,DeparaIMG!D:D,DeparaIMG!F:F,,0)</f>
        <v>SK269.png</v>
      </c>
    </row>
    <row r="973" spans="1:9" x14ac:dyDescent="0.25">
      <c r="A973" s="2" t="s">
        <v>98</v>
      </c>
      <c r="B973" s="2" t="s">
        <v>62</v>
      </c>
      <c r="C973" t="s">
        <v>87</v>
      </c>
      <c r="D973" t="s">
        <v>26</v>
      </c>
      <c r="E973" s="2">
        <v>2</v>
      </c>
      <c r="F973" t="s">
        <v>66</v>
      </c>
      <c r="G973">
        <v>3.09</v>
      </c>
      <c r="H973">
        <v>2.89</v>
      </c>
      <c r="I973" s="2" t="str">
        <f>_xlfn.XLOOKUP(F973,DeparaIMG!D:D,DeparaIMG!F:F,,0)</f>
        <v>SK269.png</v>
      </c>
    </row>
    <row r="974" spans="1:9" x14ac:dyDescent="0.25">
      <c r="A974" s="2" t="s">
        <v>98</v>
      </c>
      <c r="B974" s="2" t="s">
        <v>62</v>
      </c>
      <c r="C974" t="s">
        <v>88</v>
      </c>
      <c r="D974" t="s">
        <v>25</v>
      </c>
      <c r="E974" s="2">
        <v>1</v>
      </c>
      <c r="F974" t="s">
        <v>67</v>
      </c>
      <c r="G974">
        <v>3.29</v>
      </c>
      <c r="H974">
        <v>2.99</v>
      </c>
      <c r="I974" s="2" t="str">
        <f>_xlfn.XLOOKUP(F974,DeparaIMG!D:D,DeparaIMG!F:F,,0)</f>
        <v>AP269.png</v>
      </c>
    </row>
    <row r="975" spans="1:9" x14ac:dyDescent="0.25">
      <c r="A975" s="2" t="s">
        <v>98</v>
      </c>
      <c r="B975" s="2" t="s">
        <v>62</v>
      </c>
      <c r="C975" t="s">
        <v>88</v>
      </c>
      <c r="D975" t="s">
        <v>26</v>
      </c>
      <c r="E975" s="2">
        <v>1</v>
      </c>
      <c r="F975" t="s">
        <v>67</v>
      </c>
      <c r="G975">
        <v>3.29</v>
      </c>
      <c r="H975">
        <v>2.99</v>
      </c>
      <c r="I975" s="2" t="str">
        <f>_xlfn.XLOOKUP(F975,DeparaIMG!D:D,DeparaIMG!F:F,,0)</f>
        <v>AP269.png</v>
      </c>
    </row>
    <row r="976" spans="1:9" x14ac:dyDescent="0.25">
      <c r="A976" s="2" t="s">
        <v>98</v>
      </c>
      <c r="B976" s="2" t="s">
        <v>62</v>
      </c>
      <c r="C976" t="s">
        <v>113</v>
      </c>
      <c r="D976" t="s">
        <v>26</v>
      </c>
      <c r="E976" s="2">
        <v>2</v>
      </c>
      <c r="F976" t="s">
        <v>63</v>
      </c>
      <c r="G976">
        <v>3.19</v>
      </c>
      <c r="H976">
        <v>2.99</v>
      </c>
      <c r="I976" s="2" t="str">
        <f>_xlfn.XLOOKUP(F976,DeparaIMG!D:D,DeparaIMG!F:F,,0)</f>
        <v>SKZERO269.png</v>
      </c>
    </row>
    <row r="977" spans="1:9" x14ac:dyDescent="0.25">
      <c r="A977" s="2" t="s">
        <v>98</v>
      </c>
      <c r="B977" s="2" t="s">
        <v>62</v>
      </c>
      <c r="C977" t="s">
        <v>113</v>
      </c>
      <c r="D977" t="s">
        <v>25</v>
      </c>
      <c r="E977" s="2">
        <v>2</v>
      </c>
      <c r="F977" t="s">
        <v>63</v>
      </c>
      <c r="G977">
        <v>3.19</v>
      </c>
      <c r="H977">
        <v>2.99</v>
      </c>
      <c r="I977" s="2" t="str">
        <f>_xlfn.XLOOKUP(F977,DeparaIMG!D:D,DeparaIMG!F:F,,0)</f>
        <v>SKZERO269.png</v>
      </c>
    </row>
    <row r="978" spans="1:9" x14ac:dyDescent="0.25">
      <c r="A978" s="2" t="s">
        <v>98</v>
      </c>
      <c r="B978" s="2" t="s">
        <v>62</v>
      </c>
      <c r="C978" t="s">
        <v>112</v>
      </c>
      <c r="D978" t="s">
        <v>25</v>
      </c>
      <c r="E978" s="2">
        <v>2</v>
      </c>
      <c r="F978" t="s">
        <v>67</v>
      </c>
      <c r="G978">
        <v>3.19</v>
      </c>
      <c r="H978">
        <v>2.99</v>
      </c>
      <c r="I978" s="2" t="str">
        <f>_xlfn.XLOOKUP(F978,DeparaIMG!D:D,DeparaIMG!F:F,,0)</f>
        <v>AP269.png</v>
      </c>
    </row>
    <row r="979" spans="1:9" x14ac:dyDescent="0.25">
      <c r="A979" s="2" t="s">
        <v>98</v>
      </c>
      <c r="B979" s="2" t="s">
        <v>62</v>
      </c>
      <c r="C979" t="s">
        <v>29</v>
      </c>
      <c r="D979" t="s">
        <v>25</v>
      </c>
      <c r="E979" s="2">
        <v>2</v>
      </c>
      <c r="F979" t="s">
        <v>67</v>
      </c>
      <c r="G979">
        <v>3.19</v>
      </c>
      <c r="H979">
        <v>2.99</v>
      </c>
      <c r="I979" s="2" t="str">
        <f>_xlfn.XLOOKUP(F979,DeparaIMG!D:D,DeparaIMG!F:F,,0)</f>
        <v>AP269.png</v>
      </c>
    </row>
    <row r="980" spans="1:9" x14ac:dyDescent="0.25">
      <c r="A980" s="2" t="s">
        <v>98</v>
      </c>
      <c r="B980" s="2" t="s">
        <v>62</v>
      </c>
      <c r="C980" t="s">
        <v>87</v>
      </c>
      <c r="D980" t="s">
        <v>26</v>
      </c>
      <c r="E980" s="2">
        <v>2</v>
      </c>
      <c r="F980" t="s">
        <v>63</v>
      </c>
      <c r="G980">
        <v>3.19</v>
      </c>
      <c r="H980">
        <v>2.99</v>
      </c>
      <c r="I980" s="2" t="str">
        <f>_xlfn.XLOOKUP(F980,DeparaIMG!D:D,DeparaIMG!F:F,,0)</f>
        <v>SKZERO269.png</v>
      </c>
    </row>
    <row r="981" spans="1:9" x14ac:dyDescent="0.25">
      <c r="A981" s="2" t="s">
        <v>98</v>
      </c>
      <c r="B981" s="2" t="s">
        <v>62</v>
      </c>
      <c r="C981" t="s">
        <v>87</v>
      </c>
      <c r="D981" t="s">
        <v>25</v>
      </c>
      <c r="E981" s="2">
        <v>2</v>
      </c>
      <c r="F981" t="s">
        <v>63</v>
      </c>
      <c r="G981">
        <v>3.19</v>
      </c>
      <c r="H981">
        <v>2.99</v>
      </c>
      <c r="I981" s="2" t="str">
        <f>_xlfn.XLOOKUP(F981,DeparaIMG!D:D,DeparaIMG!F:F,,0)</f>
        <v>SKZERO269.png</v>
      </c>
    </row>
    <row r="982" spans="1:9" x14ac:dyDescent="0.25">
      <c r="A982" s="2" t="s">
        <v>98</v>
      </c>
      <c r="B982" s="2" t="s">
        <v>62</v>
      </c>
      <c r="C982" t="s">
        <v>88</v>
      </c>
      <c r="D982" t="s">
        <v>26</v>
      </c>
      <c r="E982" s="2">
        <v>2</v>
      </c>
      <c r="F982" t="s">
        <v>63</v>
      </c>
      <c r="G982">
        <v>3.19</v>
      </c>
      <c r="H982">
        <v>2.99</v>
      </c>
      <c r="I982" s="2" t="str">
        <f>_xlfn.XLOOKUP(F982,DeparaIMG!D:D,DeparaIMG!F:F,,0)</f>
        <v>SKZERO269.png</v>
      </c>
    </row>
    <row r="983" spans="1:9" x14ac:dyDescent="0.25">
      <c r="A983" s="2" t="s">
        <v>98</v>
      </c>
      <c r="B983" s="2" t="s">
        <v>62</v>
      </c>
      <c r="C983" t="s">
        <v>88</v>
      </c>
      <c r="D983" t="s">
        <v>25</v>
      </c>
      <c r="E983" s="2">
        <v>2</v>
      </c>
      <c r="F983" t="s">
        <v>63</v>
      </c>
      <c r="G983">
        <v>3.19</v>
      </c>
      <c r="H983">
        <v>2.99</v>
      </c>
      <c r="I983" s="2" t="str">
        <f>_xlfn.XLOOKUP(F983,DeparaIMG!D:D,DeparaIMG!F:F,,0)</f>
        <v>SKZERO269.png</v>
      </c>
    </row>
    <row r="984" spans="1:9" x14ac:dyDescent="0.25">
      <c r="A984" s="2" t="s">
        <v>98</v>
      </c>
      <c r="B984" s="2" t="s">
        <v>62</v>
      </c>
      <c r="C984" t="s">
        <v>89</v>
      </c>
      <c r="D984" t="s">
        <v>26</v>
      </c>
      <c r="E984" s="2">
        <v>2</v>
      </c>
      <c r="F984" t="s">
        <v>63</v>
      </c>
      <c r="G984">
        <v>3.19</v>
      </c>
      <c r="H984">
        <v>3.09</v>
      </c>
      <c r="I984" s="2" t="str">
        <f>_xlfn.XLOOKUP(F984,DeparaIMG!D:D,DeparaIMG!F:F,,0)</f>
        <v>SKZERO269.png</v>
      </c>
    </row>
    <row r="985" spans="1:9" x14ac:dyDescent="0.25">
      <c r="A985" s="2" t="s">
        <v>98</v>
      </c>
      <c r="B985" s="2" t="s">
        <v>62</v>
      </c>
      <c r="C985" t="s">
        <v>89</v>
      </c>
      <c r="D985" t="s">
        <v>25</v>
      </c>
      <c r="E985" s="2">
        <v>2</v>
      </c>
      <c r="F985" t="s">
        <v>63</v>
      </c>
      <c r="G985">
        <v>3.19</v>
      </c>
      <c r="H985">
        <v>3.09</v>
      </c>
      <c r="I985" s="2" t="str">
        <f>_xlfn.XLOOKUP(F985,DeparaIMG!D:D,DeparaIMG!F:F,,0)</f>
        <v>SKZERO269.png</v>
      </c>
    </row>
    <row r="986" spans="1:9" x14ac:dyDescent="0.25">
      <c r="A986" s="2" t="s">
        <v>98</v>
      </c>
      <c r="B986" s="2" t="s">
        <v>62</v>
      </c>
      <c r="C986" t="s">
        <v>90</v>
      </c>
      <c r="D986" t="s">
        <v>26</v>
      </c>
      <c r="E986" s="2">
        <v>2</v>
      </c>
      <c r="F986" t="s">
        <v>63</v>
      </c>
      <c r="G986">
        <v>3.19</v>
      </c>
      <c r="H986">
        <v>2.99</v>
      </c>
      <c r="I986" s="2" t="str">
        <f>_xlfn.XLOOKUP(F986,DeparaIMG!D:D,DeparaIMG!F:F,,0)</f>
        <v>SKZERO269.png</v>
      </c>
    </row>
    <row r="987" spans="1:9" x14ac:dyDescent="0.25">
      <c r="A987" s="2" t="s">
        <v>98</v>
      </c>
      <c r="B987" s="2" t="s">
        <v>62</v>
      </c>
      <c r="C987" t="s">
        <v>90</v>
      </c>
      <c r="D987" t="s">
        <v>25</v>
      </c>
      <c r="E987" s="2">
        <v>2</v>
      </c>
      <c r="F987" t="s">
        <v>63</v>
      </c>
      <c r="G987">
        <v>3.19</v>
      </c>
      <c r="H987">
        <v>2.99</v>
      </c>
      <c r="I987" s="2" t="str">
        <f>_xlfn.XLOOKUP(F987,DeparaIMG!D:D,DeparaIMG!F:F,,0)</f>
        <v>SKZERO269.png</v>
      </c>
    </row>
    <row r="988" spans="1:9" x14ac:dyDescent="0.25">
      <c r="A988" s="2" t="s">
        <v>98</v>
      </c>
      <c r="B988" s="2" t="s">
        <v>62</v>
      </c>
      <c r="C988" t="s">
        <v>112</v>
      </c>
      <c r="D988" t="s">
        <v>26</v>
      </c>
      <c r="E988" s="2">
        <v>2</v>
      </c>
      <c r="F988" t="s">
        <v>63</v>
      </c>
      <c r="G988">
        <v>3.19</v>
      </c>
      <c r="H988">
        <v>2.99</v>
      </c>
      <c r="I988" s="2" t="str">
        <f>_xlfn.XLOOKUP(F988,DeparaIMG!D:D,DeparaIMG!F:F,,0)</f>
        <v>SKZERO269.png</v>
      </c>
    </row>
    <row r="989" spans="1:9" x14ac:dyDescent="0.25">
      <c r="A989" s="2" t="s">
        <v>98</v>
      </c>
      <c r="B989" s="2" t="s">
        <v>62</v>
      </c>
      <c r="C989" t="s">
        <v>112</v>
      </c>
      <c r="D989" t="s">
        <v>25</v>
      </c>
      <c r="E989" s="2">
        <v>2</v>
      </c>
      <c r="F989" t="s">
        <v>63</v>
      </c>
      <c r="G989">
        <v>3.19</v>
      </c>
      <c r="H989">
        <v>2.99</v>
      </c>
      <c r="I989" s="2" t="str">
        <f>_xlfn.XLOOKUP(F989,DeparaIMG!D:D,DeparaIMG!F:F,,0)</f>
        <v>SKZERO269.png</v>
      </c>
    </row>
    <row r="990" spans="1:9" x14ac:dyDescent="0.25">
      <c r="A990" s="2" t="s">
        <v>98</v>
      </c>
      <c r="B990" s="2" t="s">
        <v>62</v>
      </c>
      <c r="C990" t="s">
        <v>29</v>
      </c>
      <c r="D990" t="s">
        <v>26</v>
      </c>
      <c r="E990" s="2">
        <v>2</v>
      </c>
      <c r="F990" t="s">
        <v>63</v>
      </c>
      <c r="G990">
        <v>3.19</v>
      </c>
      <c r="H990">
        <v>2.99</v>
      </c>
      <c r="I990" s="2" t="str">
        <f>_xlfn.XLOOKUP(F990,DeparaIMG!D:D,DeparaIMG!F:F,,0)</f>
        <v>SKZERO269.png</v>
      </c>
    </row>
    <row r="991" spans="1:9" x14ac:dyDescent="0.25">
      <c r="A991" s="2" t="s">
        <v>98</v>
      </c>
      <c r="B991" s="2" t="s">
        <v>62</v>
      </c>
      <c r="C991" t="s">
        <v>29</v>
      </c>
      <c r="D991" t="s">
        <v>25</v>
      </c>
      <c r="E991" s="2">
        <v>2</v>
      </c>
      <c r="F991" t="s">
        <v>63</v>
      </c>
      <c r="G991">
        <v>3.19</v>
      </c>
      <c r="H991">
        <v>2.99</v>
      </c>
      <c r="I991" s="2" t="str">
        <f>_xlfn.XLOOKUP(F991,DeparaIMG!D:D,DeparaIMG!F:F,,0)</f>
        <v>SKZERO269.png</v>
      </c>
    </row>
    <row r="992" spans="1:9" x14ac:dyDescent="0.25">
      <c r="A992" s="2" t="s">
        <v>98</v>
      </c>
      <c r="B992" s="2" t="s">
        <v>62</v>
      </c>
      <c r="C992" t="s">
        <v>29</v>
      </c>
      <c r="D992" t="s">
        <v>25</v>
      </c>
      <c r="E992" s="2">
        <v>1</v>
      </c>
      <c r="F992" t="s">
        <v>68</v>
      </c>
      <c r="G992">
        <v>3.19</v>
      </c>
      <c r="H992">
        <v>2.99</v>
      </c>
      <c r="I992" s="2" t="str">
        <f>_xlfn.XLOOKUP(F992,DeparaIMG!D:D,DeparaIMG!F:F,,0)</f>
        <v>BC269.png</v>
      </c>
    </row>
    <row r="993" spans="1:9" x14ac:dyDescent="0.25">
      <c r="A993" s="2" t="s">
        <v>98</v>
      </c>
      <c r="B993" s="2" t="s">
        <v>62</v>
      </c>
      <c r="C993" t="s">
        <v>112</v>
      </c>
      <c r="D993" t="s">
        <v>25</v>
      </c>
      <c r="E993" s="2">
        <v>1</v>
      </c>
      <c r="F993" t="s">
        <v>68</v>
      </c>
      <c r="G993">
        <v>3.19</v>
      </c>
      <c r="H993">
        <v>2.99</v>
      </c>
      <c r="I993" s="2" t="str">
        <f>_xlfn.XLOOKUP(F993,DeparaIMG!D:D,DeparaIMG!F:F,,0)</f>
        <v>BC269.png</v>
      </c>
    </row>
    <row r="994" spans="1:9" x14ac:dyDescent="0.25">
      <c r="A994" s="2" t="s">
        <v>98</v>
      </c>
      <c r="B994" s="2" t="s">
        <v>62</v>
      </c>
      <c r="C994" t="s">
        <v>112</v>
      </c>
      <c r="D994" t="s">
        <v>26</v>
      </c>
      <c r="E994" s="2">
        <v>1</v>
      </c>
      <c r="F994" t="s">
        <v>68</v>
      </c>
      <c r="G994">
        <v>3.19</v>
      </c>
      <c r="H994">
        <v>2.99</v>
      </c>
      <c r="I994" s="2" t="str">
        <f>_xlfn.XLOOKUP(F994,DeparaIMG!D:D,DeparaIMG!F:F,,0)</f>
        <v>BC269.png</v>
      </c>
    </row>
    <row r="995" spans="1:9" x14ac:dyDescent="0.25">
      <c r="A995" s="2" t="s">
        <v>98</v>
      </c>
      <c r="B995" s="2" t="s">
        <v>62</v>
      </c>
      <c r="C995" t="s">
        <v>87</v>
      </c>
      <c r="D995" t="s">
        <v>25</v>
      </c>
      <c r="E995" s="2">
        <v>1</v>
      </c>
      <c r="F995" t="s">
        <v>68</v>
      </c>
      <c r="G995">
        <v>3.19</v>
      </c>
      <c r="H995">
        <v>2.99</v>
      </c>
      <c r="I995" s="2" t="str">
        <f>_xlfn.XLOOKUP(F995,DeparaIMG!D:D,DeparaIMG!F:F,,0)</f>
        <v>BC269.png</v>
      </c>
    </row>
    <row r="996" spans="1:9" x14ac:dyDescent="0.25">
      <c r="A996" s="2" t="s">
        <v>98</v>
      </c>
      <c r="B996" s="2" t="s">
        <v>62</v>
      </c>
      <c r="C996" t="s">
        <v>87</v>
      </c>
      <c r="D996" t="s">
        <v>26</v>
      </c>
      <c r="E996" s="2">
        <v>1</v>
      </c>
      <c r="F996" t="s">
        <v>68</v>
      </c>
      <c r="G996">
        <v>3.19</v>
      </c>
      <c r="H996">
        <v>2.99</v>
      </c>
      <c r="I996" s="2" t="str">
        <f>_xlfn.XLOOKUP(F996,DeparaIMG!D:D,DeparaIMG!F:F,,0)</f>
        <v>BC269.png</v>
      </c>
    </row>
    <row r="997" spans="1:9" x14ac:dyDescent="0.25">
      <c r="A997" s="2" t="s">
        <v>98</v>
      </c>
      <c r="B997" s="2" t="s">
        <v>62</v>
      </c>
      <c r="C997" t="s">
        <v>113</v>
      </c>
      <c r="D997" t="s">
        <v>25</v>
      </c>
      <c r="E997" s="2">
        <v>1</v>
      </c>
      <c r="F997" t="s">
        <v>68</v>
      </c>
      <c r="G997">
        <v>3.19</v>
      </c>
      <c r="H997">
        <v>2.99</v>
      </c>
      <c r="I997" s="2" t="str">
        <f>_xlfn.XLOOKUP(F997,DeparaIMG!D:D,DeparaIMG!F:F,,0)</f>
        <v>BC269.png</v>
      </c>
    </row>
    <row r="998" spans="1:9" x14ac:dyDescent="0.25">
      <c r="A998" s="2" t="s">
        <v>98</v>
      </c>
      <c r="B998" s="2" t="s">
        <v>62</v>
      </c>
      <c r="C998" t="s">
        <v>113</v>
      </c>
      <c r="D998" t="s">
        <v>25</v>
      </c>
      <c r="E998" s="2">
        <v>2</v>
      </c>
      <c r="F998" t="s">
        <v>66</v>
      </c>
      <c r="G998">
        <v>3.29</v>
      </c>
      <c r="H998">
        <v>3.09</v>
      </c>
      <c r="I998" s="2" t="str">
        <f>_xlfn.XLOOKUP(F998,DeparaIMG!D:D,DeparaIMG!F:F,,0)</f>
        <v>SK269.png</v>
      </c>
    </row>
    <row r="999" spans="1:9" x14ac:dyDescent="0.25">
      <c r="A999" s="2" t="s">
        <v>98</v>
      </c>
      <c r="B999" s="2" t="s">
        <v>62</v>
      </c>
      <c r="C999" t="s">
        <v>113</v>
      </c>
      <c r="D999" t="s">
        <v>26</v>
      </c>
      <c r="E999" s="2">
        <v>2</v>
      </c>
      <c r="F999" t="s">
        <v>66</v>
      </c>
      <c r="G999">
        <v>3.29</v>
      </c>
      <c r="H999">
        <v>3.09</v>
      </c>
      <c r="I999" s="2" t="str">
        <f>_xlfn.XLOOKUP(F999,DeparaIMG!D:D,DeparaIMG!F:F,,0)</f>
        <v>SK269.png</v>
      </c>
    </row>
    <row r="1000" spans="1:9" x14ac:dyDescent="0.25">
      <c r="A1000" s="2" t="s">
        <v>98</v>
      </c>
      <c r="B1000" s="2" t="s">
        <v>62</v>
      </c>
      <c r="C1000" t="s">
        <v>88</v>
      </c>
      <c r="D1000" t="s">
        <v>25</v>
      </c>
      <c r="E1000" s="2">
        <v>2</v>
      </c>
      <c r="F1000" t="s">
        <v>66</v>
      </c>
      <c r="G1000">
        <v>3.29</v>
      </c>
      <c r="H1000">
        <v>2.99</v>
      </c>
      <c r="I1000" s="2" t="str">
        <f>_xlfn.XLOOKUP(F1000,DeparaIMG!D:D,DeparaIMG!F:F,,0)</f>
        <v>SK269.png</v>
      </c>
    </row>
    <row r="1001" spans="1:9" x14ac:dyDescent="0.25">
      <c r="A1001" s="2" t="s">
        <v>98</v>
      </c>
      <c r="B1001" s="2" t="s">
        <v>62</v>
      </c>
      <c r="C1001" t="s">
        <v>89</v>
      </c>
      <c r="D1001" t="s">
        <v>25</v>
      </c>
      <c r="E1001" s="2">
        <v>2</v>
      </c>
      <c r="F1001" t="s">
        <v>66</v>
      </c>
      <c r="G1001">
        <v>3.39</v>
      </c>
      <c r="H1001">
        <v>3.19</v>
      </c>
      <c r="I1001" s="2" t="str">
        <f>_xlfn.XLOOKUP(F1001,DeparaIMG!D:D,DeparaIMG!F:F,,0)</f>
        <v>SK269.png</v>
      </c>
    </row>
    <row r="1002" spans="1:9" x14ac:dyDescent="0.25">
      <c r="A1002" s="2" t="s">
        <v>98</v>
      </c>
      <c r="B1002" s="2" t="s">
        <v>62</v>
      </c>
      <c r="C1002" t="s">
        <v>90</v>
      </c>
      <c r="D1002" t="s">
        <v>25</v>
      </c>
      <c r="E1002" s="2">
        <v>2</v>
      </c>
      <c r="F1002" t="s">
        <v>67</v>
      </c>
      <c r="G1002">
        <v>3.39</v>
      </c>
      <c r="H1002">
        <v>3.19</v>
      </c>
      <c r="I1002" s="2" t="str">
        <f>_xlfn.XLOOKUP(F1002,DeparaIMG!D:D,DeparaIMG!F:F,,0)</f>
        <v>AP269.png</v>
      </c>
    </row>
    <row r="1003" spans="1:9" x14ac:dyDescent="0.25">
      <c r="A1003" s="2" t="s">
        <v>98</v>
      </c>
      <c r="B1003" s="2" t="s">
        <v>62</v>
      </c>
      <c r="C1003" t="s">
        <v>89</v>
      </c>
      <c r="D1003" t="s">
        <v>25</v>
      </c>
      <c r="E1003" s="2">
        <v>1</v>
      </c>
      <c r="F1003" t="s">
        <v>68</v>
      </c>
      <c r="G1003">
        <v>3.19</v>
      </c>
      <c r="H1003">
        <v>2.99</v>
      </c>
      <c r="I1003" s="2" t="str">
        <f>_xlfn.XLOOKUP(F1003,DeparaIMG!D:D,DeparaIMG!F:F,,0)</f>
        <v>BC269.png</v>
      </c>
    </row>
    <row r="1004" spans="1:9" x14ac:dyDescent="0.25">
      <c r="A1004" s="2" t="s">
        <v>98</v>
      </c>
      <c r="B1004" s="2" t="s">
        <v>62</v>
      </c>
      <c r="C1004" t="s">
        <v>89</v>
      </c>
      <c r="D1004" t="s">
        <v>26</v>
      </c>
      <c r="E1004" s="2">
        <v>1</v>
      </c>
      <c r="F1004" t="s">
        <v>68</v>
      </c>
      <c r="G1004">
        <v>3.19</v>
      </c>
      <c r="H1004">
        <v>2.99</v>
      </c>
      <c r="I1004" s="2" t="str">
        <f>_xlfn.XLOOKUP(F1004,DeparaIMG!D:D,DeparaIMG!F:F,,0)</f>
        <v>BC269.png</v>
      </c>
    </row>
    <row r="1005" spans="1:9" x14ac:dyDescent="0.25">
      <c r="A1005" s="2" t="s">
        <v>98</v>
      </c>
      <c r="B1005" s="2" t="s">
        <v>62</v>
      </c>
      <c r="C1005" t="s">
        <v>88</v>
      </c>
      <c r="D1005" t="s">
        <v>25</v>
      </c>
      <c r="E1005" s="2">
        <v>1</v>
      </c>
      <c r="F1005" t="s">
        <v>68</v>
      </c>
      <c r="G1005">
        <v>3.29</v>
      </c>
      <c r="H1005">
        <v>2.99</v>
      </c>
      <c r="I1005" s="2" t="str">
        <f>_xlfn.XLOOKUP(F1005,DeparaIMG!D:D,DeparaIMG!F:F,,0)</f>
        <v>BC269.png</v>
      </c>
    </row>
    <row r="1006" spans="1:9" x14ac:dyDescent="0.25">
      <c r="A1006" s="2" t="s">
        <v>98</v>
      </c>
      <c r="B1006" s="2" t="s">
        <v>62</v>
      </c>
      <c r="C1006" t="s">
        <v>88</v>
      </c>
      <c r="D1006" t="s">
        <v>26</v>
      </c>
      <c r="E1006" s="2">
        <v>1</v>
      </c>
      <c r="F1006" t="s">
        <v>68</v>
      </c>
      <c r="G1006">
        <v>3.29</v>
      </c>
      <c r="H1006">
        <v>2.99</v>
      </c>
      <c r="I1006" s="2" t="str">
        <f>_xlfn.XLOOKUP(F1006,DeparaIMG!D:D,DeparaIMG!F:F,,0)</f>
        <v>BC269.png</v>
      </c>
    </row>
    <row r="1007" spans="1:9" x14ac:dyDescent="0.25">
      <c r="A1007" s="2" t="s">
        <v>98</v>
      </c>
      <c r="B1007" s="2" t="s">
        <v>62</v>
      </c>
      <c r="C1007" t="s">
        <v>90</v>
      </c>
      <c r="D1007" t="s">
        <v>25</v>
      </c>
      <c r="E1007" s="2">
        <v>1</v>
      </c>
      <c r="F1007" t="s">
        <v>68</v>
      </c>
      <c r="G1007">
        <v>3.19</v>
      </c>
      <c r="H1007">
        <v>2.99</v>
      </c>
      <c r="I1007" s="2" t="str">
        <f>_xlfn.XLOOKUP(F1007,DeparaIMG!D:D,DeparaIMG!F:F,,0)</f>
        <v>BC269.png</v>
      </c>
    </row>
    <row r="1008" spans="1:9" x14ac:dyDescent="0.25">
      <c r="A1008" s="2" t="s">
        <v>98</v>
      </c>
      <c r="B1008" s="2" t="s">
        <v>62</v>
      </c>
      <c r="C1008" t="s">
        <v>90</v>
      </c>
      <c r="D1008" t="s">
        <v>26</v>
      </c>
      <c r="E1008" s="2">
        <v>2</v>
      </c>
      <c r="F1008" t="s">
        <v>67</v>
      </c>
      <c r="G1008">
        <v>3.39</v>
      </c>
      <c r="H1008">
        <v>3.19</v>
      </c>
      <c r="I1008" s="2" t="str">
        <f>_xlfn.XLOOKUP(F1008,DeparaIMG!D:D,DeparaIMG!F:F,,0)</f>
        <v>AP269.png</v>
      </c>
    </row>
    <row r="1009" spans="1:9" x14ac:dyDescent="0.25">
      <c r="A1009" s="2" t="s">
        <v>98</v>
      </c>
      <c r="B1009" s="2" t="s">
        <v>62</v>
      </c>
      <c r="C1009" t="s">
        <v>90</v>
      </c>
      <c r="D1009" t="s">
        <v>26</v>
      </c>
      <c r="E1009" s="2">
        <v>1</v>
      </c>
      <c r="F1009" t="s">
        <v>68</v>
      </c>
      <c r="G1009">
        <v>3.19</v>
      </c>
      <c r="H1009">
        <v>2.99</v>
      </c>
      <c r="I1009" s="2" t="str">
        <f>_xlfn.XLOOKUP(F1009,DeparaIMG!D:D,DeparaIMG!F:F,,0)</f>
        <v>BC269.png</v>
      </c>
    </row>
    <row r="1010" spans="1:9" x14ac:dyDescent="0.25">
      <c r="A1010" s="2" t="s">
        <v>98</v>
      </c>
      <c r="B1010" s="2" t="s">
        <v>62</v>
      </c>
      <c r="C1010" t="s">
        <v>88</v>
      </c>
      <c r="D1010" t="s">
        <v>26</v>
      </c>
      <c r="E1010" s="2">
        <v>2</v>
      </c>
      <c r="F1010" t="s">
        <v>66</v>
      </c>
      <c r="G1010">
        <v>3.29</v>
      </c>
      <c r="H1010">
        <v>2.99</v>
      </c>
      <c r="I1010" s="2" t="str">
        <f>_xlfn.XLOOKUP(F1010,DeparaIMG!D:D,DeparaIMG!F:F,,0)</f>
        <v>SK269.png</v>
      </c>
    </row>
    <row r="1011" spans="1:9" x14ac:dyDescent="0.25">
      <c r="A1011" s="2" t="s">
        <v>98</v>
      </c>
      <c r="B1011" s="2" t="s">
        <v>62</v>
      </c>
      <c r="C1011" t="s">
        <v>89</v>
      </c>
      <c r="D1011" t="s">
        <v>26</v>
      </c>
      <c r="E1011" s="2">
        <v>2</v>
      </c>
      <c r="F1011" t="s">
        <v>66</v>
      </c>
      <c r="G1011">
        <v>3.39</v>
      </c>
      <c r="H1011">
        <v>3.19</v>
      </c>
      <c r="I1011" s="2" t="str">
        <f>_xlfn.XLOOKUP(F1011,DeparaIMG!D:D,DeparaIMG!F:F,,0)</f>
        <v>SK269.png</v>
      </c>
    </row>
    <row r="1012" spans="1:9" x14ac:dyDescent="0.25">
      <c r="A1012" s="2" t="s">
        <v>98</v>
      </c>
      <c r="B1012" s="2" t="s">
        <v>62</v>
      </c>
      <c r="C1012" t="s">
        <v>113</v>
      </c>
      <c r="D1012" t="s">
        <v>25</v>
      </c>
      <c r="E1012" s="2">
        <v>1</v>
      </c>
      <c r="F1012" t="s">
        <v>69</v>
      </c>
      <c r="G1012">
        <v>3.39</v>
      </c>
      <c r="H1012">
        <v>2.99</v>
      </c>
      <c r="I1012" s="2" t="str">
        <f>_xlfn.XLOOKUP(F1012,DeparaIMG!D:D,DeparaIMG!F:F,,0)</f>
        <v>BUD269.png</v>
      </c>
    </row>
    <row r="1013" spans="1:9" x14ac:dyDescent="0.25">
      <c r="A1013" s="2" t="s">
        <v>98</v>
      </c>
      <c r="B1013" s="2" t="s">
        <v>62</v>
      </c>
      <c r="C1013" t="s">
        <v>88</v>
      </c>
      <c r="D1013" t="s">
        <v>26</v>
      </c>
      <c r="E1013" s="2">
        <v>1</v>
      </c>
      <c r="F1013" t="s">
        <v>69</v>
      </c>
      <c r="G1013">
        <v>3.49</v>
      </c>
      <c r="H1013">
        <v>3.09</v>
      </c>
      <c r="I1013" s="2" t="str">
        <f>_xlfn.XLOOKUP(F1013,DeparaIMG!D:D,DeparaIMG!F:F,,0)</f>
        <v>BUD269.png</v>
      </c>
    </row>
    <row r="1014" spans="1:9" x14ac:dyDescent="0.25">
      <c r="A1014" s="2" t="s">
        <v>98</v>
      </c>
      <c r="B1014" s="2" t="s">
        <v>62</v>
      </c>
      <c r="C1014" t="s">
        <v>89</v>
      </c>
      <c r="D1014" t="s">
        <v>26</v>
      </c>
      <c r="E1014" s="2">
        <v>1</v>
      </c>
      <c r="F1014" t="s">
        <v>69</v>
      </c>
      <c r="G1014">
        <v>3.49</v>
      </c>
      <c r="H1014">
        <v>3.09</v>
      </c>
      <c r="I1014" s="2" t="str">
        <f>_xlfn.XLOOKUP(F1014,DeparaIMG!D:D,DeparaIMG!F:F,,0)</f>
        <v>BUD269.png</v>
      </c>
    </row>
    <row r="1015" spans="1:9" x14ac:dyDescent="0.25">
      <c r="A1015" s="2" t="s">
        <v>98</v>
      </c>
      <c r="B1015" s="2" t="s">
        <v>62</v>
      </c>
      <c r="C1015" t="s">
        <v>90</v>
      </c>
      <c r="D1015" t="s">
        <v>26</v>
      </c>
      <c r="E1015" s="2">
        <v>1</v>
      </c>
      <c r="F1015" t="s">
        <v>69</v>
      </c>
      <c r="G1015">
        <v>3.49</v>
      </c>
      <c r="H1015">
        <v>3.09</v>
      </c>
      <c r="I1015" s="2" t="str">
        <f>_xlfn.XLOOKUP(F1015,DeparaIMG!D:D,DeparaIMG!F:F,,0)</f>
        <v>BUD269.png</v>
      </c>
    </row>
    <row r="1016" spans="1:9" x14ac:dyDescent="0.25">
      <c r="A1016" s="2" t="s">
        <v>98</v>
      </c>
      <c r="B1016" s="2" t="s">
        <v>62</v>
      </c>
      <c r="C1016" t="s">
        <v>112</v>
      </c>
      <c r="D1016" t="s">
        <v>25</v>
      </c>
      <c r="E1016" s="2">
        <v>1</v>
      </c>
      <c r="F1016" t="s">
        <v>69</v>
      </c>
      <c r="G1016">
        <v>3.49</v>
      </c>
      <c r="H1016">
        <v>3.09</v>
      </c>
      <c r="I1016" s="2" t="str">
        <f>_xlfn.XLOOKUP(F1016,DeparaIMG!D:D,DeparaIMG!F:F,,0)</f>
        <v>BUD269.png</v>
      </c>
    </row>
    <row r="1017" spans="1:9" x14ac:dyDescent="0.25">
      <c r="A1017" s="2" t="s">
        <v>98</v>
      </c>
      <c r="B1017" s="2" t="s">
        <v>62</v>
      </c>
      <c r="C1017" t="s">
        <v>29</v>
      </c>
      <c r="D1017" t="s">
        <v>25</v>
      </c>
      <c r="E1017" s="2">
        <v>1</v>
      </c>
      <c r="F1017" t="s">
        <v>69</v>
      </c>
      <c r="G1017">
        <v>3.49</v>
      </c>
      <c r="H1017">
        <v>3.09</v>
      </c>
      <c r="I1017" s="2" t="str">
        <f>_xlfn.XLOOKUP(F1017,DeparaIMG!D:D,DeparaIMG!F:F,,0)</f>
        <v>BUD269.png</v>
      </c>
    </row>
    <row r="1018" spans="1:9" x14ac:dyDescent="0.25">
      <c r="A1018" s="2" t="s">
        <v>98</v>
      </c>
      <c r="B1018" s="2" t="s">
        <v>62</v>
      </c>
      <c r="C1018" t="s">
        <v>87</v>
      </c>
      <c r="D1018" t="s">
        <v>26</v>
      </c>
      <c r="E1018" s="2">
        <v>1</v>
      </c>
      <c r="F1018" t="s">
        <v>69</v>
      </c>
      <c r="G1018">
        <v>3.49</v>
      </c>
      <c r="H1018">
        <v>3.09</v>
      </c>
      <c r="I1018" s="2" t="str">
        <f>_xlfn.XLOOKUP(F1018,DeparaIMG!D:D,DeparaIMG!F:F,,0)</f>
        <v>BUD269.png</v>
      </c>
    </row>
    <row r="1019" spans="1:9" x14ac:dyDescent="0.25">
      <c r="A1019" s="2" t="s">
        <v>98</v>
      </c>
      <c r="B1019" s="2" t="s">
        <v>62</v>
      </c>
      <c r="C1019" t="s">
        <v>112</v>
      </c>
      <c r="D1019" t="s">
        <v>25</v>
      </c>
      <c r="E1019" s="2">
        <v>1</v>
      </c>
      <c r="F1019" t="s">
        <v>70</v>
      </c>
      <c r="G1019">
        <v>3.69</v>
      </c>
      <c r="H1019">
        <v>3.19</v>
      </c>
      <c r="I1019" s="2" t="str">
        <f>_xlfn.XLOOKUP(F1019,DeparaIMG!D:D,DeparaIMG!F:F,,0)</f>
        <v>BC0350.png</v>
      </c>
    </row>
    <row r="1020" spans="1:9" x14ac:dyDescent="0.25">
      <c r="A1020" s="2" t="s">
        <v>98</v>
      </c>
      <c r="B1020" s="2" t="s">
        <v>62</v>
      </c>
      <c r="C1020" t="s">
        <v>112</v>
      </c>
      <c r="D1020" t="s">
        <v>25</v>
      </c>
      <c r="E1020" s="2">
        <v>2</v>
      </c>
      <c r="F1020" t="s">
        <v>70</v>
      </c>
      <c r="G1020">
        <v>3.69</v>
      </c>
      <c r="H1020">
        <v>3.19</v>
      </c>
      <c r="I1020" s="2" t="str">
        <f>_xlfn.XLOOKUP(F1020,DeparaIMG!D:D,DeparaIMG!F:F,,0)</f>
        <v>BC0350.png</v>
      </c>
    </row>
    <row r="1021" spans="1:9" x14ac:dyDescent="0.25">
      <c r="A1021" s="2" t="s">
        <v>98</v>
      </c>
      <c r="B1021" s="2" t="s">
        <v>62</v>
      </c>
      <c r="C1021" t="s">
        <v>29</v>
      </c>
      <c r="D1021" t="s">
        <v>25</v>
      </c>
      <c r="E1021" s="2">
        <v>1</v>
      </c>
      <c r="F1021" t="s">
        <v>70</v>
      </c>
      <c r="G1021">
        <v>3.69</v>
      </c>
      <c r="H1021">
        <v>3.19</v>
      </c>
      <c r="I1021" s="2" t="str">
        <f>_xlfn.XLOOKUP(F1021,DeparaIMG!D:D,DeparaIMG!F:F,,0)</f>
        <v>BC0350.png</v>
      </c>
    </row>
    <row r="1022" spans="1:9" x14ac:dyDescent="0.25">
      <c r="A1022" s="2" t="s">
        <v>98</v>
      </c>
      <c r="B1022" s="2" t="s">
        <v>62</v>
      </c>
      <c r="C1022" t="s">
        <v>29</v>
      </c>
      <c r="D1022" t="s">
        <v>25</v>
      </c>
      <c r="E1022" s="2">
        <v>2</v>
      </c>
      <c r="F1022" t="s">
        <v>70</v>
      </c>
      <c r="G1022">
        <v>3.69</v>
      </c>
      <c r="H1022">
        <v>3.19</v>
      </c>
      <c r="I1022" s="2" t="str">
        <f>_xlfn.XLOOKUP(F1022,DeparaIMG!D:D,DeparaIMG!F:F,,0)</f>
        <v>BC0350.png</v>
      </c>
    </row>
    <row r="1023" spans="1:9" x14ac:dyDescent="0.25">
      <c r="A1023" s="2" t="s">
        <v>98</v>
      </c>
      <c r="B1023" s="2" t="s">
        <v>62</v>
      </c>
      <c r="C1023" t="s">
        <v>88</v>
      </c>
      <c r="D1023" t="s">
        <v>25</v>
      </c>
      <c r="E1023" s="2">
        <v>1</v>
      </c>
      <c r="F1023" t="s">
        <v>70</v>
      </c>
      <c r="G1023">
        <v>3.69</v>
      </c>
      <c r="H1023">
        <v>3.19</v>
      </c>
      <c r="I1023" s="2" t="str">
        <f>_xlfn.XLOOKUP(F1023,DeparaIMG!D:D,DeparaIMG!F:F,,0)</f>
        <v>BC0350.png</v>
      </c>
    </row>
    <row r="1024" spans="1:9" x14ac:dyDescent="0.25">
      <c r="A1024" s="2" t="s">
        <v>98</v>
      </c>
      <c r="B1024" s="2" t="s">
        <v>62</v>
      </c>
      <c r="C1024" t="s">
        <v>88</v>
      </c>
      <c r="D1024" t="s">
        <v>25</v>
      </c>
      <c r="E1024" s="2">
        <v>2</v>
      </c>
      <c r="F1024" t="s">
        <v>70</v>
      </c>
      <c r="G1024">
        <v>3.69</v>
      </c>
      <c r="H1024">
        <v>3.19</v>
      </c>
      <c r="I1024" s="2" t="str">
        <f>_xlfn.XLOOKUP(F1024,DeparaIMG!D:D,DeparaIMG!F:F,,0)</f>
        <v>BC0350.png</v>
      </c>
    </row>
    <row r="1025" spans="1:9" x14ac:dyDescent="0.25">
      <c r="A1025" s="2" t="s">
        <v>98</v>
      </c>
      <c r="B1025" s="2" t="s">
        <v>62</v>
      </c>
      <c r="C1025" t="s">
        <v>113</v>
      </c>
      <c r="D1025" t="s">
        <v>25</v>
      </c>
      <c r="E1025" s="2">
        <v>1</v>
      </c>
      <c r="F1025" t="s">
        <v>70</v>
      </c>
      <c r="G1025">
        <v>3.69</v>
      </c>
      <c r="H1025">
        <v>3.19</v>
      </c>
      <c r="I1025" s="2" t="str">
        <f>_xlfn.XLOOKUP(F1025,DeparaIMG!D:D,DeparaIMG!F:F,,0)</f>
        <v>BC0350.png</v>
      </c>
    </row>
    <row r="1026" spans="1:9" x14ac:dyDescent="0.25">
      <c r="A1026" s="2" t="s">
        <v>98</v>
      </c>
      <c r="B1026" s="2" t="s">
        <v>62</v>
      </c>
      <c r="C1026" t="s">
        <v>113</v>
      </c>
      <c r="D1026" t="s">
        <v>25</v>
      </c>
      <c r="E1026" s="2">
        <v>2</v>
      </c>
      <c r="F1026" t="s">
        <v>70</v>
      </c>
      <c r="G1026">
        <v>3.69</v>
      </c>
      <c r="H1026">
        <v>3.19</v>
      </c>
      <c r="I1026" s="2" t="str">
        <f>_xlfn.XLOOKUP(F1026,DeparaIMG!D:D,DeparaIMG!F:F,,0)</f>
        <v>BC0350.png</v>
      </c>
    </row>
    <row r="1027" spans="1:9" x14ac:dyDescent="0.25">
      <c r="A1027" s="2" t="s">
        <v>98</v>
      </c>
      <c r="B1027" s="2" t="s">
        <v>62</v>
      </c>
      <c r="C1027" t="s">
        <v>89</v>
      </c>
      <c r="D1027" t="s">
        <v>25</v>
      </c>
      <c r="E1027" s="2">
        <v>1</v>
      </c>
      <c r="F1027" t="s">
        <v>70</v>
      </c>
      <c r="G1027">
        <v>3.69</v>
      </c>
      <c r="H1027">
        <v>3.19</v>
      </c>
      <c r="I1027" s="2" t="str">
        <f>_xlfn.XLOOKUP(F1027,DeparaIMG!D:D,DeparaIMG!F:F,,0)</f>
        <v>BC0350.png</v>
      </c>
    </row>
    <row r="1028" spans="1:9" x14ac:dyDescent="0.25">
      <c r="A1028" s="2" t="s">
        <v>98</v>
      </c>
      <c r="B1028" s="2" t="s">
        <v>62</v>
      </c>
      <c r="C1028" t="s">
        <v>89</v>
      </c>
      <c r="D1028" t="s">
        <v>25</v>
      </c>
      <c r="E1028" s="2">
        <v>2</v>
      </c>
      <c r="F1028" t="s">
        <v>70</v>
      </c>
      <c r="G1028">
        <v>3.69</v>
      </c>
      <c r="H1028">
        <v>3.19</v>
      </c>
      <c r="I1028" s="2" t="str">
        <f>_xlfn.XLOOKUP(F1028,DeparaIMG!D:D,DeparaIMG!F:F,,0)</f>
        <v>BC0350.png</v>
      </c>
    </row>
    <row r="1029" spans="1:9" x14ac:dyDescent="0.25">
      <c r="A1029" s="2" t="s">
        <v>98</v>
      </c>
      <c r="B1029" s="2" t="s">
        <v>62</v>
      </c>
      <c r="C1029" t="s">
        <v>90</v>
      </c>
      <c r="D1029" t="s">
        <v>25</v>
      </c>
      <c r="E1029" s="2">
        <v>1</v>
      </c>
      <c r="F1029" t="s">
        <v>70</v>
      </c>
      <c r="G1029">
        <v>3.69</v>
      </c>
      <c r="H1029">
        <v>3.19</v>
      </c>
      <c r="I1029" s="2" t="str">
        <f>_xlfn.XLOOKUP(F1029,DeparaIMG!D:D,DeparaIMG!F:F,,0)</f>
        <v>BC0350.png</v>
      </c>
    </row>
    <row r="1030" spans="1:9" x14ac:dyDescent="0.25">
      <c r="A1030" s="2" t="s">
        <v>98</v>
      </c>
      <c r="B1030" s="2" t="s">
        <v>62</v>
      </c>
      <c r="C1030" t="s">
        <v>90</v>
      </c>
      <c r="D1030" t="s">
        <v>25</v>
      </c>
      <c r="E1030" s="2">
        <v>2</v>
      </c>
      <c r="F1030" t="s">
        <v>70</v>
      </c>
      <c r="G1030">
        <v>3.69</v>
      </c>
      <c r="H1030">
        <v>3.19</v>
      </c>
      <c r="I1030" s="2" t="str">
        <f>_xlfn.XLOOKUP(F1030,DeparaIMG!D:D,DeparaIMG!F:F,,0)</f>
        <v>BC0350.png</v>
      </c>
    </row>
    <row r="1031" spans="1:9" x14ac:dyDescent="0.25">
      <c r="A1031" s="2" t="s">
        <v>98</v>
      </c>
      <c r="B1031" s="2" t="s">
        <v>62</v>
      </c>
      <c r="C1031" t="s">
        <v>87</v>
      </c>
      <c r="D1031" t="s">
        <v>25</v>
      </c>
      <c r="E1031" s="2">
        <v>1</v>
      </c>
      <c r="F1031" t="s">
        <v>70</v>
      </c>
      <c r="G1031">
        <v>3.69</v>
      </c>
      <c r="H1031">
        <v>3.19</v>
      </c>
      <c r="I1031" s="2" t="str">
        <f>_xlfn.XLOOKUP(F1031,DeparaIMG!D:D,DeparaIMG!F:F,,0)</f>
        <v>BC0350.png</v>
      </c>
    </row>
    <row r="1032" spans="1:9" x14ac:dyDescent="0.25">
      <c r="A1032" s="2" t="s">
        <v>98</v>
      </c>
      <c r="B1032" s="2" t="s">
        <v>62</v>
      </c>
      <c r="C1032" t="s">
        <v>87</v>
      </c>
      <c r="D1032" t="s">
        <v>25</v>
      </c>
      <c r="E1032" s="2">
        <v>2</v>
      </c>
      <c r="F1032" t="s">
        <v>70</v>
      </c>
      <c r="G1032">
        <v>3.69</v>
      </c>
      <c r="H1032">
        <v>3.19</v>
      </c>
      <c r="I1032" s="2" t="str">
        <f>_xlfn.XLOOKUP(F1032,DeparaIMG!D:D,DeparaIMG!F:F,,0)</f>
        <v>BC0350.png</v>
      </c>
    </row>
    <row r="1033" spans="1:9" x14ac:dyDescent="0.25">
      <c r="A1033" s="2" t="s">
        <v>98</v>
      </c>
      <c r="B1033" s="2" t="s">
        <v>62</v>
      </c>
      <c r="C1033" t="s">
        <v>113</v>
      </c>
      <c r="D1033" t="s">
        <v>26</v>
      </c>
      <c r="E1033" s="2">
        <v>1</v>
      </c>
      <c r="F1033" t="s">
        <v>71</v>
      </c>
      <c r="G1033">
        <v>3.79</v>
      </c>
      <c r="H1033">
        <v>3.49</v>
      </c>
      <c r="I1033" s="2" t="str">
        <f>_xlfn.XLOOKUP(F1033,DeparaIMG!D:D,DeparaIMG!F:F,,0)</f>
        <v>BC350.png</v>
      </c>
    </row>
    <row r="1034" spans="1:9" x14ac:dyDescent="0.25">
      <c r="A1034" s="2" t="s">
        <v>98</v>
      </c>
      <c r="B1034" s="2" t="s">
        <v>62</v>
      </c>
      <c r="C1034" t="s">
        <v>29</v>
      </c>
      <c r="D1034" t="s">
        <v>26</v>
      </c>
      <c r="E1034" s="2">
        <v>1</v>
      </c>
      <c r="F1034" t="s">
        <v>71</v>
      </c>
      <c r="G1034">
        <v>3.79</v>
      </c>
      <c r="H1034">
        <v>3.29</v>
      </c>
      <c r="I1034" s="2" t="str">
        <f>_xlfn.XLOOKUP(F1034,DeparaIMG!D:D,DeparaIMG!F:F,,0)</f>
        <v>BC350.png</v>
      </c>
    </row>
    <row r="1035" spans="1:9" x14ac:dyDescent="0.25">
      <c r="A1035" s="2" t="s">
        <v>98</v>
      </c>
      <c r="B1035" s="2" t="s">
        <v>62</v>
      </c>
      <c r="C1035" t="s">
        <v>87</v>
      </c>
      <c r="D1035" t="s">
        <v>25</v>
      </c>
      <c r="E1035" s="2">
        <v>2</v>
      </c>
      <c r="F1035" t="s">
        <v>64</v>
      </c>
      <c r="G1035">
        <v>3.89</v>
      </c>
      <c r="H1035">
        <v>3.69</v>
      </c>
      <c r="I1035" s="2" t="str">
        <f>_xlfn.XLOOKUP(F1035,DeparaIMG!D:D,DeparaIMG!F:F,,0)</f>
        <v>SKZERO350.png</v>
      </c>
    </row>
    <row r="1036" spans="1:9" x14ac:dyDescent="0.25">
      <c r="A1036" s="2" t="s">
        <v>98</v>
      </c>
      <c r="B1036" s="2" t="s">
        <v>62</v>
      </c>
      <c r="C1036" t="s">
        <v>88</v>
      </c>
      <c r="D1036" t="s">
        <v>25</v>
      </c>
      <c r="E1036" s="2">
        <v>2</v>
      </c>
      <c r="F1036" t="s">
        <v>64</v>
      </c>
      <c r="G1036">
        <v>3.89</v>
      </c>
      <c r="H1036">
        <v>3.69</v>
      </c>
      <c r="I1036" s="2" t="str">
        <f>_xlfn.XLOOKUP(F1036,DeparaIMG!D:D,DeparaIMG!F:F,,0)</f>
        <v>SKZERO350.png</v>
      </c>
    </row>
    <row r="1037" spans="1:9" x14ac:dyDescent="0.25">
      <c r="A1037" s="2" t="s">
        <v>98</v>
      </c>
      <c r="B1037" s="2" t="s">
        <v>62</v>
      </c>
      <c r="C1037" t="s">
        <v>113</v>
      </c>
      <c r="D1037" t="s">
        <v>25</v>
      </c>
      <c r="E1037" s="2">
        <v>2</v>
      </c>
      <c r="F1037" t="s">
        <v>64</v>
      </c>
      <c r="G1037">
        <v>3.89</v>
      </c>
      <c r="H1037">
        <v>3.69</v>
      </c>
      <c r="I1037" s="2" t="str">
        <f>_xlfn.XLOOKUP(F1037,DeparaIMG!D:D,DeparaIMG!F:F,,0)</f>
        <v>SKZERO350.png</v>
      </c>
    </row>
    <row r="1038" spans="1:9" x14ac:dyDescent="0.25">
      <c r="A1038" s="2" t="s">
        <v>98</v>
      </c>
      <c r="B1038" s="2" t="s">
        <v>62</v>
      </c>
      <c r="C1038" t="s">
        <v>89</v>
      </c>
      <c r="D1038" t="s">
        <v>25</v>
      </c>
      <c r="E1038" s="2">
        <v>2</v>
      </c>
      <c r="F1038" t="s">
        <v>64</v>
      </c>
      <c r="G1038">
        <v>3.89</v>
      </c>
      <c r="H1038">
        <v>3.79</v>
      </c>
      <c r="I1038" s="2" t="str">
        <f>_xlfn.XLOOKUP(F1038,DeparaIMG!D:D,DeparaIMG!F:F,,0)</f>
        <v>SKZERO350.png</v>
      </c>
    </row>
    <row r="1039" spans="1:9" x14ac:dyDescent="0.25">
      <c r="A1039" s="2" t="s">
        <v>98</v>
      </c>
      <c r="B1039" s="2" t="s">
        <v>62</v>
      </c>
      <c r="C1039" t="s">
        <v>90</v>
      </c>
      <c r="D1039" t="s">
        <v>25</v>
      </c>
      <c r="E1039" s="2">
        <v>2</v>
      </c>
      <c r="F1039" t="s">
        <v>64</v>
      </c>
      <c r="G1039">
        <v>3.89</v>
      </c>
      <c r="H1039">
        <v>3.69</v>
      </c>
      <c r="I1039" s="2" t="str">
        <f>_xlfn.XLOOKUP(F1039,DeparaIMG!D:D,DeparaIMG!F:F,,0)</f>
        <v>SKZERO350.png</v>
      </c>
    </row>
    <row r="1040" spans="1:9" x14ac:dyDescent="0.25">
      <c r="A1040" s="2" t="s">
        <v>98</v>
      </c>
      <c r="B1040" s="2" t="s">
        <v>62</v>
      </c>
      <c r="C1040" t="s">
        <v>112</v>
      </c>
      <c r="D1040" t="s">
        <v>25</v>
      </c>
      <c r="E1040" s="2">
        <v>2</v>
      </c>
      <c r="F1040" t="s">
        <v>64</v>
      </c>
      <c r="G1040">
        <v>3.89</v>
      </c>
      <c r="H1040">
        <v>3.69</v>
      </c>
      <c r="I1040" s="2" t="str">
        <f>_xlfn.XLOOKUP(F1040,DeparaIMG!D:D,DeparaIMG!F:F,,0)</f>
        <v>SKZERO350.png</v>
      </c>
    </row>
    <row r="1041" spans="1:9" x14ac:dyDescent="0.25">
      <c r="A1041" s="2" t="s">
        <v>98</v>
      </c>
      <c r="B1041" s="2" t="s">
        <v>62</v>
      </c>
      <c r="C1041" t="s">
        <v>29</v>
      </c>
      <c r="D1041" t="s">
        <v>25</v>
      </c>
      <c r="E1041" s="2">
        <v>2</v>
      </c>
      <c r="F1041" t="s">
        <v>64</v>
      </c>
      <c r="G1041">
        <v>3.89</v>
      </c>
      <c r="H1041">
        <v>3.69</v>
      </c>
      <c r="I1041" s="2" t="str">
        <f>_xlfn.XLOOKUP(F1041,DeparaIMG!D:D,DeparaIMG!F:F,,0)</f>
        <v>SKZERO350.png</v>
      </c>
    </row>
    <row r="1042" spans="1:9" x14ac:dyDescent="0.25">
      <c r="A1042" s="2" t="s">
        <v>98</v>
      </c>
      <c r="B1042" s="2" t="s">
        <v>62</v>
      </c>
      <c r="C1042" t="s">
        <v>88</v>
      </c>
      <c r="D1042" t="s">
        <v>25</v>
      </c>
      <c r="E1042" s="2">
        <v>2</v>
      </c>
      <c r="F1042" t="s">
        <v>72</v>
      </c>
      <c r="G1042">
        <v>3.89</v>
      </c>
      <c r="H1042">
        <v>3.59</v>
      </c>
      <c r="I1042" s="2" t="str">
        <f>_xlfn.XLOOKUP(F1042,DeparaIMG!D:D,DeparaIMG!F:F,,0)</f>
        <v>ORI269.png</v>
      </c>
    </row>
    <row r="1043" spans="1:9" x14ac:dyDescent="0.25">
      <c r="A1043" s="2" t="s">
        <v>98</v>
      </c>
      <c r="B1043" s="2" t="s">
        <v>62</v>
      </c>
      <c r="C1043" t="s">
        <v>88</v>
      </c>
      <c r="D1043" t="s">
        <v>26</v>
      </c>
      <c r="E1043" s="2">
        <v>2</v>
      </c>
      <c r="F1043" t="s">
        <v>72</v>
      </c>
      <c r="G1043">
        <v>3.89</v>
      </c>
      <c r="H1043">
        <v>3.59</v>
      </c>
      <c r="I1043" s="2" t="str">
        <f>_xlfn.XLOOKUP(F1043,DeparaIMG!D:D,DeparaIMG!F:F,,0)</f>
        <v>ORI269.png</v>
      </c>
    </row>
    <row r="1044" spans="1:9" x14ac:dyDescent="0.25">
      <c r="A1044" s="2" t="s">
        <v>98</v>
      </c>
      <c r="B1044" s="2" t="s">
        <v>62</v>
      </c>
      <c r="C1044" t="s">
        <v>89</v>
      </c>
      <c r="D1044" t="s">
        <v>25</v>
      </c>
      <c r="E1044" s="2">
        <v>2</v>
      </c>
      <c r="F1044" t="s">
        <v>72</v>
      </c>
      <c r="G1044">
        <v>3.89</v>
      </c>
      <c r="H1044">
        <v>3.59</v>
      </c>
      <c r="I1044" s="2" t="str">
        <f>_xlfn.XLOOKUP(F1044,DeparaIMG!D:D,DeparaIMG!F:F,,0)</f>
        <v>ORI269.png</v>
      </c>
    </row>
    <row r="1045" spans="1:9" x14ac:dyDescent="0.25">
      <c r="A1045" s="2" t="s">
        <v>98</v>
      </c>
      <c r="B1045" s="2" t="s">
        <v>62</v>
      </c>
      <c r="C1045" t="s">
        <v>90</v>
      </c>
      <c r="D1045" t="s">
        <v>25</v>
      </c>
      <c r="E1045" s="2">
        <v>2</v>
      </c>
      <c r="F1045" t="s">
        <v>72</v>
      </c>
      <c r="G1045">
        <v>3.89</v>
      </c>
      <c r="H1045">
        <v>3.59</v>
      </c>
      <c r="I1045" s="2" t="str">
        <f>_xlfn.XLOOKUP(F1045,DeparaIMG!D:D,DeparaIMG!F:F,,0)</f>
        <v>ORI269.png</v>
      </c>
    </row>
    <row r="1046" spans="1:9" x14ac:dyDescent="0.25">
      <c r="A1046" s="2" t="s">
        <v>98</v>
      </c>
      <c r="B1046" s="2" t="s">
        <v>62</v>
      </c>
      <c r="C1046" t="s">
        <v>89</v>
      </c>
      <c r="D1046" t="s">
        <v>26</v>
      </c>
      <c r="E1046" s="2">
        <v>2</v>
      </c>
      <c r="F1046" t="s">
        <v>72</v>
      </c>
      <c r="G1046">
        <v>3.89</v>
      </c>
      <c r="H1046">
        <v>3.59</v>
      </c>
      <c r="I1046" s="2" t="str">
        <f>_xlfn.XLOOKUP(F1046,DeparaIMG!D:D,DeparaIMG!F:F,,0)</f>
        <v>ORI269.png</v>
      </c>
    </row>
    <row r="1047" spans="1:9" x14ac:dyDescent="0.25">
      <c r="A1047" s="2" t="s">
        <v>98</v>
      </c>
      <c r="B1047" s="2" t="s">
        <v>62</v>
      </c>
      <c r="C1047" t="s">
        <v>90</v>
      </c>
      <c r="D1047" t="s">
        <v>26</v>
      </c>
      <c r="E1047" s="2">
        <v>2</v>
      </c>
      <c r="F1047" t="s">
        <v>72</v>
      </c>
      <c r="G1047">
        <v>3.89</v>
      </c>
      <c r="H1047">
        <v>3.59</v>
      </c>
      <c r="I1047" s="2" t="str">
        <f>_xlfn.XLOOKUP(F1047,DeparaIMG!D:D,DeparaIMG!F:F,,0)</f>
        <v>ORI269.png</v>
      </c>
    </row>
    <row r="1048" spans="1:9" x14ac:dyDescent="0.25">
      <c r="A1048" s="2" t="s">
        <v>98</v>
      </c>
      <c r="B1048" s="2" t="s">
        <v>62</v>
      </c>
      <c r="C1048" t="s">
        <v>112</v>
      </c>
      <c r="D1048" t="s">
        <v>25</v>
      </c>
      <c r="E1048" s="2">
        <v>2</v>
      </c>
      <c r="F1048" t="s">
        <v>72</v>
      </c>
      <c r="G1048">
        <v>3.89</v>
      </c>
      <c r="H1048">
        <v>3.59</v>
      </c>
      <c r="I1048" s="2" t="str">
        <f>_xlfn.XLOOKUP(F1048,DeparaIMG!D:D,DeparaIMG!F:F,,0)</f>
        <v>ORI269.png</v>
      </c>
    </row>
    <row r="1049" spans="1:9" x14ac:dyDescent="0.25">
      <c r="A1049" s="2" t="s">
        <v>98</v>
      </c>
      <c r="B1049" s="2" t="s">
        <v>62</v>
      </c>
      <c r="C1049" t="s">
        <v>29</v>
      </c>
      <c r="D1049" t="s">
        <v>25</v>
      </c>
      <c r="E1049" s="2">
        <v>2</v>
      </c>
      <c r="F1049" t="s">
        <v>72</v>
      </c>
      <c r="G1049">
        <v>3.89</v>
      </c>
      <c r="H1049">
        <v>3.59</v>
      </c>
      <c r="I1049" s="2" t="str">
        <f>_xlfn.XLOOKUP(F1049,DeparaIMG!D:D,DeparaIMG!F:F,,0)</f>
        <v>ORI269.png</v>
      </c>
    </row>
    <row r="1050" spans="1:9" x14ac:dyDescent="0.25">
      <c r="A1050" s="2" t="s">
        <v>98</v>
      </c>
      <c r="B1050" s="2" t="s">
        <v>62</v>
      </c>
      <c r="C1050" t="s">
        <v>112</v>
      </c>
      <c r="D1050" t="s">
        <v>26</v>
      </c>
      <c r="E1050" s="2">
        <v>2</v>
      </c>
      <c r="F1050" t="s">
        <v>72</v>
      </c>
      <c r="G1050">
        <v>3.89</v>
      </c>
      <c r="H1050">
        <v>3.59</v>
      </c>
      <c r="I1050" s="2" t="str">
        <f>_xlfn.XLOOKUP(F1050,DeparaIMG!D:D,DeparaIMG!F:F,,0)</f>
        <v>ORI269.png</v>
      </c>
    </row>
    <row r="1051" spans="1:9" x14ac:dyDescent="0.25">
      <c r="A1051" s="2" t="s">
        <v>98</v>
      </c>
      <c r="B1051" s="2" t="s">
        <v>62</v>
      </c>
      <c r="C1051" t="s">
        <v>29</v>
      </c>
      <c r="D1051" t="s">
        <v>26</v>
      </c>
      <c r="E1051" s="2">
        <v>2</v>
      </c>
      <c r="F1051" t="s">
        <v>72</v>
      </c>
      <c r="G1051">
        <v>3.89</v>
      </c>
      <c r="H1051">
        <v>3.59</v>
      </c>
      <c r="I1051" s="2" t="str">
        <f>_xlfn.XLOOKUP(F1051,DeparaIMG!D:D,DeparaIMG!F:F,,0)</f>
        <v>ORI269.png</v>
      </c>
    </row>
    <row r="1052" spans="1:9" x14ac:dyDescent="0.25">
      <c r="A1052" s="2" t="s">
        <v>98</v>
      </c>
      <c r="B1052" s="2" t="s">
        <v>62</v>
      </c>
      <c r="C1052" t="s">
        <v>87</v>
      </c>
      <c r="D1052" t="s">
        <v>25</v>
      </c>
      <c r="E1052" s="2">
        <v>2</v>
      </c>
      <c r="F1052" t="s">
        <v>72</v>
      </c>
      <c r="G1052">
        <v>3.89</v>
      </c>
      <c r="H1052">
        <v>3.59</v>
      </c>
      <c r="I1052" s="2" t="str">
        <f>_xlfn.XLOOKUP(F1052,DeparaIMG!D:D,DeparaIMG!F:F,,0)</f>
        <v>ORI269.png</v>
      </c>
    </row>
    <row r="1053" spans="1:9" x14ac:dyDescent="0.25">
      <c r="A1053" s="2" t="s">
        <v>98</v>
      </c>
      <c r="B1053" s="2" t="s">
        <v>62</v>
      </c>
      <c r="C1053" t="s">
        <v>87</v>
      </c>
      <c r="D1053" t="s">
        <v>26</v>
      </c>
      <c r="E1053" s="2">
        <v>2</v>
      </c>
      <c r="F1053" t="s">
        <v>72</v>
      </c>
      <c r="G1053">
        <v>3.89</v>
      </c>
      <c r="H1053">
        <v>3.59</v>
      </c>
      <c r="I1053" s="2" t="str">
        <f>_xlfn.XLOOKUP(F1053,DeparaIMG!D:D,DeparaIMG!F:F,,0)</f>
        <v>ORI269.png</v>
      </c>
    </row>
    <row r="1054" spans="1:9" x14ac:dyDescent="0.25">
      <c r="A1054" s="2" t="s">
        <v>98</v>
      </c>
      <c r="B1054" s="2" t="s">
        <v>62</v>
      </c>
      <c r="C1054" t="s">
        <v>113</v>
      </c>
      <c r="D1054" t="s">
        <v>25</v>
      </c>
      <c r="E1054" s="2">
        <v>2</v>
      </c>
      <c r="F1054" t="s">
        <v>72</v>
      </c>
      <c r="G1054">
        <v>3.89</v>
      </c>
      <c r="H1054">
        <v>3.59</v>
      </c>
      <c r="I1054" s="2" t="str">
        <f>_xlfn.XLOOKUP(F1054,DeparaIMG!D:D,DeparaIMG!F:F,,0)</f>
        <v>ORI269.png</v>
      </c>
    </row>
    <row r="1055" spans="1:9" x14ac:dyDescent="0.25">
      <c r="A1055" s="2" t="s">
        <v>98</v>
      </c>
      <c r="B1055" s="2" t="s">
        <v>62</v>
      </c>
      <c r="C1055" t="s">
        <v>113</v>
      </c>
      <c r="D1055" t="s">
        <v>26</v>
      </c>
      <c r="E1055" s="2">
        <v>2</v>
      </c>
      <c r="F1055" t="s">
        <v>72</v>
      </c>
      <c r="G1055">
        <v>3.89</v>
      </c>
      <c r="H1055">
        <v>3.59</v>
      </c>
      <c r="I1055" s="2" t="str">
        <f>_xlfn.XLOOKUP(F1055,DeparaIMG!D:D,DeparaIMG!F:F,,0)</f>
        <v>ORI269.png</v>
      </c>
    </row>
    <row r="1056" spans="1:9" x14ac:dyDescent="0.25">
      <c r="A1056" s="2" t="s">
        <v>98</v>
      </c>
      <c r="B1056" s="2" t="s">
        <v>62</v>
      </c>
      <c r="C1056" t="s">
        <v>112</v>
      </c>
      <c r="D1056" t="s">
        <v>26</v>
      </c>
      <c r="E1056" s="2">
        <v>2</v>
      </c>
      <c r="F1056" t="s">
        <v>73</v>
      </c>
      <c r="G1056">
        <v>3.99</v>
      </c>
      <c r="H1056">
        <v>3.69</v>
      </c>
      <c r="I1056" s="2" t="str">
        <f>_xlfn.XLOOKUP(F1056,DeparaIMG!D:D,DeparaIMG!F:F,,0)</f>
        <v>AP350.png</v>
      </c>
    </row>
    <row r="1057" spans="1:9" x14ac:dyDescent="0.25">
      <c r="A1057" s="2" t="s">
        <v>98</v>
      </c>
      <c r="B1057" s="2" t="s">
        <v>62</v>
      </c>
      <c r="C1057" t="s">
        <v>29</v>
      </c>
      <c r="D1057" t="s">
        <v>26</v>
      </c>
      <c r="E1057" s="2">
        <v>2</v>
      </c>
      <c r="F1057" t="s">
        <v>73</v>
      </c>
      <c r="G1057">
        <v>3.99</v>
      </c>
      <c r="H1057">
        <v>3.49</v>
      </c>
      <c r="I1057" s="2" t="str">
        <f>_xlfn.XLOOKUP(F1057,DeparaIMG!D:D,DeparaIMG!F:F,,0)</f>
        <v>AP350.png</v>
      </c>
    </row>
    <row r="1058" spans="1:9" x14ac:dyDescent="0.25">
      <c r="A1058" s="2" t="s">
        <v>98</v>
      </c>
      <c r="B1058" s="2" t="s">
        <v>62</v>
      </c>
      <c r="C1058" t="s">
        <v>112</v>
      </c>
      <c r="D1058" t="s">
        <v>26</v>
      </c>
      <c r="E1058" s="2">
        <v>1</v>
      </c>
      <c r="F1058" t="s">
        <v>70</v>
      </c>
      <c r="G1058">
        <v>3.99</v>
      </c>
      <c r="H1058">
        <v>3.49</v>
      </c>
      <c r="I1058" s="2" t="str">
        <f>_xlfn.XLOOKUP(F1058,DeparaIMG!D:D,DeparaIMG!F:F,,0)</f>
        <v>BC0350.png</v>
      </c>
    </row>
    <row r="1059" spans="1:9" x14ac:dyDescent="0.25">
      <c r="A1059" s="2" t="s">
        <v>98</v>
      </c>
      <c r="B1059" s="2" t="s">
        <v>62</v>
      </c>
      <c r="C1059" t="s">
        <v>112</v>
      </c>
      <c r="D1059" t="s">
        <v>26</v>
      </c>
      <c r="E1059" s="2">
        <v>2</v>
      </c>
      <c r="F1059" t="s">
        <v>70</v>
      </c>
      <c r="G1059">
        <v>3.99</v>
      </c>
      <c r="H1059">
        <v>3.49</v>
      </c>
      <c r="I1059" s="2" t="str">
        <f>_xlfn.XLOOKUP(F1059,DeparaIMG!D:D,DeparaIMG!F:F,,0)</f>
        <v>BC0350.png</v>
      </c>
    </row>
    <row r="1060" spans="1:9" x14ac:dyDescent="0.25">
      <c r="A1060" s="2" t="s">
        <v>98</v>
      </c>
      <c r="B1060" s="2" t="s">
        <v>62</v>
      </c>
      <c r="C1060" t="s">
        <v>87</v>
      </c>
      <c r="D1060" t="s">
        <v>26</v>
      </c>
      <c r="E1060" s="2">
        <v>1</v>
      </c>
      <c r="F1060" t="s">
        <v>70</v>
      </c>
      <c r="G1060">
        <v>3.99</v>
      </c>
      <c r="H1060">
        <v>3.49</v>
      </c>
      <c r="I1060" s="2" t="str">
        <f>_xlfn.XLOOKUP(F1060,DeparaIMG!D:D,DeparaIMG!F:F,,0)</f>
        <v>BC0350.png</v>
      </c>
    </row>
    <row r="1061" spans="1:9" x14ac:dyDescent="0.25">
      <c r="A1061" s="2" t="s">
        <v>98</v>
      </c>
      <c r="B1061" s="2" t="s">
        <v>62</v>
      </c>
      <c r="C1061" t="s">
        <v>87</v>
      </c>
      <c r="D1061" t="s">
        <v>26</v>
      </c>
      <c r="E1061" s="2">
        <v>2</v>
      </c>
      <c r="F1061" t="s">
        <v>70</v>
      </c>
      <c r="G1061">
        <v>3.99</v>
      </c>
      <c r="H1061">
        <v>3.49</v>
      </c>
      <c r="I1061" s="2" t="str">
        <f>_xlfn.XLOOKUP(F1061,DeparaIMG!D:D,DeparaIMG!F:F,,0)</f>
        <v>BC0350.png</v>
      </c>
    </row>
    <row r="1062" spans="1:9" x14ac:dyDescent="0.25">
      <c r="A1062" s="2" t="s">
        <v>98</v>
      </c>
      <c r="B1062" s="2" t="s">
        <v>62</v>
      </c>
      <c r="C1062" t="s">
        <v>29</v>
      </c>
      <c r="D1062" t="s">
        <v>26</v>
      </c>
      <c r="E1062" s="2">
        <v>1</v>
      </c>
      <c r="F1062" t="s">
        <v>70</v>
      </c>
      <c r="G1062">
        <v>3.99</v>
      </c>
      <c r="H1062">
        <v>3.49</v>
      </c>
      <c r="I1062" s="2" t="str">
        <f>_xlfn.XLOOKUP(F1062,DeparaIMG!D:D,DeparaIMG!F:F,,0)</f>
        <v>BC0350.png</v>
      </c>
    </row>
    <row r="1063" spans="1:9" x14ac:dyDescent="0.25">
      <c r="A1063" s="2" t="s">
        <v>98</v>
      </c>
      <c r="B1063" s="2" t="s">
        <v>62</v>
      </c>
      <c r="C1063" t="s">
        <v>29</v>
      </c>
      <c r="D1063" t="s">
        <v>26</v>
      </c>
      <c r="E1063" s="2">
        <v>2</v>
      </c>
      <c r="F1063" t="s">
        <v>70</v>
      </c>
      <c r="G1063">
        <v>3.99</v>
      </c>
      <c r="H1063">
        <v>3.49</v>
      </c>
      <c r="I1063" s="2" t="str">
        <f>_xlfn.XLOOKUP(F1063,DeparaIMG!D:D,DeparaIMG!F:F,,0)</f>
        <v>BC0350.png</v>
      </c>
    </row>
    <row r="1064" spans="1:9" x14ac:dyDescent="0.25">
      <c r="A1064" s="2" t="s">
        <v>98</v>
      </c>
      <c r="B1064" s="2" t="s">
        <v>62</v>
      </c>
      <c r="C1064" t="s">
        <v>88</v>
      </c>
      <c r="D1064" t="s">
        <v>26</v>
      </c>
      <c r="E1064" s="2">
        <v>1</v>
      </c>
      <c r="F1064" t="s">
        <v>70</v>
      </c>
      <c r="G1064">
        <v>3.99</v>
      </c>
      <c r="H1064">
        <v>3.49</v>
      </c>
      <c r="I1064" s="2" t="str">
        <f>_xlfn.XLOOKUP(F1064,DeparaIMG!D:D,DeparaIMG!F:F,,0)</f>
        <v>BC0350.png</v>
      </c>
    </row>
    <row r="1065" spans="1:9" x14ac:dyDescent="0.25">
      <c r="A1065" s="2" t="s">
        <v>98</v>
      </c>
      <c r="B1065" s="2" t="s">
        <v>62</v>
      </c>
      <c r="C1065" t="s">
        <v>88</v>
      </c>
      <c r="D1065" t="s">
        <v>26</v>
      </c>
      <c r="E1065" s="2">
        <v>2</v>
      </c>
      <c r="F1065" t="s">
        <v>70</v>
      </c>
      <c r="G1065">
        <v>3.99</v>
      </c>
      <c r="H1065">
        <v>3.49</v>
      </c>
      <c r="I1065" s="2" t="str">
        <f>_xlfn.XLOOKUP(F1065,DeparaIMG!D:D,DeparaIMG!F:F,,0)</f>
        <v>BC0350.png</v>
      </c>
    </row>
    <row r="1066" spans="1:9" x14ac:dyDescent="0.25">
      <c r="A1066" s="2" t="s">
        <v>98</v>
      </c>
      <c r="B1066" s="2" t="s">
        <v>62</v>
      </c>
      <c r="C1066" t="s">
        <v>113</v>
      </c>
      <c r="D1066" t="s">
        <v>26</v>
      </c>
      <c r="E1066" s="2">
        <v>1</v>
      </c>
      <c r="F1066" t="s">
        <v>70</v>
      </c>
      <c r="G1066">
        <v>3.99</v>
      </c>
      <c r="H1066">
        <v>3.49</v>
      </c>
      <c r="I1066" s="2" t="str">
        <f>_xlfn.XLOOKUP(F1066,DeparaIMG!D:D,DeparaIMG!F:F,,0)</f>
        <v>BC0350.png</v>
      </c>
    </row>
    <row r="1067" spans="1:9" x14ac:dyDescent="0.25">
      <c r="A1067" s="2" t="s">
        <v>98</v>
      </c>
      <c r="B1067" s="2" t="s">
        <v>62</v>
      </c>
      <c r="C1067" t="s">
        <v>113</v>
      </c>
      <c r="D1067" t="s">
        <v>26</v>
      </c>
      <c r="E1067" s="2">
        <v>2</v>
      </c>
      <c r="F1067" t="s">
        <v>70</v>
      </c>
      <c r="G1067">
        <v>3.99</v>
      </c>
      <c r="H1067">
        <v>3.49</v>
      </c>
      <c r="I1067" s="2" t="str">
        <f>_xlfn.XLOOKUP(F1067,DeparaIMG!D:D,DeparaIMG!F:F,,0)</f>
        <v>BC0350.png</v>
      </c>
    </row>
    <row r="1068" spans="1:9" x14ac:dyDescent="0.25">
      <c r="A1068" s="2" t="s">
        <v>98</v>
      </c>
      <c r="B1068" s="2" t="s">
        <v>62</v>
      </c>
      <c r="C1068" t="s">
        <v>90</v>
      </c>
      <c r="D1068" t="s">
        <v>26</v>
      </c>
      <c r="E1068" s="2">
        <v>1</v>
      </c>
      <c r="F1068" t="s">
        <v>70</v>
      </c>
      <c r="G1068">
        <v>3.99</v>
      </c>
      <c r="H1068">
        <v>3.49</v>
      </c>
      <c r="I1068" s="2" t="str">
        <f>_xlfn.XLOOKUP(F1068,DeparaIMG!D:D,DeparaIMG!F:F,,0)</f>
        <v>BC0350.png</v>
      </c>
    </row>
    <row r="1069" spans="1:9" x14ac:dyDescent="0.25">
      <c r="A1069" s="2" t="s">
        <v>98</v>
      </c>
      <c r="B1069" s="2" t="s">
        <v>62</v>
      </c>
      <c r="C1069" t="s">
        <v>90</v>
      </c>
      <c r="D1069" t="s">
        <v>26</v>
      </c>
      <c r="E1069" s="2">
        <v>2</v>
      </c>
      <c r="F1069" t="s">
        <v>70</v>
      </c>
      <c r="G1069">
        <v>3.99</v>
      </c>
      <c r="H1069">
        <v>3.49</v>
      </c>
      <c r="I1069" s="2" t="str">
        <f>_xlfn.XLOOKUP(F1069,DeparaIMG!D:D,DeparaIMG!F:F,,0)</f>
        <v>BC0350.png</v>
      </c>
    </row>
    <row r="1070" spans="1:9" x14ac:dyDescent="0.25">
      <c r="A1070" s="2" t="s">
        <v>98</v>
      </c>
      <c r="B1070" s="2" t="s">
        <v>62</v>
      </c>
      <c r="C1070" t="s">
        <v>89</v>
      </c>
      <c r="D1070" t="s">
        <v>26</v>
      </c>
      <c r="E1070" s="2">
        <v>1</v>
      </c>
      <c r="F1070" t="s">
        <v>70</v>
      </c>
      <c r="G1070">
        <v>3.99</v>
      </c>
      <c r="H1070">
        <v>3.49</v>
      </c>
      <c r="I1070" s="2" t="str">
        <f>_xlfn.XLOOKUP(F1070,DeparaIMG!D:D,DeparaIMG!F:F,,0)</f>
        <v>BC0350.png</v>
      </c>
    </row>
    <row r="1071" spans="1:9" x14ac:dyDescent="0.25">
      <c r="A1071" s="2" t="s">
        <v>98</v>
      </c>
      <c r="B1071" s="2" t="s">
        <v>62</v>
      </c>
      <c r="C1071" t="s">
        <v>89</v>
      </c>
      <c r="D1071" t="s">
        <v>26</v>
      </c>
      <c r="E1071" s="2">
        <v>2</v>
      </c>
      <c r="F1071" t="s">
        <v>70</v>
      </c>
      <c r="G1071">
        <v>3.99</v>
      </c>
      <c r="H1071">
        <v>3.49</v>
      </c>
      <c r="I1071" s="2" t="str">
        <f>_xlfn.XLOOKUP(F1071,DeparaIMG!D:D,DeparaIMG!F:F,,0)</f>
        <v>BC0350.png</v>
      </c>
    </row>
    <row r="1072" spans="1:9" x14ac:dyDescent="0.25">
      <c r="A1072" s="2" t="s">
        <v>98</v>
      </c>
      <c r="B1072" s="2" t="s">
        <v>62</v>
      </c>
      <c r="C1072" t="s">
        <v>113</v>
      </c>
      <c r="D1072" t="s">
        <v>25</v>
      </c>
      <c r="E1072" s="2">
        <v>1</v>
      </c>
      <c r="F1072" t="s">
        <v>74</v>
      </c>
      <c r="G1072">
        <v>4.1900000000000004</v>
      </c>
      <c r="H1072">
        <v>3.19</v>
      </c>
      <c r="I1072" s="2" t="str">
        <f>_xlfn.XLOOKUP(F1072,DeparaIMG!D:D,DeparaIMG!F:F,,0)</f>
        <v>BUDZERO350.png</v>
      </c>
    </row>
    <row r="1073" spans="1:9" x14ac:dyDescent="0.25">
      <c r="A1073" s="2" t="s">
        <v>98</v>
      </c>
      <c r="B1073" s="2" t="s">
        <v>62</v>
      </c>
      <c r="C1073" t="s">
        <v>113</v>
      </c>
      <c r="D1073" t="s">
        <v>26</v>
      </c>
      <c r="E1073" s="2">
        <v>1</v>
      </c>
      <c r="F1073" t="s">
        <v>74</v>
      </c>
      <c r="G1073">
        <v>4.1900000000000004</v>
      </c>
      <c r="H1073">
        <v>3.19</v>
      </c>
      <c r="I1073" s="2" t="str">
        <f>_xlfn.XLOOKUP(F1073,DeparaIMG!D:D,DeparaIMG!F:F,,0)</f>
        <v>BUDZERO350.png</v>
      </c>
    </row>
    <row r="1074" spans="1:9" x14ac:dyDescent="0.25">
      <c r="A1074" s="2" t="s">
        <v>98</v>
      </c>
      <c r="B1074" s="2" t="s">
        <v>62</v>
      </c>
      <c r="C1074" t="s">
        <v>87</v>
      </c>
      <c r="D1074" t="s">
        <v>26</v>
      </c>
      <c r="E1074" s="2">
        <v>2</v>
      </c>
      <c r="F1074" t="s">
        <v>64</v>
      </c>
      <c r="G1074">
        <v>4.1900000000000004</v>
      </c>
      <c r="H1074">
        <v>3.99</v>
      </c>
      <c r="I1074" s="2" t="str">
        <f>_xlfn.XLOOKUP(F1074,DeparaIMG!D:D,DeparaIMG!F:F,,0)</f>
        <v>SKZERO350.png</v>
      </c>
    </row>
    <row r="1075" spans="1:9" x14ac:dyDescent="0.25">
      <c r="A1075" s="2" t="s">
        <v>98</v>
      </c>
      <c r="B1075" s="2" t="s">
        <v>62</v>
      </c>
      <c r="C1075" t="s">
        <v>88</v>
      </c>
      <c r="D1075" t="s">
        <v>26</v>
      </c>
      <c r="E1075" s="2">
        <v>2</v>
      </c>
      <c r="F1075" t="s">
        <v>64</v>
      </c>
      <c r="G1075">
        <v>4.1900000000000004</v>
      </c>
      <c r="H1075">
        <v>3.99</v>
      </c>
      <c r="I1075" s="2" t="str">
        <f>_xlfn.XLOOKUP(F1075,DeparaIMG!D:D,DeparaIMG!F:F,,0)</f>
        <v>SKZERO350.png</v>
      </c>
    </row>
    <row r="1076" spans="1:9" x14ac:dyDescent="0.25">
      <c r="A1076" s="2" t="s">
        <v>98</v>
      </c>
      <c r="B1076" s="2" t="s">
        <v>62</v>
      </c>
      <c r="C1076" t="s">
        <v>113</v>
      </c>
      <c r="D1076" t="s">
        <v>26</v>
      </c>
      <c r="E1076" s="2">
        <v>2</v>
      </c>
      <c r="F1076" t="s">
        <v>64</v>
      </c>
      <c r="G1076">
        <v>4.1900000000000004</v>
      </c>
      <c r="H1076">
        <v>3.99</v>
      </c>
      <c r="I1076" s="2" t="str">
        <f>_xlfn.XLOOKUP(F1076,DeparaIMG!D:D,DeparaIMG!F:F,,0)</f>
        <v>SKZERO350.png</v>
      </c>
    </row>
    <row r="1077" spans="1:9" x14ac:dyDescent="0.25">
      <c r="A1077" s="2" t="s">
        <v>98</v>
      </c>
      <c r="B1077" s="2" t="s">
        <v>62</v>
      </c>
      <c r="C1077" t="s">
        <v>89</v>
      </c>
      <c r="D1077" t="s">
        <v>26</v>
      </c>
      <c r="E1077" s="2">
        <v>2</v>
      </c>
      <c r="F1077" t="s">
        <v>64</v>
      </c>
      <c r="G1077">
        <v>4.1900000000000004</v>
      </c>
      <c r="H1077">
        <v>4.09</v>
      </c>
      <c r="I1077" s="2" t="str">
        <f>_xlfn.XLOOKUP(F1077,DeparaIMG!D:D,DeparaIMG!F:F,,0)</f>
        <v>SKZERO350.png</v>
      </c>
    </row>
    <row r="1078" spans="1:9" x14ac:dyDescent="0.25">
      <c r="A1078" s="2" t="s">
        <v>98</v>
      </c>
      <c r="B1078" s="2" t="s">
        <v>62</v>
      </c>
      <c r="C1078" t="s">
        <v>90</v>
      </c>
      <c r="D1078" t="s">
        <v>26</v>
      </c>
      <c r="E1078" s="2">
        <v>2</v>
      </c>
      <c r="F1078" t="s">
        <v>64</v>
      </c>
      <c r="G1078">
        <v>4.1900000000000004</v>
      </c>
      <c r="H1078">
        <v>3.99</v>
      </c>
      <c r="I1078" s="2" t="str">
        <f>_xlfn.XLOOKUP(F1078,DeparaIMG!D:D,DeparaIMG!F:F,,0)</f>
        <v>SKZERO350.png</v>
      </c>
    </row>
    <row r="1079" spans="1:9" x14ac:dyDescent="0.25">
      <c r="A1079" s="2" t="s">
        <v>98</v>
      </c>
      <c r="B1079" s="2" t="s">
        <v>62</v>
      </c>
      <c r="C1079" t="s">
        <v>112</v>
      </c>
      <c r="D1079" t="s">
        <v>26</v>
      </c>
      <c r="E1079" s="2">
        <v>2</v>
      </c>
      <c r="F1079" t="s">
        <v>64</v>
      </c>
      <c r="G1079">
        <v>4.1900000000000004</v>
      </c>
      <c r="H1079">
        <v>3.99</v>
      </c>
      <c r="I1079" s="2" t="str">
        <f>_xlfn.XLOOKUP(F1079,DeparaIMG!D:D,DeparaIMG!F:F,,0)</f>
        <v>SKZERO350.png</v>
      </c>
    </row>
    <row r="1080" spans="1:9" x14ac:dyDescent="0.25">
      <c r="A1080" s="2" t="s">
        <v>98</v>
      </c>
      <c r="B1080" s="2" t="s">
        <v>62</v>
      </c>
      <c r="C1080" t="s">
        <v>29</v>
      </c>
      <c r="D1080" t="s">
        <v>26</v>
      </c>
      <c r="E1080" s="2">
        <v>2</v>
      </c>
      <c r="F1080" t="s">
        <v>64</v>
      </c>
      <c r="G1080">
        <v>4.1900000000000004</v>
      </c>
      <c r="H1080">
        <v>3.99</v>
      </c>
      <c r="I1080" s="2" t="str">
        <f>_xlfn.XLOOKUP(F1080,DeparaIMG!D:D,DeparaIMG!F:F,,0)</f>
        <v>SKZERO350.png</v>
      </c>
    </row>
    <row r="1081" spans="1:9" x14ac:dyDescent="0.25">
      <c r="A1081" s="2" t="s">
        <v>98</v>
      </c>
      <c r="B1081" s="2" t="s">
        <v>62</v>
      </c>
      <c r="C1081" t="s">
        <v>87</v>
      </c>
      <c r="D1081" t="s">
        <v>26</v>
      </c>
      <c r="E1081" s="2">
        <v>2</v>
      </c>
      <c r="F1081" t="s">
        <v>75</v>
      </c>
      <c r="G1081">
        <v>4.29</v>
      </c>
      <c r="H1081">
        <v>3.69</v>
      </c>
      <c r="I1081" s="2" t="str">
        <f>_xlfn.XLOOKUP(F1081,DeparaIMG!D:D,DeparaIMG!F:F,,0)</f>
        <v>STE269.png</v>
      </c>
    </row>
    <row r="1082" spans="1:9" x14ac:dyDescent="0.25">
      <c r="A1082" s="2" t="s">
        <v>98</v>
      </c>
      <c r="B1082" s="2" t="s">
        <v>62</v>
      </c>
      <c r="C1082" t="s">
        <v>88</v>
      </c>
      <c r="D1082" t="s">
        <v>26</v>
      </c>
      <c r="E1082" s="2">
        <v>2</v>
      </c>
      <c r="F1082" t="s">
        <v>75</v>
      </c>
      <c r="G1082">
        <v>4.29</v>
      </c>
      <c r="H1082">
        <v>3.69</v>
      </c>
      <c r="I1082" s="2" t="str">
        <f>_xlfn.XLOOKUP(F1082,DeparaIMG!D:D,DeparaIMG!F:F,,0)</f>
        <v>STE269.png</v>
      </c>
    </row>
    <row r="1083" spans="1:9" x14ac:dyDescent="0.25">
      <c r="A1083" s="2" t="s">
        <v>98</v>
      </c>
      <c r="B1083" s="2" t="s">
        <v>62</v>
      </c>
      <c r="C1083" t="s">
        <v>90</v>
      </c>
      <c r="D1083" t="s">
        <v>26</v>
      </c>
      <c r="E1083" s="2">
        <v>2</v>
      </c>
      <c r="F1083" t="s">
        <v>75</v>
      </c>
      <c r="G1083">
        <v>4.29</v>
      </c>
      <c r="H1083">
        <v>3.69</v>
      </c>
      <c r="I1083" s="2" t="str">
        <f>_xlfn.XLOOKUP(F1083,DeparaIMG!D:D,DeparaIMG!F:F,,0)</f>
        <v>STE269.png</v>
      </c>
    </row>
    <row r="1084" spans="1:9" x14ac:dyDescent="0.25">
      <c r="A1084" s="2" t="s">
        <v>98</v>
      </c>
      <c r="B1084" s="2" t="s">
        <v>62</v>
      </c>
      <c r="C1084" t="s">
        <v>89</v>
      </c>
      <c r="D1084" t="s">
        <v>26</v>
      </c>
      <c r="E1084" s="2">
        <v>2</v>
      </c>
      <c r="F1084" t="s">
        <v>75</v>
      </c>
      <c r="G1084">
        <v>4.29</v>
      </c>
      <c r="H1084">
        <v>3.69</v>
      </c>
      <c r="I1084" s="2" t="str">
        <f>_xlfn.XLOOKUP(F1084,DeparaIMG!D:D,DeparaIMG!F:F,,0)</f>
        <v>STE269.png</v>
      </c>
    </row>
    <row r="1085" spans="1:9" x14ac:dyDescent="0.25">
      <c r="A1085" s="2" t="s">
        <v>98</v>
      </c>
      <c r="B1085" s="2" t="s">
        <v>62</v>
      </c>
      <c r="C1085" t="s">
        <v>113</v>
      </c>
      <c r="D1085" t="s">
        <v>26</v>
      </c>
      <c r="E1085" s="2">
        <v>1</v>
      </c>
      <c r="F1085" t="s">
        <v>76</v>
      </c>
      <c r="G1085">
        <v>4.29</v>
      </c>
      <c r="H1085">
        <v>3.69</v>
      </c>
      <c r="I1085" s="2" t="str">
        <f>_xlfn.XLOOKUP(F1085,DeparaIMG!D:D,DeparaIMG!F:F,,0)</f>
        <v>BUD350.png</v>
      </c>
    </row>
    <row r="1086" spans="1:9" x14ac:dyDescent="0.25">
      <c r="A1086" s="2" t="s">
        <v>98</v>
      </c>
      <c r="B1086" s="2" t="s">
        <v>62</v>
      </c>
      <c r="C1086" t="s">
        <v>112</v>
      </c>
      <c r="D1086" t="s">
        <v>25</v>
      </c>
      <c r="E1086" s="2">
        <v>1</v>
      </c>
      <c r="F1086" t="s">
        <v>74</v>
      </c>
      <c r="G1086">
        <v>4.49</v>
      </c>
      <c r="H1086">
        <v>3.49</v>
      </c>
      <c r="I1086" s="2" t="str">
        <f>_xlfn.XLOOKUP(F1086,DeparaIMG!D:D,DeparaIMG!F:F,,0)</f>
        <v>BUDZERO350.png</v>
      </c>
    </row>
    <row r="1087" spans="1:9" x14ac:dyDescent="0.25">
      <c r="A1087" s="2" t="s">
        <v>98</v>
      </c>
      <c r="B1087" s="2" t="s">
        <v>62</v>
      </c>
      <c r="C1087" t="s">
        <v>112</v>
      </c>
      <c r="D1087" t="s">
        <v>26</v>
      </c>
      <c r="E1087" s="2">
        <v>1</v>
      </c>
      <c r="F1087" t="s">
        <v>76</v>
      </c>
      <c r="G1087">
        <v>4.49</v>
      </c>
      <c r="H1087">
        <v>3.89</v>
      </c>
      <c r="I1087" s="2" t="str">
        <f>_xlfn.XLOOKUP(F1087,DeparaIMG!D:D,DeparaIMG!F:F,,0)</f>
        <v>BUD350.png</v>
      </c>
    </row>
    <row r="1088" spans="1:9" x14ac:dyDescent="0.25">
      <c r="A1088" s="2" t="s">
        <v>98</v>
      </c>
      <c r="B1088" s="2" t="s">
        <v>62</v>
      </c>
      <c r="C1088" t="s">
        <v>112</v>
      </c>
      <c r="D1088" t="s">
        <v>26</v>
      </c>
      <c r="E1088" s="2">
        <v>1</v>
      </c>
      <c r="F1088" t="s">
        <v>74</v>
      </c>
      <c r="G1088">
        <v>4.49</v>
      </c>
      <c r="H1088">
        <v>3.49</v>
      </c>
      <c r="I1088" s="2" t="str">
        <f>_xlfn.XLOOKUP(F1088,DeparaIMG!D:D,DeparaIMG!F:F,,0)</f>
        <v>BUDZERO350.png</v>
      </c>
    </row>
    <row r="1089" spans="1:9" x14ac:dyDescent="0.25">
      <c r="A1089" s="2" t="s">
        <v>98</v>
      </c>
      <c r="B1089" s="2" t="s">
        <v>62</v>
      </c>
      <c r="C1089" t="s">
        <v>29</v>
      </c>
      <c r="D1089" t="s">
        <v>25</v>
      </c>
      <c r="E1089" s="2">
        <v>1</v>
      </c>
      <c r="F1089" t="s">
        <v>74</v>
      </c>
      <c r="G1089">
        <v>4.49</v>
      </c>
      <c r="H1089">
        <v>3.49</v>
      </c>
      <c r="I1089" s="2" t="str">
        <f>_xlfn.XLOOKUP(F1089,DeparaIMG!D:D,DeparaIMG!F:F,,0)</f>
        <v>BUDZERO350.png</v>
      </c>
    </row>
    <row r="1090" spans="1:9" x14ac:dyDescent="0.25">
      <c r="A1090" s="2" t="s">
        <v>98</v>
      </c>
      <c r="B1090" s="2" t="s">
        <v>62</v>
      </c>
      <c r="C1090" t="s">
        <v>29</v>
      </c>
      <c r="D1090" t="s">
        <v>26</v>
      </c>
      <c r="E1090" s="2">
        <v>1</v>
      </c>
      <c r="F1090" t="s">
        <v>76</v>
      </c>
      <c r="G1090">
        <v>4.49</v>
      </c>
      <c r="H1090">
        <v>3.89</v>
      </c>
      <c r="I1090" s="2" t="str">
        <f>_xlfn.XLOOKUP(F1090,DeparaIMG!D:D,DeparaIMG!F:F,,0)</f>
        <v>BUD350.png</v>
      </c>
    </row>
    <row r="1091" spans="1:9" x14ac:dyDescent="0.25">
      <c r="A1091" s="2" t="s">
        <v>98</v>
      </c>
      <c r="B1091" s="2" t="s">
        <v>62</v>
      </c>
      <c r="C1091" t="s">
        <v>29</v>
      </c>
      <c r="D1091" t="s">
        <v>26</v>
      </c>
      <c r="E1091" s="2">
        <v>1</v>
      </c>
      <c r="F1091" t="s">
        <v>74</v>
      </c>
      <c r="G1091">
        <v>4.49</v>
      </c>
      <c r="H1091">
        <v>3.49</v>
      </c>
      <c r="I1091" s="2" t="str">
        <f>_xlfn.XLOOKUP(F1091,DeparaIMG!D:D,DeparaIMG!F:F,,0)</f>
        <v>BUDZERO350.png</v>
      </c>
    </row>
    <row r="1092" spans="1:9" x14ac:dyDescent="0.25">
      <c r="A1092" s="2" t="s">
        <v>98</v>
      </c>
      <c r="B1092" s="2" t="s">
        <v>62</v>
      </c>
      <c r="C1092" t="s">
        <v>87</v>
      </c>
      <c r="D1092" t="s">
        <v>25</v>
      </c>
      <c r="E1092" s="2">
        <v>1</v>
      </c>
      <c r="F1092" t="s">
        <v>74</v>
      </c>
      <c r="G1092">
        <v>4.49</v>
      </c>
      <c r="H1092">
        <v>3.49</v>
      </c>
      <c r="I1092" s="2" t="str">
        <f>_xlfn.XLOOKUP(F1092,DeparaIMG!D:D,DeparaIMG!F:F,,0)</f>
        <v>BUDZERO350.png</v>
      </c>
    </row>
    <row r="1093" spans="1:9" x14ac:dyDescent="0.25">
      <c r="A1093" s="2" t="s">
        <v>98</v>
      </c>
      <c r="B1093" s="2" t="s">
        <v>62</v>
      </c>
      <c r="C1093" t="s">
        <v>87</v>
      </c>
      <c r="D1093" t="s">
        <v>26</v>
      </c>
      <c r="E1093" s="2">
        <v>1</v>
      </c>
      <c r="F1093" t="s">
        <v>74</v>
      </c>
      <c r="G1093">
        <v>4.49</v>
      </c>
      <c r="H1093">
        <v>3.49</v>
      </c>
      <c r="I1093" s="2" t="str">
        <f>_xlfn.XLOOKUP(F1093,DeparaIMG!D:D,DeparaIMG!F:F,,0)</f>
        <v>BUDZERO350.png</v>
      </c>
    </row>
    <row r="1094" spans="1:9" x14ac:dyDescent="0.25">
      <c r="A1094" s="2" t="s">
        <v>98</v>
      </c>
      <c r="B1094" s="2" t="s">
        <v>62</v>
      </c>
      <c r="C1094" t="s">
        <v>88</v>
      </c>
      <c r="D1094" t="s">
        <v>25</v>
      </c>
      <c r="E1094" s="2">
        <v>1</v>
      </c>
      <c r="F1094" t="s">
        <v>74</v>
      </c>
      <c r="G1094">
        <v>4.49</v>
      </c>
      <c r="H1094">
        <v>3.49</v>
      </c>
      <c r="I1094" s="2" t="str">
        <f>_xlfn.XLOOKUP(F1094,DeparaIMG!D:D,DeparaIMG!F:F,,0)</f>
        <v>BUDZERO350.png</v>
      </c>
    </row>
    <row r="1095" spans="1:9" x14ac:dyDescent="0.25">
      <c r="A1095" s="2" t="s">
        <v>98</v>
      </c>
      <c r="B1095" s="2" t="s">
        <v>62</v>
      </c>
      <c r="C1095" t="s">
        <v>88</v>
      </c>
      <c r="D1095" t="s">
        <v>26</v>
      </c>
      <c r="E1095" s="2">
        <v>1</v>
      </c>
      <c r="F1095" t="s">
        <v>74</v>
      </c>
      <c r="G1095">
        <v>4.49</v>
      </c>
      <c r="H1095">
        <v>3.49</v>
      </c>
      <c r="I1095" s="2" t="str">
        <f>_xlfn.XLOOKUP(F1095,DeparaIMG!D:D,DeparaIMG!F:F,,0)</f>
        <v>BUDZERO350.png</v>
      </c>
    </row>
    <row r="1096" spans="1:9" x14ac:dyDescent="0.25">
      <c r="A1096" s="2" t="s">
        <v>98</v>
      </c>
      <c r="B1096" s="2" t="s">
        <v>62</v>
      </c>
      <c r="C1096" t="s">
        <v>89</v>
      </c>
      <c r="D1096" t="s">
        <v>26</v>
      </c>
      <c r="E1096" s="2">
        <v>1</v>
      </c>
      <c r="F1096" t="s">
        <v>74</v>
      </c>
      <c r="G1096">
        <v>4.49</v>
      </c>
      <c r="H1096">
        <v>3.49</v>
      </c>
      <c r="I1096" s="2" t="str">
        <f>_xlfn.XLOOKUP(F1096,DeparaIMG!D:D,DeparaIMG!F:F,,0)</f>
        <v>BUDZERO350.png</v>
      </c>
    </row>
    <row r="1097" spans="1:9" x14ac:dyDescent="0.25">
      <c r="A1097" s="2" t="s">
        <v>98</v>
      </c>
      <c r="B1097" s="2" t="s">
        <v>62</v>
      </c>
      <c r="C1097" t="s">
        <v>89</v>
      </c>
      <c r="D1097" t="s">
        <v>25</v>
      </c>
      <c r="E1097" s="2">
        <v>1</v>
      </c>
      <c r="F1097" t="s">
        <v>74</v>
      </c>
      <c r="G1097">
        <v>4.49</v>
      </c>
      <c r="H1097">
        <v>3.49</v>
      </c>
      <c r="I1097" s="2" t="str">
        <f>_xlfn.XLOOKUP(F1097,DeparaIMG!D:D,DeparaIMG!F:F,,0)</f>
        <v>BUDZERO350.png</v>
      </c>
    </row>
    <row r="1098" spans="1:9" x14ac:dyDescent="0.25">
      <c r="A1098" s="2" t="s">
        <v>98</v>
      </c>
      <c r="B1098" s="2" t="s">
        <v>62</v>
      </c>
      <c r="C1098" t="s">
        <v>90</v>
      </c>
      <c r="D1098" t="s">
        <v>25</v>
      </c>
      <c r="E1098" s="2">
        <v>1</v>
      </c>
      <c r="F1098" t="s">
        <v>74</v>
      </c>
      <c r="G1098">
        <v>4.49</v>
      </c>
      <c r="H1098">
        <v>3.49</v>
      </c>
      <c r="I1098" s="2" t="str">
        <f>_xlfn.XLOOKUP(F1098,DeparaIMG!D:D,DeparaIMG!F:F,,0)</f>
        <v>BUDZERO350.png</v>
      </c>
    </row>
    <row r="1099" spans="1:9" x14ac:dyDescent="0.25">
      <c r="A1099" s="2" t="s">
        <v>98</v>
      </c>
      <c r="B1099" s="2" t="s">
        <v>62</v>
      </c>
      <c r="C1099" t="s">
        <v>90</v>
      </c>
      <c r="D1099" t="s">
        <v>26</v>
      </c>
      <c r="E1099" s="2">
        <v>1</v>
      </c>
      <c r="F1099" t="s">
        <v>74</v>
      </c>
      <c r="G1099">
        <v>4.49</v>
      </c>
      <c r="H1099">
        <v>3.49</v>
      </c>
      <c r="I1099" s="2" t="str">
        <f>_xlfn.XLOOKUP(F1099,DeparaIMG!D:D,DeparaIMG!F:F,,0)</f>
        <v>BUDZERO350.png</v>
      </c>
    </row>
    <row r="1100" spans="1:9" x14ac:dyDescent="0.25">
      <c r="A1100" s="2" t="s">
        <v>98</v>
      </c>
      <c r="B1100" s="2" t="s">
        <v>62</v>
      </c>
      <c r="C1100" t="s">
        <v>87</v>
      </c>
      <c r="D1100" t="s">
        <v>26</v>
      </c>
      <c r="E1100" s="2">
        <v>2</v>
      </c>
      <c r="F1100" t="s">
        <v>77</v>
      </c>
      <c r="G1100">
        <v>4.6900000000000004</v>
      </c>
      <c r="H1100">
        <v>4.1900000000000004</v>
      </c>
      <c r="I1100" s="2" t="str">
        <f>_xlfn.XLOOKUP(F1100,DeparaIMG!D:D,DeparaIMG!F:F,,0)</f>
        <v>COR269.png</v>
      </c>
    </row>
    <row r="1101" spans="1:9" x14ac:dyDescent="0.25">
      <c r="A1101" s="2" t="s">
        <v>98</v>
      </c>
      <c r="B1101" s="2" t="s">
        <v>62</v>
      </c>
      <c r="C1101" t="s">
        <v>88</v>
      </c>
      <c r="D1101" t="s">
        <v>26</v>
      </c>
      <c r="E1101" s="2">
        <v>2</v>
      </c>
      <c r="F1101" t="s">
        <v>77</v>
      </c>
      <c r="G1101">
        <v>4.6900000000000004</v>
      </c>
      <c r="H1101">
        <v>4.1900000000000004</v>
      </c>
      <c r="I1101" s="2" t="str">
        <f>_xlfn.XLOOKUP(F1101,DeparaIMG!D:D,DeparaIMG!F:F,,0)</f>
        <v>COR269.png</v>
      </c>
    </row>
    <row r="1102" spans="1:9" x14ac:dyDescent="0.25">
      <c r="A1102" s="2" t="s">
        <v>98</v>
      </c>
      <c r="B1102" s="2" t="s">
        <v>62</v>
      </c>
      <c r="C1102" t="s">
        <v>90</v>
      </c>
      <c r="D1102" t="s">
        <v>26</v>
      </c>
      <c r="E1102" s="2">
        <v>2</v>
      </c>
      <c r="F1102" t="s">
        <v>77</v>
      </c>
      <c r="G1102">
        <v>4.6900000000000004</v>
      </c>
      <c r="H1102">
        <v>4.1900000000000004</v>
      </c>
      <c r="I1102" s="2" t="str">
        <f>_xlfn.XLOOKUP(F1102,DeparaIMG!D:D,DeparaIMG!F:F,,0)</f>
        <v>COR269.png</v>
      </c>
    </row>
    <row r="1103" spans="1:9" x14ac:dyDescent="0.25">
      <c r="A1103" s="2" t="s">
        <v>98</v>
      </c>
      <c r="B1103" s="2" t="s">
        <v>62</v>
      </c>
      <c r="C1103" t="s">
        <v>89</v>
      </c>
      <c r="D1103" t="s">
        <v>26</v>
      </c>
      <c r="E1103" s="2">
        <v>2</v>
      </c>
      <c r="F1103" t="s">
        <v>77</v>
      </c>
      <c r="G1103">
        <v>4.6900000000000004</v>
      </c>
      <c r="H1103">
        <v>4.1900000000000004</v>
      </c>
      <c r="I1103" s="2" t="str">
        <f>_xlfn.XLOOKUP(F1103,DeparaIMG!D:D,DeparaIMG!F:F,,0)</f>
        <v>COR269.png</v>
      </c>
    </row>
    <row r="1104" spans="1:9" x14ac:dyDescent="0.25">
      <c r="A1104" s="2" t="s">
        <v>98</v>
      </c>
      <c r="B1104" s="2" t="s">
        <v>62</v>
      </c>
      <c r="C1104" t="s">
        <v>29</v>
      </c>
      <c r="D1104" t="s">
        <v>26</v>
      </c>
      <c r="E1104" s="2">
        <v>2</v>
      </c>
      <c r="F1104" t="s">
        <v>65</v>
      </c>
      <c r="G1104">
        <v>5.49</v>
      </c>
      <c r="H1104">
        <v>4.6900000000000004</v>
      </c>
      <c r="I1104" s="2" t="str">
        <f>_xlfn.XLOOKUP(F1104,DeparaIMG!D:D,DeparaIMG!F:F,,0)</f>
        <v>STE350.png</v>
      </c>
    </row>
    <row r="1105" spans="1:9" x14ac:dyDescent="0.25">
      <c r="A1105" s="2" t="s">
        <v>98</v>
      </c>
      <c r="B1105" s="2" t="s">
        <v>62</v>
      </c>
      <c r="C1105" t="s">
        <v>112</v>
      </c>
      <c r="D1105" t="s">
        <v>25</v>
      </c>
      <c r="E1105" s="2">
        <v>1</v>
      </c>
      <c r="F1105" t="s">
        <v>78</v>
      </c>
      <c r="G1105">
        <v>5.49</v>
      </c>
      <c r="H1105">
        <v>4.99</v>
      </c>
      <c r="I1105" s="2" t="str">
        <f>_xlfn.XLOOKUP(F1105,DeparaIMG!D:D,DeparaIMG!F:F,,0)</f>
        <v>MIC350.png</v>
      </c>
    </row>
    <row r="1106" spans="1:9" x14ac:dyDescent="0.25">
      <c r="A1106" s="2" t="s">
        <v>98</v>
      </c>
      <c r="B1106" s="2" t="s">
        <v>62</v>
      </c>
      <c r="C1106" t="s">
        <v>112</v>
      </c>
      <c r="D1106" t="s">
        <v>26</v>
      </c>
      <c r="E1106" s="2">
        <v>1</v>
      </c>
      <c r="F1106" t="s">
        <v>78</v>
      </c>
      <c r="G1106">
        <v>5.49</v>
      </c>
      <c r="H1106">
        <v>4.99</v>
      </c>
      <c r="I1106" s="2" t="str">
        <f>_xlfn.XLOOKUP(F1106,DeparaIMG!D:D,DeparaIMG!F:F,,0)</f>
        <v>MIC350.png</v>
      </c>
    </row>
    <row r="1107" spans="1:9" x14ac:dyDescent="0.25">
      <c r="A1107" s="2" t="s">
        <v>98</v>
      </c>
      <c r="B1107" s="2" t="s">
        <v>62</v>
      </c>
      <c r="C1107" t="s">
        <v>29</v>
      </c>
      <c r="D1107" t="s">
        <v>25</v>
      </c>
      <c r="E1107" s="2">
        <v>1</v>
      </c>
      <c r="F1107" t="s">
        <v>78</v>
      </c>
      <c r="G1107">
        <v>5.49</v>
      </c>
      <c r="H1107">
        <v>4.99</v>
      </c>
      <c r="I1107" s="2" t="str">
        <f>_xlfn.XLOOKUP(F1107,DeparaIMG!D:D,DeparaIMG!F:F,,0)</f>
        <v>MIC350.png</v>
      </c>
    </row>
    <row r="1108" spans="1:9" x14ac:dyDescent="0.25">
      <c r="A1108" s="2" t="s">
        <v>98</v>
      </c>
      <c r="B1108" s="2" t="s">
        <v>62</v>
      </c>
      <c r="C1108" t="s">
        <v>29</v>
      </c>
      <c r="D1108" t="s">
        <v>26</v>
      </c>
      <c r="E1108" s="2">
        <v>1</v>
      </c>
      <c r="F1108" t="s">
        <v>78</v>
      </c>
      <c r="G1108">
        <v>5.49</v>
      </c>
      <c r="H1108">
        <v>4.99</v>
      </c>
      <c r="I1108" s="2" t="str">
        <f>_xlfn.XLOOKUP(F1108,DeparaIMG!D:D,DeparaIMG!F:F,,0)</f>
        <v>MIC350.png</v>
      </c>
    </row>
    <row r="1109" spans="1:9" x14ac:dyDescent="0.25">
      <c r="A1109" s="2" t="s">
        <v>98</v>
      </c>
      <c r="B1109" s="2" t="s">
        <v>62</v>
      </c>
      <c r="C1109" t="s">
        <v>87</v>
      </c>
      <c r="D1109" t="s">
        <v>25</v>
      </c>
      <c r="E1109" s="2">
        <v>1</v>
      </c>
      <c r="F1109" t="s">
        <v>78</v>
      </c>
      <c r="G1109">
        <v>5.49</v>
      </c>
      <c r="H1109">
        <v>4.99</v>
      </c>
      <c r="I1109" s="2" t="str">
        <f>_xlfn.XLOOKUP(F1109,DeparaIMG!D:D,DeparaIMG!F:F,,0)</f>
        <v>MIC350.png</v>
      </c>
    </row>
    <row r="1110" spans="1:9" x14ac:dyDescent="0.25">
      <c r="A1110" s="2" t="s">
        <v>98</v>
      </c>
      <c r="B1110" s="2" t="s">
        <v>62</v>
      </c>
      <c r="C1110" t="s">
        <v>87</v>
      </c>
      <c r="D1110" t="s">
        <v>26</v>
      </c>
      <c r="E1110" s="2">
        <v>1</v>
      </c>
      <c r="F1110" t="s">
        <v>78</v>
      </c>
      <c r="G1110">
        <v>5.49</v>
      </c>
      <c r="H1110">
        <v>4.99</v>
      </c>
      <c r="I1110" s="2" t="str">
        <f>_xlfn.XLOOKUP(F1110,DeparaIMG!D:D,DeparaIMG!F:F,,0)</f>
        <v>MIC350.png</v>
      </c>
    </row>
    <row r="1111" spans="1:9" x14ac:dyDescent="0.25">
      <c r="A1111" s="2" t="s">
        <v>98</v>
      </c>
      <c r="B1111" s="2" t="s">
        <v>62</v>
      </c>
      <c r="C1111" t="s">
        <v>113</v>
      </c>
      <c r="D1111" t="s">
        <v>25</v>
      </c>
      <c r="E1111" s="2">
        <v>1</v>
      </c>
      <c r="F1111" t="s">
        <v>78</v>
      </c>
      <c r="G1111">
        <v>5.49</v>
      </c>
      <c r="H1111">
        <v>4.99</v>
      </c>
      <c r="I1111" s="2" t="str">
        <f>_xlfn.XLOOKUP(F1111,DeparaIMG!D:D,DeparaIMG!F:F,,0)</f>
        <v>MIC350.png</v>
      </c>
    </row>
    <row r="1112" spans="1:9" x14ac:dyDescent="0.25">
      <c r="A1112" s="2" t="s">
        <v>98</v>
      </c>
      <c r="B1112" s="2" t="s">
        <v>62</v>
      </c>
      <c r="C1112" t="s">
        <v>113</v>
      </c>
      <c r="D1112" t="s">
        <v>26</v>
      </c>
      <c r="E1112" s="2">
        <v>1</v>
      </c>
      <c r="F1112" t="s">
        <v>78</v>
      </c>
      <c r="G1112">
        <v>5.49</v>
      </c>
      <c r="H1112">
        <v>4.99</v>
      </c>
      <c r="I1112" s="2" t="str">
        <f>_xlfn.XLOOKUP(F1112,DeparaIMG!D:D,DeparaIMG!F:F,,0)</f>
        <v>MIC350.png</v>
      </c>
    </row>
    <row r="1113" spans="1:9" x14ac:dyDescent="0.25">
      <c r="A1113" s="2" t="s">
        <v>98</v>
      </c>
      <c r="B1113" s="2" t="s">
        <v>62</v>
      </c>
      <c r="C1113" t="s">
        <v>112</v>
      </c>
      <c r="D1113" t="s">
        <v>25</v>
      </c>
      <c r="E1113" s="2">
        <v>2</v>
      </c>
      <c r="F1113" t="s">
        <v>65</v>
      </c>
      <c r="G1113">
        <v>5.49</v>
      </c>
      <c r="H1113">
        <v>4.6900000000000004</v>
      </c>
      <c r="I1113" s="2" t="str">
        <f>_xlfn.XLOOKUP(F1113,DeparaIMG!D:D,DeparaIMG!F:F,,0)</f>
        <v>STE350.png</v>
      </c>
    </row>
    <row r="1114" spans="1:9" x14ac:dyDescent="0.25">
      <c r="A1114" s="2" t="s">
        <v>98</v>
      </c>
      <c r="B1114" s="2" t="s">
        <v>62</v>
      </c>
      <c r="C1114" t="s">
        <v>29</v>
      </c>
      <c r="D1114" t="s">
        <v>25</v>
      </c>
      <c r="E1114" s="2">
        <v>2</v>
      </c>
      <c r="F1114" t="s">
        <v>65</v>
      </c>
      <c r="G1114">
        <v>5.49</v>
      </c>
      <c r="H1114">
        <v>4.6900000000000004</v>
      </c>
      <c r="I1114" s="2" t="str">
        <f>_xlfn.XLOOKUP(F1114,DeparaIMG!D:D,DeparaIMG!F:F,,0)</f>
        <v>STE350.png</v>
      </c>
    </row>
    <row r="1115" spans="1:9" x14ac:dyDescent="0.25">
      <c r="A1115" s="2" t="s">
        <v>98</v>
      </c>
      <c r="B1115" s="2" t="s">
        <v>62</v>
      </c>
      <c r="C1115" t="s">
        <v>113</v>
      </c>
      <c r="D1115" t="s">
        <v>26</v>
      </c>
      <c r="E1115" s="2">
        <v>2</v>
      </c>
      <c r="F1115" t="s">
        <v>65</v>
      </c>
      <c r="G1115">
        <v>5.49</v>
      </c>
      <c r="H1115">
        <v>4.6900000000000004</v>
      </c>
      <c r="I1115" s="2" t="str">
        <f>_xlfn.XLOOKUP(F1115,DeparaIMG!D:D,DeparaIMG!F:F,,0)</f>
        <v>STE350.png</v>
      </c>
    </row>
    <row r="1116" spans="1:9" x14ac:dyDescent="0.25">
      <c r="A1116" s="2" t="s">
        <v>98</v>
      </c>
      <c r="B1116" s="2" t="s">
        <v>62</v>
      </c>
      <c r="C1116" t="s">
        <v>88</v>
      </c>
      <c r="D1116" t="s">
        <v>25</v>
      </c>
      <c r="E1116" s="2">
        <v>1</v>
      </c>
      <c r="F1116" t="s">
        <v>121</v>
      </c>
      <c r="G1116">
        <v>3.99</v>
      </c>
      <c r="H1116">
        <v>3.79</v>
      </c>
      <c r="I1116" s="2" t="str">
        <f>_xlfn.XLOOKUP(F1116,DeparaIMG!D:D,DeparaIMG!F:F,,0)</f>
        <v>MIC269.png</v>
      </c>
    </row>
    <row r="1117" spans="1:9" x14ac:dyDescent="0.25">
      <c r="A1117" s="2" t="s">
        <v>98</v>
      </c>
      <c r="B1117" s="2" t="s">
        <v>62</v>
      </c>
      <c r="C1117" t="s">
        <v>88</v>
      </c>
      <c r="D1117" t="s">
        <v>26</v>
      </c>
      <c r="E1117" s="2">
        <v>1</v>
      </c>
      <c r="F1117" t="s">
        <v>121</v>
      </c>
      <c r="G1117">
        <v>3.99</v>
      </c>
      <c r="H1117">
        <v>3.79</v>
      </c>
      <c r="I1117" s="2" t="str">
        <f>_xlfn.XLOOKUP(F1117,DeparaIMG!D:D,DeparaIMG!F:F,,0)</f>
        <v>MIC269.png</v>
      </c>
    </row>
    <row r="1118" spans="1:9" x14ac:dyDescent="0.25">
      <c r="A1118" s="2" t="s">
        <v>98</v>
      </c>
      <c r="B1118" s="2" t="s">
        <v>62</v>
      </c>
      <c r="C1118" t="s">
        <v>89</v>
      </c>
      <c r="D1118" t="s">
        <v>25</v>
      </c>
      <c r="E1118" s="2">
        <v>1</v>
      </c>
      <c r="F1118" t="s">
        <v>78</v>
      </c>
      <c r="G1118">
        <v>5.49</v>
      </c>
      <c r="H1118">
        <v>4.99</v>
      </c>
      <c r="I1118" s="2" t="str">
        <f>_xlfn.XLOOKUP(F1118,DeparaIMG!D:D,DeparaIMG!F:F,,0)</f>
        <v>MIC350.png</v>
      </c>
    </row>
    <row r="1119" spans="1:9" x14ac:dyDescent="0.25">
      <c r="A1119" s="2" t="s">
        <v>98</v>
      </c>
      <c r="B1119" s="2" t="s">
        <v>62</v>
      </c>
      <c r="C1119" t="s">
        <v>90</v>
      </c>
      <c r="D1119" t="s">
        <v>25</v>
      </c>
      <c r="E1119" s="2">
        <v>1</v>
      </c>
      <c r="F1119" t="s">
        <v>78</v>
      </c>
      <c r="G1119">
        <v>5.49</v>
      </c>
      <c r="H1119">
        <v>4.99</v>
      </c>
      <c r="I1119" s="2" t="str">
        <f>_xlfn.XLOOKUP(F1119,DeparaIMG!D:D,DeparaIMG!F:F,,0)</f>
        <v>MIC350.png</v>
      </c>
    </row>
    <row r="1120" spans="1:9" x14ac:dyDescent="0.25">
      <c r="A1120" s="2" t="s">
        <v>98</v>
      </c>
      <c r="B1120" s="2" t="s">
        <v>62</v>
      </c>
      <c r="C1120" t="s">
        <v>89</v>
      </c>
      <c r="D1120" t="s">
        <v>26</v>
      </c>
      <c r="E1120" s="2">
        <v>1</v>
      </c>
      <c r="F1120" t="s">
        <v>78</v>
      </c>
      <c r="G1120">
        <v>5.49</v>
      </c>
      <c r="H1120">
        <v>4.99</v>
      </c>
      <c r="I1120" s="2" t="str">
        <f>_xlfn.XLOOKUP(F1120,DeparaIMG!D:D,DeparaIMG!F:F,,0)</f>
        <v>MIC350.png</v>
      </c>
    </row>
    <row r="1121" spans="1:9" x14ac:dyDescent="0.25">
      <c r="A1121" s="2" t="s">
        <v>98</v>
      </c>
      <c r="B1121" s="2" t="s">
        <v>62</v>
      </c>
      <c r="C1121" t="s">
        <v>90</v>
      </c>
      <c r="D1121" t="s">
        <v>26</v>
      </c>
      <c r="E1121" s="2">
        <v>1</v>
      </c>
      <c r="F1121" t="s">
        <v>78</v>
      </c>
      <c r="G1121">
        <v>5.49</v>
      </c>
      <c r="H1121">
        <v>4.99</v>
      </c>
      <c r="I1121" s="2" t="str">
        <f>_xlfn.XLOOKUP(F1121,DeparaIMG!D:D,DeparaIMG!F:F,,0)</f>
        <v>MIC350.png</v>
      </c>
    </row>
    <row r="1122" spans="1:9" x14ac:dyDescent="0.25">
      <c r="A1122" s="2" t="s">
        <v>98</v>
      </c>
      <c r="B1122" s="2" t="s">
        <v>62</v>
      </c>
      <c r="C1122" t="s">
        <v>113</v>
      </c>
      <c r="D1122" t="s">
        <v>25</v>
      </c>
      <c r="E1122" s="2">
        <v>2</v>
      </c>
      <c r="F1122" t="s">
        <v>65</v>
      </c>
      <c r="G1122">
        <v>5.49</v>
      </c>
      <c r="H1122">
        <v>4.6900000000000004</v>
      </c>
      <c r="I1122" s="2" t="str">
        <f>_xlfn.XLOOKUP(F1122,DeparaIMG!D:D,DeparaIMG!F:F,,0)</f>
        <v>STE350.png</v>
      </c>
    </row>
    <row r="1123" spans="1:9" x14ac:dyDescent="0.25">
      <c r="A1123" s="2" t="s">
        <v>98</v>
      </c>
      <c r="B1123" s="2" t="s">
        <v>62</v>
      </c>
      <c r="C1123" t="s">
        <v>112</v>
      </c>
      <c r="D1123" t="s">
        <v>26</v>
      </c>
      <c r="E1123" s="2">
        <v>2</v>
      </c>
      <c r="F1123" t="s">
        <v>79</v>
      </c>
      <c r="G1123">
        <v>6.19</v>
      </c>
      <c r="H1123">
        <v>5.39</v>
      </c>
      <c r="I1123" s="2" t="str">
        <f>_xlfn.XLOOKUP(F1123,DeparaIMG!D:D,DeparaIMG!F:F,,0)</f>
        <v>COR350.png</v>
      </c>
    </row>
    <row r="1124" spans="1:9" x14ac:dyDescent="0.25">
      <c r="A1124" s="2" t="s">
        <v>98</v>
      </c>
      <c r="B1124" s="2" t="s">
        <v>62</v>
      </c>
      <c r="C1124" t="s">
        <v>112</v>
      </c>
      <c r="D1124" t="s">
        <v>26</v>
      </c>
      <c r="E1124" s="2">
        <v>2</v>
      </c>
      <c r="F1124" t="s">
        <v>80</v>
      </c>
      <c r="G1124">
        <v>6.19</v>
      </c>
      <c r="H1124">
        <v>5.39</v>
      </c>
      <c r="I1124" s="2" t="str">
        <f>_xlfn.XLOOKUP(F1124,DeparaIMG!D:D,DeparaIMG!F:F,,0)</f>
        <v>CORCERO350.png</v>
      </c>
    </row>
    <row r="1125" spans="1:9" x14ac:dyDescent="0.25">
      <c r="A1125" s="2" t="s">
        <v>98</v>
      </c>
      <c r="B1125" s="2" t="s">
        <v>62</v>
      </c>
      <c r="C1125" t="s">
        <v>112</v>
      </c>
      <c r="D1125" t="s">
        <v>25</v>
      </c>
      <c r="E1125" s="2">
        <v>2</v>
      </c>
      <c r="F1125" t="s">
        <v>80</v>
      </c>
      <c r="G1125">
        <v>6.19</v>
      </c>
      <c r="H1125">
        <v>5.39</v>
      </c>
      <c r="I1125" s="2" t="str">
        <f>_xlfn.XLOOKUP(F1125,DeparaIMG!D:D,DeparaIMG!F:F,,0)</f>
        <v>CORCERO350.png</v>
      </c>
    </row>
    <row r="1126" spans="1:9" x14ac:dyDescent="0.25">
      <c r="A1126" s="2" t="s">
        <v>98</v>
      </c>
      <c r="B1126" s="2" t="s">
        <v>62</v>
      </c>
      <c r="C1126" t="s">
        <v>29</v>
      </c>
      <c r="D1126" t="s">
        <v>26</v>
      </c>
      <c r="E1126" s="2">
        <v>2</v>
      </c>
      <c r="F1126" t="s">
        <v>79</v>
      </c>
      <c r="G1126">
        <v>6.29</v>
      </c>
      <c r="H1126">
        <v>5.49</v>
      </c>
      <c r="I1126" s="2" t="str">
        <f>_xlfn.XLOOKUP(F1126,DeparaIMG!D:D,DeparaIMG!F:F,,0)</f>
        <v>COR350.png</v>
      </c>
    </row>
    <row r="1127" spans="1:9" x14ac:dyDescent="0.25">
      <c r="A1127" s="2" t="s">
        <v>98</v>
      </c>
      <c r="B1127" s="2" t="s">
        <v>62</v>
      </c>
      <c r="C1127" t="s">
        <v>113</v>
      </c>
      <c r="D1127" t="s">
        <v>26</v>
      </c>
      <c r="E1127" s="2">
        <v>2</v>
      </c>
      <c r="F1127" t="s">
        <v>79</v>
      </c>
      <c r="G1127">
        <v>6.29</v>
      </c>
      <c r="H1127">
        <v>5.49</v>
      </c>
      <c r="I1127" s="2" t="str">
        <f>_xlfn.XLOOKUP(F1127,DeparaIMG!D:D,DeparaIMG!F:F,,0)</f>
        <v>COR350.png</v>
      </c>
    </row>
    <row r="1128" spans="1:9" x14ac:dyDescent="0.25">
      <c r="A1128" s="2" t="s">
        <v>98</v>
      </c>
      <c r="B1128" s="2" t="s">
        <v>62</v>
      </c>
      <c r="C1128" t="s">
        <v>29</v>
      </c>
      <c r="D1128" t="s">
        <v>26</v>
      </c>
      <c r="E1128" s="2">
        <v>2</v>
      </c>
      <c r="F1128" t="s">
        <v>80</v>
      </c>
      <c r="G1128">
        <v>6.29</v>
      </c>
      <c r="H1128">
        <v>5.49</v>
      </c>
      <c r="I1128" s="2" t="str">
        <f>_xlfn.XLOOKUP(F1128,DeparaIMG!D:D,DeparaIMG!F:F,,0)</f>
        <v>CORCERO350.png</v>
      </c>
    </row>
    <row r="1129" spans="1:9" x14ac:dyDescent="0.25">
      <c r="A1129" s="2" t="s">
        <v>98</v>
      </c>
      <c r="B1129" s="2" t="s">
        <v>62</v>
      </c>
      <c r="C1129" t="s">
        <v>87</v>
      </c>
      <c r="D1129" t="s">
        <v>26</v>
      </c>
      <c r="E1129" s="2">
        <v>2</v>
      </c>
      <c r="F1129" t="s">
        <v>80</v>
      </c>
      <c r="G1129">
        <v>6.29</v>
      </c>
      <c r="H1129">
        <v>5.49</v>
      </c>
      <c r="I1129" s="2" t="str">
        <f>_xlfn.XLOOKUP(F1129,DeparaIMG!D:D,DeparaIMG!F:F,,0)</f>
        <v>CORCERO350.png</v>
      </c>
    </row>
    <row r="1130" spans="1:9" x14ac:dyDescent="0.25">
      <c r="A1130" s="2" t="s">
        <v>98</v>
      </c>
      <c r="B1130" s="2" t="s">
        <v>62</v>
      </c>
      <c r="C1130" t="s">
        <v>88</v>
      </c>
      <c r="D1130" t="s">
        <v>26</v>
      </c>
      <c r="E1130" s="2">
        <v>2</v>
      </c>
      <c r="F1130" t="s">
        <v>80</v>
      </c>
      <c r="G1130">
        <v>6.29</v>
      </c>
      <c r="H1130">
        <v>5.49</v>
      </c>
      <c r="I1130" s="2" t="str">
        <f>_xlfn.XLOOKUP(F1130,DeparaIMG!D:D,DeparaIMG!F:F,,0)</f>
        <v>CORCERO350.png</v>
      </c>
    </row>
    <row r="1131" spans="1:9" x14ac:dyDescent="0.25">
      <c r="A1131" s="2" t="s">
        <v>98</v>
      </c>
      <c r="B1131" s="2" t="s">
        <v>62</v>
      </c>
      <c r="C1131" t="s">
        <v>113</v>
      </c>
      <c r="D1131" t="s">
        <v>26</v>
      </c>
      <c r="E1131" s="2">
        <v>2</v>
      </c>
      <c r="F1131" t="s">
        <v>80</v>
      </c>
      <c r="G1131">
        <v>6.29</v>
      </c>
      <c r="H1131">
        <v>5.49</v>
      </c>
      <c r="I1131" s="2" t="str">
        <f>_xlfn.XLOOKUP(F1131,DeparaIMG!D:D,DeparaIMG!F:F,,0)</f>
        <v>CORCERO350.png</v>
      </c>
    </row>
    <row r="1132" spans="1:9" x14ac:dyDescent="0.25">
      <c r="A1132" s="2" t="s">
        <v>98</v>
      </c>
      <c r="B1132" s="2" t="s">
        <v>62</v>
      </c>
      <c r="C1132" t="s">
        <v>90</v>
      </c>
      <c r="D1132" t="s">
        <v>26</v>
      </c>
      <c r="E1132" s="2">
        <v>2</v>
      </c>
      <c r="F1132" t="s">
        <v>80</v>
      </c>
      <c r="G1132">
        <v>6.29</v>
      </c>
      <c r="H1132">
        <v>5.49</v>
      </c>
      <c r="I1132" s="2" t="str">
        <f>_xlfn.XLOOKUP(F1132,DeparaIMG!D:D,DeparaIMG!F:F,,0)</f>
        <v>CORCERO350.png</v>
      </c>
    </row>
    <row r="1133" spans="1:9" x14ac:dyDescent="0.25">
      <c r="A1133" s="2" t="s">
        <v>98</v>
      </c>
      <c r="B1133" s="2" t="s">
        <v>62</v>
      </c>
      <c r="C1133" t="s">
        <v>89</v>
      </c>
      <c r="D1133" t="s">
        <v>26</v>
      </c>
      <c r="E1133" s="2">
        <v>2</v>
      </c>
      <c r="F1133" t="s">
        <v>80</v>
      </c>
      <c r="G1133">
        <v>6.29</v>
      </c>
      <c r="H1133">
        <v>5.49</v>
      </c>
      <c r="I1133" s="2" t="str">
        <f>_xlfn.XLOOKUP(F1133,DeparaIMG!D:D,DeparaIMG!F:F,,0)</f>
        <v>CORCERO350.png</v>
      </c>
    </row>
    <row r="1134" spans="1:9" x14ac:dyDescent="0.25">
      <c r="A1134" s="2" t="s">
        <v>98</v>
      </c>
      <c r="B1134" s="2" t="s">
        <v>62</v>
      </c>
      <c r="C1134" t="s">
        <v>87</v>
      </c>
      <c r="D1134" t="s">
        <v>25</v>
      </c>
      <c r="E1134" s="2">
        <v>2</v>
      </c>
      <c r="F1134" t="s">
        <v>80</v>
      </c>
      <c r="G1134">
        <v>6.29</v>
      </c>
      <c r="H1134">
        <v>5.49</v>
      </c>
      <c r="I1134" s="2" t="str">
        <f>_xlfn.XLOOKUP(F1134,DeparaIMG!D:D,DeparaIMG!F:F,,0)</f>
        <v>CORCERO350.png</v>
      </c>
    </row>
    <row r="1135" spans="1:9" x14ac:dyDescent="0.25">
      <c r="A1135" s="2" t="s">
        <v>98</v>
      </c>
      <c r="B1135" s="2" t="s">
        <v>62</v>
      </c>
      <c r="C1135" t="s">
        <v>88</v>
      </c>
      <c r="D1135" t="s">
        <v>25</v>
      </c>
      <c r="E1135" s="2">
        <v>2</v>
      </c>
      <c r="F1135" t="s">
        <v>80</v>
      </c>
      <c r="G1135">
        <v>6.29</v>
      </c>
      <c r="H1135">
        <v>5.49</v>
      </c>
      <c r="I1135" s="2" t="str">
        <f>_xlfn.XLOOKUP(F1135,DeparaIMG!D:D,DeparaIMG!F:F,,0)</f>
        <v>CORCERO350.png</v>
      </c>
    </row>
    <row r="1136" spans="1:9" x14ac:dyDescent="0.25">
      <c r="A1136" s="2" t="s">
        <v>98</v>
      </c>
      <c r="B1136" s="2" t="s">
        <v>62</v>
      </c>
      <c r="C1136" t="s">
        <v>90</v>
      </c>
      <c r="D1136" t="s">
        <v>25</v>
      </c>
      <c r="E1136" s="2">
        <v>2</v>
      </c>
      <c r="F1136" t="s">
        <v>80</v>
      </c>
      <c r="G1136">
        <v>6.29</v>
      </c>
      <c r="H1136">
        <v>5.49</v>
      </c>
      <c r="I1136" s="2" t="str">
        <f>_xlfn.XLOOKUP(F1136,DeparaIMG!D:D,DeparaIMG!F:F,,0)</f>
        <v>CORCERO350.png</v>
      </c>
    </row>
    <row r="1137" spans="1:9" x14ac:dyDescent="0.25">
      <c r="A1137" s="2" t="s">
        <v>98</v>
      </c>
      <c r="B1137" s="2" t="s">
        <v>62</v>
      </c>
      <c r="C1137" t="s">
        <v>89</v>
      </c>
      <c r="D1137" t="s">
        <v>25</v>
      </c>
      <c r="E1137" s="2">
        <v>2</v>
      </c>
      <c r="F1137" t="s">
        <v>80</v>
      </c>
      <c r="G1137">
        <v>6.29</v>
      </c>
      <c r="H1137">
        <v>5.49</v>
      </c>
      <c r="I1137" s="2" t="str">
        <f>_xlfn.XLOOKUP(F1137,DeparaIMG!D:D,DeparaIMG!F:F,,0)</f>
        <v>CORCERO350.png</v>
      </c>
    </row>
    <row r="1138" spans="1:9" x14ac:dyDescent="0.25">
      <c r="A1138" s="2" t="s">
        <v>98</v>
      </c>
      <c r="B1138" s="2" t="s">
        <v>62</v>
      </c>
      <c r="C1138" t="s">
        <v>29</v>
      </c>
      <c r="D1138" t="s">
        <v>25</v>
      </c>
      <c r="E1138" s="2">
        <v>2</v>
      </c>
      <c r="F1138" t="s">
        <v>80</v>
      </c>
      <c r="G1138">
        <v>6.29</v>
      </c>
      <c r="H1138">
        <v>5.49</v>
      </c>
      <c r="I1138" s="2" t="str">
        <f>_xlfn.XLOOKUP(F1138,DeparaIMG!D:D,DeparaIMG!F:F,,0)</f>
        <v>CORCERO350.png</v>
      </c>
    </row>
    <row r="1139" spans="1:9" x14ac:dyDescent="0.25">
      <c r="A1139" s="2" t="s">
        <v>98</v>
      </c>
      <c r="B1139" s="2" t="s">
        <v>62</v>
      </c>
      <c r="C1139" t="s">
        <v>113</v>
      </c>
      <c r="D1139" t="s">
        <v>25</v>
      </c>
      <c r="E1139" s="2">
        <v>2</v>
      </c>
      <c r="F1139" t="s">
        <v>80</v>
      </c>
      <c r="G1139">
        <v>6.29</v>
      </c>
      <c r="H1139">
        <v>5.49</v>
      </c>
      <c r="I1139" s="2" t="str">
        <f>_xlfn.XLOOKUP(F1139,DeparaIMG!D:D,DeparaIMG!F:F,,0)</f>
        <v>CORCERO350.png</v>
      </c>
    </row>
    <row r="1140" spans="1:9" x14ac:dyDescent="0.25">
      <c r="A1140" s="2" t="s">
        <v>98</v>
      </c>
      <c r="B1140" s="2" t="s">
        <v>62</v>
      </c>
      <c r="C1140" t="s">
        <v>112</v>
      </c>
      <c r="D1140" t="s">
        <v>26</v>
      </c>
      <c r="E1140" s="2">
        <v>1</v>
      </c>
      <c r="F1140" t="s">
        <v>81</v>
      </c>
      <c r="G1140">
        <v>6.39</v>
      </c>
      <c r="H1140">
        <v>5.69</v>
      </c>
      <c r="I1140" s="2" t="str">
        <f>_xlfn.XLOOKUP(F1140,DeparaIMG!D:D,DeparaIMG!F:F,,0)</f>
        <v>BUDZEROLN.png</v>
      </c>
    </row>
    <row r="1141" spans="1:9" x14ac:dyDescent="0.25">
      <c r="A1141" s="2" t="s">
        <v>98</v>
      </c>
      <c r="B1141" s="2" t="s">
        <v>62</v>
      </c>
      <c r="C1141" t="s">
        <v>29</v>
      </c>
      <c r="D1141" t="s">
        <v>26</v>
      </c>
      <c r="E1141" s="2">
        <v>1</v>
      </c>
      <c r="F1141" t="s">
        <v>81</v>
      </c>
      <c r="G1141">
        <v>6.39</v>
      </c>
      <c r="H1141">
        <v>5.69</v>
      </c>
      <c r="I1141" s="2" t="str">
        <f>_xlfn.XLOOKUP(F1141,DeparaIMG!D:D,DeparaIMG!F:F,,0)</f>
        <v>BUDZEROLN.png</v>
      </c>
    </row>
    <row r="1142" spans="1:9" x14ac:dyDescent="0.25">
      <c r="A1142" s="2" t="s">
        <v>98</v>
      </c>
      <c r="B1142" s="2" t="s">
        <v>62</v>
      </c>
      <c r="C1142" t="s">
        <v>87</v>
      </c>
      <c r="D1142" t="s">
        <v>26</v>
      </c>
      <c r="E1142" s="2">
        <v>1</v>
      </c>
      <c r="F1142" t="s">
        <v>81</v>
      </c>
      <c r="G1142">
        <v>6.39</v>
      </c>
      <c r="H1142">
        <v>5.69</v>
      </c>
      <c r="I1142" s="2" t="str">
        <f>_xlfn.XLOOKUP(F1142,DeparaIMG!D:D,DeparaIMG!F:F,,0)</f>
        <v>BUDZEROLN.png</v>
      </c>
    </row>
    <row r="1143" spans="1:9" x14ac:dyDescent="0.25">
      <c r="A1143" s="2" t="s">
        <v>98</v>
      </c>
      <c r="B1143" s="2" t="s">
        <v>62</v>
      </c>
      <c r="C1143" t="s">
        <v>88</v>
      </c>
      <c r="D1143" t="s">
        <v>26</v>
      </c>
      <c r="E1143" s="2">
        <v>1</v>
      </c>
      <c r="F1143" t="s">
        <v>81</v>
      </c>
      <c r="G1143">
        <v>6.39</v>
      </c>
      <c r="H1143">
        <v>5.69</v>
      </c>
      <c r="I1143" s="2" t="str">
        <f>_xlfn.XLOOKUP(F1143,DeparaIMG!D:D,DeparaIMG!F:F,,0)</f>
        <v>BUDZEROLN.png</v>
      </c>
    </row>
    <row r="1144" spans="1:9" x14ac:dyDescent="0.25">
      <c r="A1144" s="2" t="s">
        <v>98</v>
      </c>
      <c r="B1144" s="2" t="s">
        <v>62</v>
      </c>
      <c r="C1144" t="s">
        <v>113</v>
      </c>
      <c r="D1144" t="s">
        <v>25</v>
      </c>
      <c r="E1144" s="2">
        <v>1</v>
      </c>
      <c r="F1144" t="s">
        <v>81</v>
      </c>
      <c r="G1144">
        <v>6.39</v>
      </c>
      <c r="H1144">
        <v>5.69</v>
      </c>
      <c r="I1144" s="2" t="str">
        <f>_xlfn.XLOOKUP(F1144,DeparaIMG!D:D,DeparaIMG!F:F,,0)</f>
        <v>BUDZEROLN.png</v>
      </c>
    </row>
    <row r="1145" spans="1:9" x14ac:dyDescent="0.25">
      <c r="A1145" s="2" t="s">
        <v>98</v>
      </c>
      <c r="B1145" s="2" t="s">
        <v>62</v>
      </c>
      <c r="C1145" t="s">
        <v>113</v>
      </c>
      <c r="D1145" t="s">
        <v>26</v>
      </c>
      <c r="E1145" s="2">
        <v>1</v>
      </c>
      <c r="F1145" t="s">
        <v>81</v>
      </c>
      <c r="G1145">
        <v>6.39</v>
      </c>
      <c r="H1145">
        <v>5.69</v>
      </c>
      <c r="I1145" s="2" t="str">
        <f>_xlfn.XLOOKUP(F1145,DeparaIMG!D:D,DeparaIMG!F:F,,0)</f>
        <v>BUDZEROLN.png</v>
      </c>
    </row>
    <row r="1146" spans="1:9" x14ac:dyDescent="0.25">
      <c r="A1146" s="2" t="s">
        <v>98</v>
      </c>
      <c r="B1146" s="2" t="s">
        <v>62</v>
      </c>
      <c r="C1146" t="s">
        <v>90</v>
      </c>
      <c r="D1146" t="s">
        <v>26</v>
      </c>
      <c r="E1146" s="2">
        <v>1</v>
      </c>
      <c r="F1146" t="s">
        <v>81</v>
      </c>
      <c r="G1146">
        <v>6.39</v>
      </c>
      <c r="H1146">
        <v>5.69</v>
      </c>
      <c r="I1146" s="2" t="str">
        <f>_xlfn.XLOOKUP(F1146,DeparaIMG!D:D,DeparaIMG!F:F,,0)</f>
        <v>BUDZEROLN.png</v>
      </c>
    </row>
    <row r="1147" spans="1:9" x14ac:dyDescent="0.25">
      <c r="A1147" s="2" t="s">
        <v>98</v>
      </c>
      <c r="B1147" s="2" t="s">
        <v>62</v>
      </c>
      <c r="C1147" t="s">
        <v>89</v>
      </c>
      <c r="D1147" t="s">
        <v>26</v>
      </c>
      <c r="E1147" s="2">
        <v>1</v>
      </c>
      <c r="F1147" t="s">
        <v>81</v>
      </c>
      <c r="G1147">
        <v>6.39</v>
      </c>
      <c r="H1147">
        <v>5.69</v>
      </c>
      <c r="I1147" s="2" t="str">
        <f>_xlfn.XLOOKUP(F1147,DeparaIMG!D:D,DeparaIMG!F:F,,0)</f>
        <v>BUDZEROLN.png</v>
      </c>
    </row>
    <row r="1148" spans="1:9" x14ac:dyDescent="0.25">
      <c r="A1148" s="2" t="s">
        <v>98</v>
      </c>
      <c r="B1148" s="2" t="s">
        <v>62</v>
      </c>
      <c r="C1148" t="s">
        <v>112</v>
      </c>
      <c r="D1148" t="s">
        <v>25</v>
      </c>
      <c r="E1148" s="2">
        <v>2</v>
      </c>
      <c r="F1148" t="s">
        <v>83</v>
      </c>
      <c r="G1148">
        <v>6.69</v>
      </c>
      <c r="H1148">
        <v>5.99</v>
      </c>
      <c r="I1148" s="2" t="str">
        <f>_xlfn.XLOOKUP(F1148,DeparaIMG!D:D,DeparaIMG!F:F,,0)</f>
        <v>MICLN.png</v>
      </c>
    </row>
    <row r="1149" spans="1:9" x14ac:dyDescent="0.25">
      <c r="A1149" s="2" t="s">
        <v>98</v>
      </c>
      <c r="B1149" s="2" t="s">
        <v>62</v>
      </c>
      <c r="C1149" t="s">
        <v>112</v>
      </c>
      <c r="D1149" t="s">
        <v>26</v>
      </c>
      <c r="E1149" s="2">
        <v>2</v>
      </c>
      <c r="F1149" t="s">
        <v>83</v>
      </c>
      <c r="G1149">
        <v>6.69</v>
      </c>
      <c r="H1149">
        <v>5.99</v>
      </c>
      <c r="I1149" s="2" t="str">
        <f>_xlfn.XLOOKUP(F1149,DeparaIMG!D:D,DeparaIMG!F:F,,0)</f>
        <v>MICLN.png</v>
      </c>
    </row>
    <row r="1150" spans="1:9" x14ac:dyDescent="0.25">
      <c r="A1150" s="2" t="s">
        <v>98</v>
      </c>
      <c r="B1150" s="2" t="s">
        <v>62</v>
      </c>
      <c r="C1150" t="s">
        <v>29</v>
      </c>
      <c r="D1150" t="s">
        <v>25</v>
      </c>
      <c r="E1150" s="2">
        <v>2</v>
      </c>
      <c r="F1150" t="s">
        <v>83</v>
      </c>
      <c r="G1150">
        <v>6.69</v>
      </c>
      <c r="H1150">
        <v>5.99</v>
      </c>
      <c r="I1150" s="2" t="str">
        <f>_xlfn.XLOOKUP(F1150,DeparaIMG!D:D,DeparaIMG!F:F,,0)</f>
        <v>MICLN.png</v>
      </c>
    </row>
    <row r="1151" spans="1:9" x14ac:dyDescent="0.25">
      <c r="A1151" s="2" t="s">
        <v>98</v>
      </c>
      <c r="B1151" s="2" t="s">
        <v>62</v>
      </c>
      <c r="C1151" t="s">
        <v>29</v>
      </c>
      <c r="D1151" t="s">
        <v>26</v>
      </c>
      <c r="E1151" s="2">
        <v>2</v>
      </c>
      <c r="F1151" t="s">
        <v>83</v>
      </c>
      <c r="G1151">
        <v>6.69</v>
      </c>
      <c r="H1151">
        <v>5.99</v>
      </c>
      <c r="I1151" s="2" t="str">
        <f>_xlfn.XLOOKUP(F1151,DeparaIMG!D:D,DeparaIMG!F:F,,0)</f>
        <v>MICLN.png</v>
      </c>
    </row>
    <row r="1152" spans="1:9" x14ac:dyDescent="0.25">
      <c r="A1152" s="2" t="s">
        <v>98</v>
      </c>
      <c r="B1152" s="2" t="s">
        <v>62</v>
      </c>
      <c r="C1152" t="s">
        <v>87</v>
      </c>
      <c r="D1152" t="s">
        <v>25</v>
      </c>
      <c r="E1152" s="2">
        <v>2</v>
      </c>
      <c r="F1152" t="s">
        <v>83</v>
      </c>
      <c r="G1152">
        <v>6.69</v>
      </c>
      <c r="H1152">
        <v>5.99</v>
      </c>
      <c r="I1152" s="2" t="str">
        <f>_xlfn.XLOOKUP(F1152,DeparaIMG!D:D,DeparaIMG!F:F,,0)</f>
        <v>MICLN.png</v>
      </c>
    </row>
    <row r="1153" spans="1:9" x14ac:dyDescent="0.25">
      <c r="A1153" s="2" t="s">
        <v>98</v>
      </c>
      <c r="B1153" s="2" t="s">
        <v>62</v>
      </c>
      <c r="C1153" t="s">
        <v>87</v>
      </c>
      <c r="D1153" t="s">
        <v>26</v>
      </c>
      <c r="E1153" s="2">
        <v>2</v>
      </c>
      <c r="F1153" t="s">
        <v>83</v>
      </c>
      <c r="G1153">
        <v>6.69</v>
      </c>
      <c r="H1153">
        <v>5.99</v>
      </c>
      <c r="I1153" s="2" t="str">
        <f>_xlfn.XLOOKUP(F1153,DeparaIMG!D:D,DeparaIMG!F:F,,0)</f>
        <v>MICLN.png</v>
      </c>
    </row>
    <row r="1154" spans="1:9" x14ac:dyDescent="0.25">
      <c r="A1154" s="2" t="s">
        <v>98</v>
      </c>
      <c r="B1154" s="2" t="s">
        <v>62</v>
      </c>
      <c r="C1154" t="s">
        <v>88</v>
      </c>
      <c r="D1154" t="s">
        <v>25</v>
      </c>
      <c r="E1154" s="2">
        <v>2</v>
      </c>
      <c r="F1154" t="s">
        <v>83</v>
      </c>
      <c r="G1154">
        <v>6.69</v>
      </c>
      <c r="H1154">
        <v>5.99</v>
      </c>
      <c r="I1154" s="2" t="str">
        <f>_xlfn.XLOOKUP(F1154,DeparaIMG!D:D,DeparaIMG!F:F,,0)</f>
        <v>MICLN.png</v>
      </c>
    </row>
    <row r="1155" spans="1:9" x14ac:dyDescent="0.25">
      <c r="A1155" s="2" t="s">
        <v>98</v>
      </c>
      <c r="B1155" s="2" t="s">
        <v>62</v>
      </c>
      <c r="C1155" t="s">
        <v>88</v>
      </c>
      <c r="D1155" t="s">
        <v>26</v>
      </c>
      <c r="E1155" s="2">
        <v>2</v>
      </c>
      <c r="F1155" t="s">
        <v>83</v>
      </c>
      <c r="G1155">
        <v>6.69</v>
      </c>
      <c r="H1155">
        <v>5.99</v>
      </c>
      <c r="I1155" s="2" t="str">
        <f>_xlfn.XLOOKUP(F1155,DeparaIMG!D:D,DeparaIMG!F:F,,0)</f>
        <v>MICLN.png</v>
      </c>
    </row>
    <row r="1156" spans="1:9" x14ac:dyDescent="0.25">
      <c r="A1156" s="2" t="s">
        <v>98</v>
      </c>
      <c r="B1156" s="2" t="s">
        <v>62</v>
      </c>
      <c r="C1156" t="s">
        <v>113</v>
      </c>
      <c r="D1156" t="s">
        <v>25</v>
      </c>
      <c r="E1156" s="2">
        <v>2</v>
      </c>
      <c r="F1156" t="s">
        <v>83</v>
      </c>
      <c r="G1156">
        <v>6.69</v>
      </c>
      <c r="H1156">
        <v>5.99</v>
      </c>
      <c r="I1156" s="2" t="str">
        <f>_xlfn.XLOOKUP(F1156,DeparaIMG!D:D,DeparaIMG!F:F,,0)</f>
        <v>MICLN.png</v>
      </c>
    </row>
    <row r="1157" spans="1:9" x14ac:dyDescent="0.25">
      <c r="A1157" s="2" t="s">
        <v>98</v>
      </c>
      <c r="B1157" s="2" t="s">
        <v>62</v>
      </c>
      <c r="C1157" t="s">
        <v>113</v>
      </c>
      <c r="D1157" t="s">
        <v>26</v>
      </c>
      <c r="E1157" s="2">
        <v>2</v>
      </c>
      <c r="F1157" t="s">
        <v>83</v>
      </c>
      <c r="G1157">
        <v>6.69</v>
      </c>
      <c r="H1157">
        <v>5.99</v>
      </c>
      <c r="I1157" s="2" t="str">
        <f>_xlfn.XLOOKUP(F1157,DeparaIMG!D:D,DeparaIMG!F:F,,0)</f>
        <v>MICLN.png</v>
      </c>
    </row>
    <row r="1158" spans="1:9" x14ac:dyDescent="0.25">
      <c r="A1158" s="2" t="s">
        <v>98</v>
      </c>
      <c r="B1158" s="2" t="s">
        <v>62</v>
      </c>
      <c r="C1158" t="s">
        <v>90</v>
      </c>
      <c r="D1158" t="s">
        <v>26</v>
      </c>
      <c r="E1158" s="2">
        <v>2</v>
      </c>
      <c r="F1158" t="s">
        <v>83</v>
      </c>
      <c r="G1158">
        <v>6.69</v>
      </c>
      <c r="H1158">
        <v>5.99</v>
      </c>
      <c r="I1158" s="2" t="str">
        <f>_xlfn.XLOOKUP(F1158,DeparaIMG!D:D,DeparaIMG!F:F,,0)</f>
        <v>MICLN.png</v>
      </c>
    </row>
    <row r="1159" spans="1:9" x14ac:dyDescent="0.25">
      <c r="A1159" s="2" t="s">
        <v>98</v>
      </c>
      <c r="B1159" s="2" t="s">
        <v>62</v>
      </c>
      <c r="C1159" t="s">
        <v>89</v>
      </c>
      <c r="D1159" t="s">
        <v>26</v>
      </c>
      <c r="E1159" s="2">
        <v>2</v>
      </c>
      <c r="F1159" t="s">
        <v>83</v>
      </c>
      <c r="G1159">
        <v>6.69</v>
      </c>
      <c r="H1159">
        <v>5.99</v>
      </c>
      <c r="I1159" s="2" t="str">
        <f>_xlfn.XLOOKUP(F1159,DeparaIMG!D:D,DeparaIMG!F:F,,0)</f>
        <v>MICLN.png</v>
      </c>
    </row>
    <row r="1160" spans="1:9" x14ac:dyDescent="0.25">
      <c r="A1160" s="2" t="s">
        <v>98</v>
      </c>
      <c r="B1160" s="2" t="s">
        <v>62</v>
      </c>
      <c r="C1160" t="s">
        <v>89</v>
      </c>
      <c r="D1160" t="s">
        <v>25</v>
      </c>
      <c r="E1160" s="2">
        <v>2</v>
      </c>
      <c r="F1160" t="s">
        <v>83</v>
      </c>
      <c r="G1160">
        <v>6.69</v>
      </c>
      <c r="H1160">
        <v>5.99</v>
      </c>
      <c r="I1160" s="2" t="str">
        <f>_xlfn.XLOOKUP(F1160,DeparaIMG!D:D,DeparaIMG!F:F,,0)</f>
        <v>MICLN.png</v>
      </c>
    </row>
    <row r="1161" spans="1:9" x14ac:dyDescent="0.25">
      <c r="A1161" s="2" t="s">
        <v>98</v>
      </c>
      <c r="B1161" s="2" t="s">
        <v>62</v>
      </c>
      <c r="C1161" t="s">
        <v>90</v>
      </c>
      <c r="D1161" t="s">
        <v>25</v>
      </c>
      <c r="E1161" s="2">
        <v>2</v>
      </c>
      <c r="F1161" t="s">
        <v>83</v>
      </c>
      <c r="G1161">
        <v>6.69</v>
      </c>
      <c r="H1161">
        <v>5.99</v>
      </c>
      <c r="I1161" s="2" t="str">
        <f>_xlfn.XLOOKUP(F1161,DeparaIMG!D:D,DeparaIMG!F:F,,0)</f>
        <v>MICLN.png</v>
      </c>
    </row>
    <row r="1162" spans="1:9" x14ac:dyDescent="0.25">
      <c r="A1162" s="2" t="s">
        <v>98</v>
      </c>
      <c r="B1162" s="2" t="s">
        <v>62</v>
      </c>
      <c r="C1162" t="s">
        <v>113</v>
      </c>
      <c r="D1162" t="s">
        <v>25</v>
      </c>
      <c r="E1162" s="2">
        <v>1</v>
      </c>
      <c r="F1162" t="s">
        <v>84</v>
      </c>
      <c r="G1162">
        <v>6.99</v>
      </c>
      <c r="H1162">
        <v>6.19</v>
      </c>
      <c r="I1162" s="2" t="str">
        <f>_xlfn.XLOOKUP(F1162,DeparaIMG!D:D,DeparaIMG!F:F,,0)</f>
        <v>STELN.png</v>
      </c>
    </row>
    <row r="1163" spans="1:9" x14ac:dyDescent="0.25">
      <c r="A1163" s="2" t="s">
        <v>98</v>
      </c>
      <c r="B1163" s="2" t="s">
        <v>62</v>
      </c>
      <c r="C1163" t="s">
        <v>89</v>
      </c>
      <c r="D1163" t="s">
        <v>25</v>
      </c>
      <c r="E1163" s="2">
        <v>1</v>
      </c>
      <c r="F1163" t="s">
        <v>84</v>
      </c>
      <c r="G1163">
        <v>6.99</v>
      </c>
      <c r="H1163">
        <v>6.19</v>
      </c>
      <c r="I1163" s="2" t="str">
        <f>_xlfn.XLOOKUP(F1163,DeparaIMG!D:D,DeparaIMG!F:F,,0)</f>
        <v>STELN.png</v>
      </c>
    </row>
    <row r="1164" spans="1:9" x14ac:dyDescent="0.25">
      <c r="A1164" s="2" t="s">
        <v>98</v>
      </c>
      <c r="B1164" s="2" t="s">
        <v>62</v>
      </c>
      <c r="C1164" t="s">
        <v>112</v>
      </c>
      <c r="D1164" t="s">
        <v>25</v>
      </c>
      <c r="E1164" s="2">
        <v>1</v>
      </c>
      <c r="F1164" t="s">
        <v>84</v>
      </c>
      <c r="G1164">
        <v>6.99</v>
      </c>
      <c r="H1164">
        <v>6.19</v>
      </c>
      <c r="I1164" s="2" t="str">
        <f>_xlfn.XLOOKUP(F1164,DeparaIMG!D:D,DeparaIMG!F:F,,0)</f>
        <v>STELN.png</v>
      </c>
    </row>
    <row r="1165" spans="1:9" x14ac:dyDescent="0.25">
      <c r="A1165" s="2" t="s">
        <v>98</v>
      </c>
      <c r="B1165" s="2" t="s">
        <v>62</v>
      </c>
      <c r="C1165" t="s">
        <v>29</v>
      </c>
      <c r="D1165" t="s">
        <v>25</v>
      </c>
      <c r="E1165" s="2">
        <v>1</v>
      </c>
      <c r="F1165" t="s">
        <v>84</v>
      </c>
      <c r="G1165">
        <v>6.99</v>
      </c>
      <c r="H1165">
        <v>6.19</v>
      </c>
      <c r="I1165" s="2" t="str">
        <f>_xlfn.XLOOKUP(F1165,DeparaIMG!D:D,DeparaIMG!F:F,,0)</f>
        <v>STELN.png</v>
      </c>
    </row>
    <row r="1166" spans="1:9" x14ac:dyDescent="0.25">
      <c r="A1166" s="2" t="s">
        <v>98</v>
      </c>
      <c r="B1166" s="2" t="s">
        <v>62</v>
      </c>
      <c r="C1166" t="s">
        <v>88</v>
      </c>
      <c r="D1166" t="s">
        <v>25</v>
      </c>
      <c r="E1166" s="2">
        <v>1</v>
      </c>
      <c r="F1166" t="s">
        <v>84</v>
      </c>
      <c r="G1166">
        <v>6.99</v>
      </c>
      <c r="H1166">
        <v>6.19</v>
      </c>
      <c r="I1166" s="2" t="str">
        <f>_xlfn.XLOOKUP(F1166,DeparaIMG!D:D,DeparaIMG!F:F,,0)</f>
        <v>STELN.png</v>
      </c>
    </row>
    <row r="1167" spans="1:9" x14ac:dyDescent="0.25">
      <c r="A1167" s="2" t="s">
        <v>98</v>
      </c>
      <c r="B1167" s="2" t="s">
        <v>62</v>
      </c>
      <c r="C1167" t="s">
        <v>87</v>
      </c>
      <c r="D1167" t="s">
        <v>25</v>
      </c>
      <c r="E1167" s="2">
        <v>1</v>
      </c>
      <c r="F1167" t="s">
        <v>84</v>
      </c>
      <c r="G1167">
        <v>6.99</v>
      </c>
      <c r="H1167">
        <v>6.19</v>
      </c>
      <c r="I1167" s="2" t="str">
        <f>_xlfn.XLOOKUP(F1167,DeparaIMG!D:D,DeparaIMG!F:F,,0)</f>
        <v>STELN.png</v>
      </c>
    </row>
    <row r="1168" spans="1:9" x14ac:dyDescent="0.25">
      <c r="A1168" s="2" t="s">
        <v>98</v>
      </c>
      <c r="B1168" s="2" t="s">
        <v>62</v>
      </c>
      <c r="C1168" t="s">
        <v>90</v>
      </c>
      <c r="D1168" t="s">
        <v>25</v>
      </c>
      <c r="E1168" s="2">
        <v>1</v>
      </c>
      <c r="F1168" t="s">
        <v>84</v>
      </c>
      <c r="G1168">
        <v>6.99</v>
      </c>
      <c r="H1168">
        <v>6.19</v>
      </c>
      <c r="I1168" s="2" t="str">
        <f>_xlfn.XLOOKUP(F1168,DeparaIMG!D:D,DeparaIMG!F:F,,0)</f>
        <v>STELN.png</v>
      </c>
    </row>
    <row r="1169" spans="1:9" x14ac:dyDescent="0.25">
      <c r="A1169" s="2" t="s">
        <v>98</v>
      </c>
      <c r="B1169" s="2" t="s">
        <v>62</v>
      </c>
      <c r="C1169" t="s">
        <v>113</v>
      </c>
      <c r="D1169" t="s">
        <v>26</v>
      </c>
      <c r="E1169" s="2">
        <v>1</v>
      </c>
      <c r="F1169" t="s">
        <v>84</v>
      </c>
      <c r="G1169">
        <v>6.99</v>
      </c>
      <c r="H1169">
        <v>6.19</v>
      </c>
      <c r="I1169" s="2" t="str">
        <f>_xlfn.XLOOKUP(F1169,DeparaIMG!D:D,DeparaIMG!F:F,,0)</f>
        <v>STELN.png</v>
      </c>
    </row>
    <row r="1170" spans="1:9" x14ac:dyDescent="0.25">
      <c r="A1170" s="2" t="s">
        <v>98</v>
      </c>
      <c r="B1170" s="2" t="s">
        <v>62</v>
      </c>
      <c r="C1170" t="s">
        <v>89</v>
      </c>
      <c r="D1170" t="s">
        <v>26</v>
      </c>
      <c r="E1170" s="2">
        <v>1</v>
      </c>
      <c r="F1170" t="s">
        <v>84</v>
      </c>
      <c r="G1170">
        <v>6.99</v>
      </c>
      <c r="H1170">
        <v>6.19</v>
      </c>
      <c r="I1170" s="2" t="str">
        <f>_xlfn.XLOOKUP(F1170,DeparaIMG!D:D,DeparaIMG!F:F,,0)</f>
        <v>STELN.png</v>
      </c>
    </row>
    <row r="1171" spans="1:9" x14ac:dyDescent="0.25">
      <c r="A1171" s="2" t="s">
        <v>98</v>
      </c>
      <c r="B1171" s="2" t="s">
        <v>62</v>
      </c>
      <c r="C1171" t="s">
        <v>112</v>
      </c>
      <c r="D1171" t="s">
        <v>26</v>
      </c>
      <c r="E1171" s="2">
        <v>1</v>
      </c>
      <c r="F1171" t="s">
        <v>84</v>
      </c>
      <c r="G1171">
        <v>6.99</v>
      </c>
      <c r="H1171">
        <v>6.19</v>
      </c>
      <c r="I1171" s="2" t="str">
        <f>_xlfn.XLOOKUP(F1171,DeparaIMG!D:D,DeparaIMG!F:F,,0)</f>
        <v>STELN.png</v>
      </c>
    </row>
    <row r="1172" spans="1:9" x14ac:dyDescent="0.25">
      <c r="A1172" s="2" t="s">
        <v>98</v>
      </c>
      <c r="B1172" s="2" t="s">
        <v>62</v>
      </c>
      <c r="C1172" t="s">
        <v>29</v>
      </c>
      <c r="D1172" t="s">
        <v>26</v>
      </c>
      <c r="E1172" s="2">
        <v>1</v>
      </c>
      <c r="F1172" t="s">
        <v>84</v>
      </c>
      <c r="G1172">
        <v>6.99</v>
      </c>
      <c r="H1172">
        <v>6.19</v>
      </c>
      <c r="I1172" s="2" t="str">
        <f>_xlfn.XLOOKUP(F1172,DeparaIMG!D:D,DeparaIMG!F:F,,0)</f>
        <v>STELN.png</v>
      </c>
    </row>
    <row r="1173" spans="1:9" x14ac:dyDescent="0.25">
      <c r="A1173" s="2" t="s">
        <v>98</v>
      </c>
      <c r="B1173" s="2" t="s">
        <v>62</v>
      </c>
      <c r="C1173" t="s">
        <v>88</v>
      </c>
      <c r="D1173" t="s">
        <v>26</v>
      </c>
      <c r="E1173" s="2">
        <v>1</v>
      </c>
      <c r="F1173" t="s">
        <v>84</v>
      </c>
      <c r="G1173">
        <v>6.99</v>
      </c>
      <c r="H1173">
        <v>6.19</v>
      </c>
      <c r="I1173" s="2" t="str">
        <f>_xlfn.XLOOKUP(F1173,DeparaIMG!D:D,DeparaIMG!F:F,,0)</f>
        <v>STELN.png</v>
      </c>
    </row>
    <row r="1174" spans="1:9" x14ac:dyDescent="0.25">
      <c r="A1174" s="2" t="s">
        <v>98</v>
      </c>
      <c r="B1174" s="2" t="s">
        <v>62</v>
      </c>
      <c r="C1174" t="s">
        <v>87</v>
      </c>
      <c r="D1174" t="s">
        <v>26</v>
      </c>
      <c r="E1174" s="2">
        <v>1</v>
      </c>
      <c r="F1174" t="s">
        <v>84</v>
      </c>
      <c r="G1174">
        <v>6.99</v>
      </c>
      <c r="H1174">
        <v>6.19</v>
      </c>
      <c r="I1174" s="2" t="str">
        <f>_xlfn.XLOOKUP(F1174,DeparaIMG!D:D,DeparaIMG!F:F,,0)</f>
        <v>STELN.png</v>
      </c>
    </row>
    <row r="1175" spans="1:9" x14ac:dyDescent="0.25">
      <c r="A1175" s="2" t="s">
        <v>98</v>
      </c>
      <c r="B1175" s="2" t="s">
        <v>62</v>
      </c>
      <c r="C1175" t="s">
        <v>88</v>
      </c>
      <c r="D1175" t="s">
        <v>25</v>
      </c>
      <c r="E1175" s="2">
        <v>1</v>
      </c>
      <c r="F1175" t="s">
        <v>85</v>
      </c>
      <c r="G1175">
        <v>7.99</v>
      </c>
      <c r="H1175">
        <v>6.99</v>
      </c>
      <c r="I1175" s="2" t="str">
        <f>_xlfn.XLOOKUP(F1175,DeparaIMG!D:D,DeparaIMG!F:F,,0)</f>
        <v>CORLN.png</v>
      </c>
    </row>
    <row r="1176" spans="1:9" x14ac:dyDescent="0.25">
      <c r="A1176" s="2" t="s">
        <v>98</v>
      </c>
      <c r="B1176" s="2" t="s">
        <v>62</v>
      </c>
      <c r="C1176" t="s">
        <v>113</v>
      </c>
      <c r="D1176" t="s">
        <v>26</v>
      </c>
      <c r="E1176" s="2">
        <v>1</v>
      </c>
      <c r="F1176" t="s">
        <v>85</v>
      </c>
      <c r="G1176">
        <v>7.99</v>
      </c>
      <c r="H1176">
        <v>6.99</v>
      </c>
      <c r="I1176" s="2" t="str">
        <f>_xlfn.XLOOKUP(F1176,DeparaIMG!D:D,DeparaIMG!F:F,,0)</f>
        <v>CORLN.png</v>
      </c>
    </row>
    <row r="1177" spans="1:9" x14ac:dyDescent="0.25">
      <c r="A1177" s="2" t="s">
        <v>98</v>
      </c>
      <c r="B1177" s="2" t="s">
        <v>62</v>
      </c>
      <c r="C1177" t="s">
        <v>89</v>
      </c>
      <c r="D1177" t="s">
        <v>26</v>
      </c>
      <c r="E1177" s="2">
        <v>1</v>
      </c>
      <c r="F1177" t="s">
        <v>85</v>
      </c>
      <c r="G1177">
        <v>7.99</v>
      </c>
      <c r="H1177">
        <v>6.99</v>
      </c>
      <c r="I1177" s="2" t="str">
        <f>_xlfn.XLOOKUP(F1177,DeparaIMG!D:D,DeparaIMG!F:F,,0)</f>
        <v>CORLN.png</v>
      </c>
    </row>
    <row r="1178" spans="1:9" x14ac:dyDescent="0.25">
      <c r="A1178" s="2" t="s">
        <v>98</v>
      </c>
      <c r="B1178" s="2" t="s">
        <v>62</v>
      </c>
      <c r="C1178" t="s">
        <v>90</v>
      </c>
      <c r="D1178" t="s">
        <v>26</v>
      </c>
      <c r="E1178" s="2">
        <v>1</v>
      </c>
      <c r="F1178" t="s">
        <v>85</v>
      </c>
      <c r="G1178">
        <v>7.99</v>
      </c>
      <c r="H1178">
        <v>6.99</v>
      </c>
      <c r="I1178" s="2" t="str">
        <f>_xlfn.XLOOKUP(F1178,DeparaIMG!D:D,DeparaIMG!F:F,,0)</f>
        <v>CORLN.png</v>
      </c>
    </row>
    <row r="1179" spans="1:9" x14ac:dyDescent="0.25">
      <c r="A1179" s="2" t="s">
        <v>98</v>
      </c>
      <c r="B1179" s="2" t="s">
        <v>62</v>
      </c>
      <c r="C1179" t="s">
        <v>89</v>
      </c>
      <c r="D1179" t="s">
        <v>25</v>
      </c>
      <c r="E1179" s="2">
        <v>1</v>
      </c>
      <c r="F1179" t="s">
        <v>85</v>
      </c>
      <c r="G1179">
        <v>7.99</v>
      </c>
      <c r="H1179">
        <v>6.99</v>
      </c>
      <c r="I1179" s="2" t="str">
        <f>_xlfn.XLOOKUP(F1179,DeparaIMG!D:D,DeparaIMG!F:F,,0)</f>
        <v>CORLN.png</v>
      </c>
    </row>
    <row r="1180" spans="1:9" x14ac:dyDescent="0.25">
      <c r="A1180" s="2" t="s">
        <v>98</v>
      </c>
      <c r="B1180" s="2" t="s">
        <v>62</v>
      </c>
      <c r="C1180" t="s">
        <v>90</v>
      </c>
      <c r="D1180" t="s">
        <v>25</v>
      </c>
      <c r="E1180" s="2">
        <v>1</v>
      </c>
      <c r="F1180" t="s">
        <v>85</v>
      </c>
      <c r="G1180">
        <v>7.99</v>
      </c>
      <c r="H1180">
        <v>6.99</v>
      </c>
      <c r="I1180" s="2" t="str">
        <f>_xlfn.XLOOKUP(F1180,DeparaIMG!D:D,DeparaIMG!F:F,,0)</f>
        <v>CORLN.png</v>
      </c>
    </row>
    <row r="1181" spans="1:9" x14ac:dyDescent="0.25">
      <c r="A1181" s="2" t="s">
        <v>98</v>
      </c>
      <c r="B1181" s="2" t="s">
        <v>62</v>
      </c>
      <c r="C1181" t="s">
        <v>88</v>
      </c>
      <c r="D1181" t="s">
        <v>25</v>
      </c>
      <c r="E1181" s="2">
        <v>1</v>
      </c>
      <c r="F1181" t="s">
        <v>86</v>
      </c>
      <c r="G1181">
        <v>7.99</v>
      </c>
      <c r="H1181">
        <v>6.99</v>
      </c>
      <c r="I1181" s="2" t="str">
        <f>_xlfn.XLOOKUP(F1181,DeparaIMG!D:D,DeparaIMG!F:F,,0)</f>
        <v>CORCEROLN.png</v>
      </c>
    </row>
    <row r="1182" spans="1:9" x14ac:dyDescent="0.25">
      <c r="A1182" s="2" t="s">
        <v>98</v>
      </c>
      <c r="B1182" s="2" t="s">
        <v>62</v>
      </c>
      <c r="C1182" t="s">
        <v>113</v>
      </c>
      <c r="D1182" t="s">
        <v>26</v>
      </c>
      <c r="E1182" s="2">
        <v>1</v>
      </c>
      <c r="F1182" t="s">
        <v>86</v>
      </c>
      <c r="G1182">
        <v>7.99</v>
      </c>
      <c r="H1182">
        <v>6.99</v>
      </c>
      <c r="I1182" s="2" t="str">
        <f>_xlfn.XLOOKUP(F1182,DeparaIMG!D:D,DeparaIMG!F:F,,0)</f>
        <v>CORCEROLN.png</v>
      </c>
    </row>
    <row r="1183" spans="1:9" x14ac:dyDescent="0.25">
      <c r="A1183" s="2" t="s">
        <v>98</v>
      </c>
      <c r="B1183" s="2" t="s">
        <v>62</v>
      </c>
      <c r="C1183" t="s">
        <v>89</v>
      </c>
      <c r="D1183" t="s">
        <v>26</v>
      </c>
      <c r="E1183" s="2">
        <v>1</v>
      </c>
      <c r="F1183" t="s">
        <v>86</v>
      </c>
      <c r="G1183">
        <v>7.99</v>
      </c>
      <c r="H1183">
        <v>6.99</v>
      </c>
      <c r="I1183" s="2" t="str">
        <f>_xlfn.XLOOKUP(F1183,DeparaIMG!D:D,DeparaIMG!F:F,,0)</f>
        <v>CORCEROLN.png</v>
      </c>
    </row>
    <row r="1184" spans="1:9" x14ac:dyDescent="0.25">
      <c r="A1184" s="2" t="s">
        <v>98</v>
      </c>
      <c r="B1184" s="2" t="s">
        <v>62</v>
      </c>
      <c r="C1184" t="s">
        <v>90</v>
      </c>
      <c r="D1184" t="s">
        <v>26</v>
      </c>
      <c r="E1184" s="2">
        <v>1</v>
      </c>
      <c r="F1184" t="s">
        <v>86</v>
      </c>
      <c r="G1184">
        <v>7.99</v>
      </c>
      <c r="H1184">
        <v>6.99</v>
      </c>
      <c r="I1184" s="2" t="str">
        <f>_xlfn.XLOOKUP(F1184,DeparaIMG!D:D,DeparaIMG!F:F,,0)</f>
        <v>CORCEROLN.png</v>
      </c>
    </row>
    <row r="1185" spans="1:9" x14ac:dyDescent="0.25">
      <c r="A1185" s="2" t="s">
        <v>98</v>
      </c>
      <c r="B1185" s="2" t="s">
        <v>62</v>
      </c>
      <c r="C1185" t="s">
        <v>89</v>
      </c>
      <c r="D1185" t="s">
        <v>25</v>
      </c>
      <c r="E1185" s="2">
        <v>1</v>
      </c>
      <c r="F1185" t="s">
        <v>86</v>
      </c>
      <c r="G1185">
        <v>7.99</v>
      </c>
      <c r="H1185">
        <v>6.99</v>
      </c>
      <c r="I1185" s="2" t="str">
        <f>_xlfn.XLOOKUP(F1185,DeparaIMG!D:D,DeparaIMG!F:F,,0)</f>
        <v>CORCEROLN.png</v>
      </c>
    </row>
    <row r="1186" spans="1:9" x14ac:dyDescent="0.25">
      <c r="A1186" s="2" t="s">
        <v>98</v>
      </c>
      <c r="B1186" s="2" t="s">
        <v>62</v>
      </c>
      <c r="C1186" t="s">
        <v>90</v>
      </c>
      <c r="D1186" t="s">
        <v>25</v>
      </c>
      <c r="E1186" s="2">
        <v>1</v>
      </c>
      <c r="F1186" t="s">
        <v>86</v>
      </c>
      <c r="G1186">
        <v>7.99</v>
      </c>
      <c r="H1186">
        <v>6.99</v>
      </c>
      <c r="I1186" s="2" t="str">
        <f>_xlfn.XLOOKUP(F1186,DeparaIMG!D:D,DeparaIMG!F:F,,0)</f>
        <v>CORCEROLN.png</v>
      </c>
    </row>
    <row r="1187" spans="1:9" x14ac:dyDescent="0.25">
      <c r="A1187" s="2" t="s">
        <v>98</v>
      </c>
      <c r="B1187" s="2" t="s">
        <v>62</v>
      </c>
      <c r="C1187" t="s">
        <v>112</v>
      </c>
      <c r="D1187" t="s">
        <v>25</v>
      </c>
      <c r="E1187" s="2">
        <v>1</v>
      </c>
      <c r="F1187" t="s">
        <v>85</v>
      </c>
      <c r="G1187">
        <v>7.99</v>
      </c>
      <c r="H1187">
        <v>6.99</v>
      </c>
      <c r="I1187" s="2" t="str">
        <f>_xlfn.XLOOKUP(F1187,DeparaIMG!D:D,DeparaIMG!F:F,,0)</f>
        <v>CORLN.png</v>
      </c>
    </row>
    <row r="1188" spans="1:9" x14ac:dyDescent="0.25">
      <c r="A1188" s="2" t="s">
        <v>98</v>
      </c>
      <c r="B1188" s="2" t="s">
        <v>62</v>
      </c>
      <c r="C1188" t="s">
        <v>112</v>
      </c>
      <c r="D1188" t="s">
        <v>26</v>
      </c>
      <c r="E1188" s="2">
        <v>1</v>
      </c>
      <c r="F1188" t="s">
        <v>85</v>
      </c>
      <c r="G1188">
        <v>7.99</v>
      </c>
      <c r="H1188">
        <v>6.99</v>
      </c>
      <c r="I1188" s="2" t="str">
        <f>_xlfn.XLOOKUP(F1188,DeparaIMG!D:D,DeparaIMG!F:F,,0)</f>
        <v>CORLN.png</v>
      </c>
    </row>
    <row r="1189" spans="1:9" x14ac:dyDescent="0.25">
      <c r="A1189" s="2" t="s">
        <v>98</v>
      </c>
      <c r="B1189" s="2" t="s">
        <v>62</v>
      </c>
      <c r="C1189" t="s">
        <v>29</v>
      </c>
      <c r="D1189" t="s">
        <v>25</v>
      </c>
      <c r="E1189" s="2">
        <v>1</v>
      </c>
      <c r="F1189" t="s">
        <v>85</v>
      </c>
      <c r="G1189">
        <v>7.99</v>
      </c>
      <c r="H1189">
        <v>6.99</v>
      </c>
      <c r="I1189" s="2" t="str">
        <f>_xlfn.XLOOKUP(F1189,DeparaIMG!D:D,DeparaIMG!F:F,,0)</f>
        <v>CORLN.png</v>
      </c>
    </row>
    <row r="1190" spans="1:9" x14ac:dyDescent="0.25">
      <c r="A1190" s="2" t="s">
        <v>98</v>
      </c>
      <c r="B1190" s="2" t="s">
        <v>62</v>
      </c>
      <c r="C1190" t="s">
        <v>29</v>
      </c>
      <c r="D1190" t="s">
        <v>26</v>
      </c>
      <c r="E1190" s="2">
        <v>1</v>
      </c>
      <c r="F1190" t="s">
        <v>85</v>
      </c>
      <c r="G1190">
        <v>7.99</v>
      </c>
      <c r="H1190">
        <v>6.99</v>
      </c>
      <c r="I1190" s="2" t="str">
        <f>_xlfn.XLOOKUP(F1190,DeparaIMG!D:D,DeparaIMG!F:F,,0)</f>
        <v>CORLN.png</v>
      </c>
    </row>
    <row r="1191" spans="1:9" x14ac:dyDescent="0.25">
      <c r="A1191" s="2" t="s">
        <v>98</v>
      </c>
      <c r="B1191" s="2" t="s">
        <v>62</v>
      </c>
      <c r="C1191" t="s">
        <v>87</v>
      </c>
      <c r="D1191" t="s">
        <v>25</v>
      </c>
      <c r="E1191" s="2">
        <v>1</v>
      </c>
      <c r="F1191" t="s">
        <v>85</v>
      </c>
      <c r="G1191">
        <v>7.99</v>
      </c>
      <c r="H1191">
        <v>6.99</v>
      </c>
      <c r="I1191" s="2" t="str">
        <f>_xlfn.XLOOKUP(F1191,DeparaIMG!D:D,DeparaIMG!F:F,,0)</f>
        <v>CORLN.png</v>
      </c>
    </row>
    <row r="1192" spans="1:9" x14ac:dyDescent="0.25">
      <c r="A1192" s="2" t="s">
        <v>98</v>
      </c>
      <c r="B1192" s="2" t="s">
        <v>62</v>
      </c>
      <c r="C1192" t="s">
        <v>87</v>
      </c>
      <c r="D1192" t="s">
        <v>26</v>
      </c>
      <c r="E1192" s="2">
        <v>1</v>
      </c>
      <c r="F1192" t="s">
        <v>85</v>
      </c>
      <c r="G1192">
        <v>7.99</v>
      </c>
      <c r="H1192">
        <v>6.99</v>
      </c>
      <c r="I1192" s="2" t="str">
        <f>_xlfn.XLOOKUP(F1192,DeparaIMG!D:D,DeparaIMG!F:F,,0)</f>
        <v>CORLN.png</v>
      </c>
    </row>
    <row r="1193" spans="1:9" x14ac:dyDescent="0.25">
      <c r="A1193" s="2" t="s">
        <v>98</v>
      </c>
      <c r="B1193" s="2" t="s">
        <v>62</v>
      </c>
      <c r="C1193" t="s">
        <v>88</v>
      </c>
      <c r="D1193" t="s">
        <v>26</v>
      </c>
      <c r="E1193" s="2">
        <v>1</v>
      </c>
      <c r="F1193" t="s">
        <v>85</v>
      </c>
      <c r="G1193">
        <v>7.99</v>
      </c>
      <c r="H1193">
        <v>6.99</v>
      </c>
      <c r="I1193" s="2" t="str">
        <f>_xlfn.XLOOKUP(F1193,DeparaIMG!D:D,DeparaIMG!F:F,,0)</f>
        <v>CORLN.png</v>
      </c>
    </row>
    <row r="1194" spans="1:9" x14ac:dyDescent="0.25">
      <c r="A1194" s="2" t="s">
        <v>98</v>
      </c>
      <c r="B1194" s="2" t="s">
        <v>62</v>
      </c>
      <c r="C1194" t="s">
        <v>113</v>
      </c>
      <c r="D1194" t="s">
        <v>25</v>
      </c>
      <c r="E1194" s="2">
        <v>1</v>
      </c>
      <c r="F1194" t="s">
        <v>85</v>
      </c>
      <c r="G1194">
        <v>7.99</v>
      </c>
      <c r="H1194">
        <v>6.99</v>
      </c>
      <c r="I1194" s="2" t="str">
        <f>_xlfn.XLOOKUP(F1194,DeparaIMG!D:D,DeparaIMG!F:F,,0)</f>
        <v>CORLN.png</v>
      </c>
    </row>
    <row r="1195" spans="1:9" x14ac:dyDescent="0.25">
      <c r="A1195" s="2" t="s">
        <v>98</v>
      </c>
      <c r="B1195" s="2" t="s">
        <v>62</v>
      </c>
      <c r="C1195" t="s">
        <v>112</v>
      </c>
      <c r="D1195" t="s">
        <v>25</v>
      </c>
      <c r="E1195" s="2">
        <v>1</v>
      </c>
      <c r="F1195" t="s">
        <v>86</v>
      </c>
      <c r="G1195">
        <v>7.99</v>
      </c>
      <c r="H1195">
        <v>6.99</v>
      </c>
      <c r="I1195" s="2" t="str">
        <f>_xlfn.XLOOKUP(F1195,DeparaIMG!D:D,DeparaIMG!F:F,,0)</f>
        <v>CORCEROLN.png</v>
      </c>
    </row>
    <row r="1196" spans="1:9" x14ac:dyDescent="0.25">
      <c r="A1196" s="2" t="s">
        <v>98</v>
      </c>
      <c r="B1196" s="2" t="s">
        <v>62</v>
      </c>
      <c r="C1196" t="s">
        <v>112</v>
      </c>
      <c r="D1196" t="s">
        <v>26</v>
      </c>
      <c r="E1196" s="2">
        <v>1</v>
      </c>
      <c r="F1196" t="s">
        <v>86</v>
      </c>
      <c r="G1196">
        <v>7.99</v>
      </c>
      <c r="H1196">
        <v>6.99</v>
      </c>
      <c r="I1196" s="2" t="str">
        <f>_xlfn.XLOOKUP(F1196,DeparaIMG!D:D,DeparaIMG!F:F,,0)</f>
        <v>CORCEROLN.png</v>
      </c>
    </row>
    <row r="1197" spans="1:9" x14ac:dyDescent="0.25">
      <c r="A1197" s="2" t="s">
        <v>98</v>
      </c>
      <c r="B1197" s="2" t="s">
        <v>62</v>
      </c>
      <c r="C1197" t="s">
        <v>29</v>
      </c>
      <c r="D1197" t="s">
        <v>25</v>
      </c>
      <c r="E1197" s="2">
        <v>1</v>
      </c>
      <c r="F1197" t="s">
        <v>86</v>
      </c>
      <c r="G1197">
        <v>7.99</v>
      </c>
      <c r="H1197">
        <v>6.99</v>
      </c>
      <c r="I1197" s="2" t="str">
        <f>_xlfn.XLOOKUP(F1197,DeparaIMG!D:D,DeparaIMG!F:F,,0)</f>
        <v>CORCEROLN.png</v>
      </c>
    </row>
    <row r="1198" spans="1:9" x14ac:dyDescent="0.25">
      <c r="A1198" s="2" t="s">
        <v>98</v>
      </c>
      <c r="B1198" s="2" t="s">
        <v>62</v>
      </c>
      <c r="C1198" t="s">
        <v>29</v>
      </c>
      <c r="D1198" t="s">
        <v>26</v>
      </c>
      <c r="E1198" s="2">
        <v>1</v>
      </c>
      <c r="F1198" t="s">
        <v>86</v>
      </c>
      <c r="G1198">
        <v>7.99</v>
      </c>
      <c r="H1198">
        <v>6.99</v>
      </c>
      <c r="I1198" s="2" t="str">
        <f>_xlfn.XLOOKUP(F1198,DeparaIMG!D:D,DeparaIMG!F:F,,0)</f>
        <v>CORCEROLN.png</v>
      </c>
    </row>
    <row r="1199" spans="1:9" x14ac:dyDescent="0.25">
      <c r="A1199" s="2" t="s">
        <v>98</v>
      </c>
      <c r="B1199" s="2" t="s">
        <v>62</v>
      </c>
      <c r="C1199" t="s">
        <v>87</v>
      </c>
      <c r="D1199" t="s">
        <v>25</v>
      </c>
      <c r="E1199" s="2">
        <v>1</v>
      </c>
      <c r="F1199" t="s">
        <v>86</v>
      </c>
      <c r="G1199">
        <v>7.99</v>
      </c>
      <c r="H1199">
        <v>6.99</v>
      </c>
      <c r="I1199" s="2" t="str">
        <f>_xlfn.XLOOKUP(F1199,DeparaIMG!D:D,DeparaIMG!F:F,,0)</f>
        <v>CORCEROLN.png</v>
      </c>
    </row>
    <row r="1200" spans="1:9" x14ac:dyDescent="0.25">
      <c r="A1200" s="2" t="s">
        <v>98</v>
      </c>
      <c r="B1200" s="2" t="s">
        <v>62</v>
      </c>
      <c r="C1200" t="s">
        <v>87</v>
      </c>
      <c r="D1200" t="s">
        <v>26</v>
      </c>
      <c r="E1200" s="2">
        <v>1</v>
      </c>
      <c r="F1200" t="s">
        <v>86</v>
      </c>
      <c r="G1200">
        <v>7.99</v>
      </c>
      <c r="H1200">
        <v>6.99</v>
      </c>
      <c r="I1200" s="2" t="str">
        <f>_xlfn.XLOOKUP(F1200,DeparaIMG!D:D,DeparaIMG!F:F,,0)</f>
        <v>CORCEROLN.png</v>
      </c>
    </row>
    <row r="1201" spans="1:9" x14ac:dyDescent="0.25">
      <c r="A1201" s="2" t="s">
        <v>98</v>
      </c>
      <c r="B1201" s="2" t="s">
        <v>62</v>
      </c>
      <c r="C1201" t="s">
        <v>88</v>
      </c>
      <c r="D1201" t="s">
        <v>26</v>
      </c>
      <c r="E1201" s="2">
        <v>1</v>
      </c>
      <c r="F1201" t="s">
        <v>86</v>
      </c>
      <c r="G1201">
        <v>7.99</v>
      </c>
      <c r="H1201">
        <v>6.99</v>
      </c>
      <c r="I1201" s="2" t="str">
        <f>_xlfn.XLOOKUP(F1201,DeparaIMG!D:D,DeparaIMG!F:F,,0)</f>
        <v>CORCEROLN.png</v>
      </c>
    </row>
    <row r="1202" spans="1:9" x14ac:dyDescent="0.25">
      <c r="A1202" s="2" t="s">
        <v>98</v>
      </c>
      <c r="B1202" s="2" t="s">
        <v>62</v>
      </c>
      <c r="C1202" t="s">
        <v>113</v>
      </c>
      <c r="D1202" t="s">
        <v>25</v>
      </c>
      <c r="E1202" s="2">
        <v>1</v>
      </c>
      <c r="F1202" t="s">
        <v>86</v>
      </c>
      <c r="G1202">
        <v>7.99</v>
      </c>
      <c r="H1202">
        <v>6.99</v>
      </c>
      <c r="I1202" s="2" t="str">
        <f>_xlfn.XLOOKUP(F1202,DeparaIMG!D:D,DeparaIMG!F:F,,0)</f>
        <v>CORCEROLN.png</v>
      </c>
    </row>
    <row r="1203" spans="1:9" x14ac:dyDescent="0.25">
      <c r="A1203" s="2" t="s">
        <v>98</v>
      </c>
      <c r="B1203" s="2" t="s">
        <v>62</v>
      </c>
      <c r="C1203" t="s">
        <v>90</v>
      </c>
      <c r="D1203" t="s">
        <v>26</v>
      </c>
      <c r="E1203" s="2">
        <v>1</v>
      </c>
      <c r="F1203" t="s">
        <v>84</v>
      </c>
      <c r="G1203">
        <v>6.99</v>
      </c>
      <c r="H1203">
        <v>6.19</v>
      </c>
      <c r="I1203" s="2" t="str">
        <f>_xlfn.XLOOKUP(F1203,DeparaIMG!D:D,DeparaIMG!F:F,,0)</f>
        <v>STELN.png</v>
      </c>
    </row>
    <row r="1204" spans="1:9" x14ac:dyDescent="0.25">
      <c r="A1204" s="2" t="s">
        <v>98</v>
      </c>
      <c r="B1204" s="2" t="s">
        <v>62</v>
      </c>
      <c r="C1204" t="s">
        <v>88</v>
      </c>
      <c r="D1204" t="s">
        <v>26</v>
      </c>
      <c r="E1204" s="2">
        <v>1</v>
      </c>
      <c r="F1204" t="s">
        <v>119</v>
      </c>
      <c r="G1204">
        <v>3.09</v>
      </c>
      <c r="H1204">
        <v>2.79</v>
      </c>
      <c r="I1204" s="2" t="str">
        <f>_xlfn.XLOOKUP(F1204,DeparaIMG!D:D,DeparaIMG!F:F,,0)</f>
        <v>BC269MP.png</v>
      </c>
    </row>
    <row r="1205" spans="1:9" x14ac:dyDescent="0.25">
      <c r="A1205" s="2" t="s">
        <v>98</v>
      </c>
      <c r="B1205" s="2" t="s">
        <v>62</v>
      </c>
      <c r="C1205" t="s">
        <v>88</v>
      </c>
      <c r="D1205" t="s">
        <v>26</v>
      </c>
      <c r="E1205" s="2">
        <v>2</v>
      </c>
      <c r="F1205" t="s">
        <v>116</v>
      </c>
      <c r="G1205">
        <v>3.09</v>
      </c>
      <c r="H1205">
        <v>2.79</v>
      </c>
      <c r="I1205" s="2" t="str">
        <f>_xlfn.XLOOKUP(F1205,DeparaIMG!D:D,DeparaIMG!F:F,,0)</f>
        <v>SK269MP.png</v>
      </c>
    </row>
    <row r="1206" spans="1:9" x14ac:dyDescent="0.25">
      <c r="A1206" s="2" t="s">
        <v>98</v>
      </c>
      <c r="B1206" s="2" t="s">
        <v>62</v>
      </c>
      <c r="C1206" t="s">
        <v>88</v>
      </c>
      <c r="D1206" t="s">
        <v>26</v>
      </c>
      <c r="E1206" s="2">
        <v>1</v>
      </c>
      <c r="F1206" t="s">
        <v>117</v>
      </c>
      <c r="G1206">
        <v>3.29</v>
      </c>
      <c r="H1206">
        <v>2.89</v>
      </c>
      <c r="I1206" s="2" t="str">
        <f>_xlfn.XLOOKUP(F1206,DeparaIMG!D:D,DeparaIMG!F:F,,0)</f>
        <v>BUD269MP.png</v>
      </c>
    </row>
    <row r="1207" spans="1:9" x14ac:dyDescent="0.25">
      <c r="A1207" s="2" t="s">
        <v>98</v>
      </c>
      <c r="B1207" s="2" t="s">
        <v>62</v>
      </c>
      <c r="C1207" t="s">
        <v>88</v>
      </c>
      <c r="D1207" t="s">
        <v>26</v>
      </c>
      <c r="E1207" s="2">
        <v>2</v>
      </c>
      <c r="F1207" t="s">
        <v>118</v>
      </c>
      <c r="G1207">
        <v>3.69</v>
      </c>
      <c r="H1207">
        <v>3.39</v>
      </c>
      <c r="I1207" s="2" t="str">
        <f>_xlfn.XLOOKUP(F1207,DeparaIMG!D:D,DeparaIMG!F:F,,0)</f>
        <v>ORI269MP.png</v>
      </c>
    </row>
    <row r="1208" spans="1:9" x14ac:dyDescent="0.25">
      <c r="A1208" s="2" t="s">
        <v>98</v>
      </c>
      <c r="B1208" s="2" t="s">
        <v>62</v>
      </c>
      <c r="C1208" t="s">
        <v>112</v>
      </c>
      <c r="D1208" t="s">
        <v>26</v>
      </c>
      <c r="E1208" s="2">
        <v>2</v>
      </c>
      <c r="F1208" t="s">
        <v>65</v>
      </c>
      <c r="G1208">
        <v>4.49</v>
      </c>
      <c r="H1208">
        <v>4.49</v>
      </c>
      <c r="I1208" s="2" t="str">
        <f>_xlfn.XLOOKUP(F1208,DeparaIMG!D:D,DeparaIMG!F:F,,0)</f>
        <v>STE350.png</v>
      </c>
    </row>
    <row r="1209" spans="1:9" x14ac:dyDescent="0.25">
      <c r="A1209" s="2" t="s">
        <v>98</v>
      </c>
      <c r="B1209" s="2" t="s">
        <v>62</v>
      </c>
      <c r="C1209" t="s">
        <v>87</v>
      </c>
      <c r="D1209" t="s">
        <v>25</v>
      </c>
      <c r="E1209" s="2">
        <v>1</v>
      </c>
      <c r="F1209" t="s">
        <v>69</v>
      </c>
      <c r="G1209">
        <v>3.49</v>
      </c>
      <c r="H1209">
        <v>3.09</v>
      </c>
      <c r="I1209" s="2" t="str">
        <f>_xlfn.XLOOKUP(F1209,DeparaIMG!D:D,DeparaIMG!F:F,,0)</f>
        <v>BUD269.png</v>
      </c>
    </row>
    <row r="1210" spans="1:9" x14ac:dyDescent="0.25">
      <c r="A1210" s="2" t="s">
        <v>98</v>
      </c>
      <c r="B1210" s="2" t="s">
        <v>62</v>
      </c>
      <c r="C1210" t="s">
        <v>88</v>
      </c>
      <c r="D1210" t="s">
        <v>25</v>
      </c>
      <c r="E1210" s="2">
        <v>1</v>
      </c>
      <c r="F1210" t="s">
        <v>69</v>
      </c>
      <c r="G1210">
        <v>3.49</v>
      </c>
      <c r="H1210">
        <v>2.99</v>
      </c>
      <c r="I1210" s="2" t="str">
        <f>_xlfn.XLOOKUP(F1210,DeparaIMG!D:D,DeparaIMG!F:F,,0)</f>
        <v>BUD269.png</v>
      </c>
    </row>
    <row r="1211" spans="1:9" x14ac:dyDescent="0.25">
      <c r="A1211" s="2" t="s">
        <v>98</v>
      </c>
      <c r="B1211" s="2" t="s">
        <v>62</v>
      </c>
      <c r="C1211" t="s">
        <v>89</v>
      </c>
      <c r="D1211" t="s">
        <v>25</v>
      </c>
      <c r="E1211" s="2">
        <v>1</v>
      </c>
      <c r="F1211" t="s">
        <v>69</v>
      </c>
      <c r="G1211">
        <v>3.49</v>
      </c>
      <c r="H1211">
        <v>2.99</v>
      </c>
      <c r="I1211" s="2" t="str">
        <f>_xlfn.XLOOKUP(F1211,DeparaIMG!D:D,DeparaIMG!F:F,,0)</f>
        <v>BUD269.png</v>
      </c>
    </row>
    <row r="1212" spans="1:9" x14ac:dyDescent="0.25">
      <c r="A1212" s="2" t="s">
        <v>98</v>
      </c>
      <c r="B1212" s="2" t="s">
        <v>62</v>
      </c>
      <c r="C1212" t="s">
        <v>90</v>
      </c>
      <c r="D1212" t="s">
        <v>25</v>
      </c>
      <c r="E1212" s="2">
        <v>1</v>
      </c>
      <c r="F1212" t="s">
        <v>69</v>
      </c>
      <c r="G1212">
        <v>3.49</v>
      </c>
      <c r="H1212">
        <v>2.99</v>
      </c>
      <c r="I1212" s="2" t="str">
        <f>_xlfn.XLOOKUP(F1212,DeparaIMG!D:D,DeparaIMG!F:F,,0)</f>
        <v>BUD269.png</v>
      </c>
    </row>
    <row r="1213" spans="1:9" x14ac:dyDescent="0.25">
      <c r="A1213" s="2" t="s">
        <v>98</v>
      </c>
      <c r="B1213" s="2" t="s">
        <v>62</v>
      </c>
      <c r="C1213" t="s">
        <v>90</v>
      </c>
      <c r="D1213" t="s">
        <v>25</v>
      </c>
      <c r="E1213" s="2">
        <v>2</v>
      </c>
      <c r="F1213" t="s">
        <v>75</v>
      </c>
      <c r="G1213">
        <v>4.29</v>
      </c>
      <c r="H1213">
        <v>3.49</v>
      </c>
      <c r="I1213" s="2" t="str">
        <f>_xlfn.XLOOKUP(F1213,DeparaIMG!D:D,DeparaIMG!F:F,,0)</f>
        <v>STE269.png</v>
      </c>
    </row>
    <row r="1214" spans="1:9" x14ac:dyDescent="0.25">
      <c r="A1214" s="2" t="s">
        <v>98</v>
      </c>
      <c r="B1214" s="2" t="s">
        <v>62</v>
      </c>
      <c r="C1214" t="s">
        <v>87</v>
      </c>
      <c r="D1214" t="s">
        <v>25</v>
      </c>
      <c r="E1214" s="2">
        <v>2</v>
      </c>
      <c r="F1214" t="s">
        <v>75</v>
      </c>
      <c r="G1214">
        <v>4.29</v>
      </c>
      <c r="H1214">
        <v>3.49</v>
      </c>
      <c r="I1214" s="2" t="str">
        <f>_xlfn.XLOOKUP(F1214,DeparaIMG!D:D,DeparaIMG!F:F,,0)</f>
        <v>STE269.png</v>
      </c>
    </row>
    <row r="1215" spans="1:9" x14ac:dyDescent="0.25">
      <c r="A1215" s="2" t="s">
        <v>98</v>
      </c>
      <c r="B1215" s="2" t="s">
        <v>62</v>
      </c>
      <c r="C1215" t="s">
        <v>88</v>
      </c>
      <c r="D1215" t="s">
        <v>25</v>
      </c>
      <c r="E1215" s="2">
        <v>2</v>
      </c>
      <c r="F1215" t="s">
        <v>75</v>
      </c>
      <c r="G1215">
        <v>4.29</v>
      </c>
      <c r="H1215">
        <v>3.49</v>
      </c>
      <c r="I1215" s="2" t="str">
        <f>_xlfn.XLOOKUP(F1215,DeparaIMG!D:D,DeparaIMG!F:F,,0)</f>
        <v>STE269.png</v>
      </c>
    </row>
    <row r="1216" spans="1:9" x14ac:dyDescent="0.25">
      <c r="A1216" s="2" t="s">
        <v>98</v>
      </c>
      <c r="B1216" s="2" t="s">
        <v>62</v>
      </c>
      <c r="C1216" t="s">
        <v>89</v>
      </c>
      <c r="D1216" t="s">
        <v>25</v>
      </c>
      <c r="E1216" s="2">
        <v>2</v>
      </c>
      <c r="F1216" t="s">
        <v>75</v>
      </c>
      <c r="G1216">
        <v>4.29</v>
      </c>
      <c r="H1216">
        <v>3.49</v>
      </c>
      <c r="I1216" s="2" t="str">
        <f>_xlfn.XLOOKUP(F1216,DeparaIMG!D:D,DeparaIMG!F:F,,0)</f>
        <v>STE269.png</v>
      </c>
    </row>
    <row r="1217" spans="1:9" x14ac:dyDescent="0.25">
      <c r="A1217" s="2" t="s">
        <v>98</v>
      </c>
      <c r="B1217" s="2" t="s">
        <v>62</v>
      </c>
      <c r="C1217" t="s">
        <v>89</v>
      </c>
      <c r="D1217" t="s">
        <v>26</v>
      </c>
      <c r="E1217" s="2">
        <v>1</v>
      </c>
      <c r="F1217" t="s">
        <v>119</v>
      </c>
      <c r="G1217">
        <v>2.99</v>
      </c>
      <c r="H1217">
        <v>2.79</v>
      </c>
      <c r="I1217" s="2" t="str">
        <f>_xlfn.XLOOKUP(F1217,DeparaIMG!D:D,DeparaIMG!F:F,,0)</f>
        <v>BC269MP.png</v>
      </c>
    </row>
    <row r="1218" spans="1:9" x14ac:dyDescent="0.25">
      <c r="A1218" s="2" t="s">
        <v>98</v>
      </c>
      <c r="B1218" s="2" t="s">
        <v>62</v>
      </c>
      <c r="C1218" t="s">
        <v>89</v>
      </c>
      <c r="D1218" t="s">
        <v>26</v>
      </c>
      <c r="E1218" s="2">
        <v>1</v>
      </c>
      <c r="F1218" t="s">
        <v>117</v>
      </c>
      <c r="G1218">
        <v>3.29</v>
      </c>
      <c r="H1218">
        <v>2.89</v>
      </c>
      <c r="I1218" s="2" t="str">
        <f>_xlfn.XLOOKUP(F1218,DeparaIMG!D:D,DeparaIMG!F:F,,0)</f>
        <v>BUD269MP.png</v>
      </c>
    </row>
    <row r="1219" spans="1:9" x14ac:dyDescent="0.25">
      <c r="A1219" s="2" t="s">
        <v>98</v>
      </c>
      <c r="B1219" s="2" t="s">
        <v>62</v>
      </c>
      <c r="C1219" t="s">
        <v>89</v>
      </c>
      <c r="D1219" t="s">
        <v>26</v>
      </c>
      <c r="E1219" s="2">
        <v>2</v>
      </c>
      <c r="F1219" t="s">
        <v>116</v>
      </c>
      <c r="G1219">
        <v>3.19</v>
      </c>
      <c r="H1219">
        <v>2.99</v>
      </c>
      <c r="I1219" s="2" t="str">
        <f>_xlfn.XLOOKUP(F1219,DeparaIMG!D:D,DeparaIMG!F:F,,0)</f>
        <v>SK269MP.png</v>
      </c>
    </row>
    <row r="1220" spans="1:9" x14ac:dyDescent="0.25">
      <c r="A1220" s="2" t="s">
        <v>98</v>
      </c>
      <c r="B1220" s="2" t="s">
        <v>62</v>
      </c>
      <c r="C1220" t="s">
        <v>89</v>
      </c>
      <c r="D1220" t="s">
        <v>26</v>
      </c>
      <c r="E1220" s="2">
        <v>2</v>
      </c>
      <c r="F1220" t="s">
        <v>118</v>
      </c>
      <c r="G1220">
        <v>3.69</v>
      </c>
      <c r="H1220">
        <v>3.39</v>
      </c>
      <c r="I1220" s="2" t="str">
        <f>_xlfn.XLOOKUP(F1220,DeparaIMG!D:D,DeparaIMG!F:F,,0)</f>
        <v>ORI269MP.png</v>
      </c>
    </row>
    <row r="1221" spans="1:9" x14ac:dyDescent="0.25">
      <c r="A1221" s="2" t="s">
        <v>98</v>
      </c>
      <c r="B1221" s="2" t="s">
        <v>127</v>
      </c>
      <c r="C1221" t="s">
        <v>28</v>
      </c>
      <c r="D1221" t="s">
        <v>127</v>
      </c>
      <c r="E1221" s="2">
        <v>1</v>
      </c>
      <c r="F1221" t="s">
        <v>67</v>
      </c>
      <c r="G1221" t="s">
        <v>133</v>
      </c>
      <c r="H1221" t="s">
        <v>134</v>
      </c>
      <c r="I1221" s="2" t="str">
        <f>_xlfn.XLOOKUP(F1221,DeparaIMG!D:D,DeparaIMG!F:F,,0)</f>
        <v>AP269.png</v>
      </c>
    </row>
    <row r="1222" spans="1:9" x14ac:dyDescent="0.25">
      <c r="A1222" s="2" t="s">
        <v>98</v>
      </c>
      <c r="B1222" s="2" t="s">
        <v>127</v>
      </c>
      <c r="C1222" t="s">
        <v>29</v>
      </c>
      <c r="D1222" t="s">
        <v>127</v>
      </c>
      <c r="E1222">
        <v>1</v>
      </c>
      <c r="F1222" t="s">
        <v>67</v>
      </c>
      <c r="G1222" t="s">
        <v>133</v>
      </c>
      <c r="H1222" t="s">
        <v>134</v>
      </c>
      <c r="I1222" s="2" t="str">
        <f>_xlfn.XLOOKUP(F1222,DeparaIMG!D:D,DeparaIMG!F:F,,0)</f>
        <v>AP269.png</v>
      </c>
    </row>
    <row r="1223" spans="1:9" x14ac:dyDescent="0.25">
      <c r="A1223" s="2" t="s">
        <v>98</v>
      </c>
      <c r="B1223" s="2" t="s">
        <v>127</v>
      </c>
      <c r="C1223" t="s">
        <v>88</v>
      </c>
      <c r="D1223" t="s">
        <v>127</v>
      </c>
      <c r="E1223">
        <v>2</v>
      </c>
      <c r="F1223" t="s">
        <v>67</v>
      </c>
      <c r="G1223" t="s">
        <v>133</v>
      </c>
      <c r="H1223" t="s">
        <v>134</v>
      </c>
      <c r="I1223" s="2" t="str">
        <f>_xlfn.XLOOKUP(F1223,DeparaIMG!D:D,DeparaIMG!F:F,,0)</f>
        <v>AP269.png</v>
      </c>
    </row>
    <row r="1224" spans="1:9" x14ac:dyDescent="0.25">
      <c r="A1224" s="2" t="s">
        <v>98</v>
      </c>
      <c r="B1224" s="2" t="s">
        <v>127</v>
      </c>
      <c r="C1224" t="s">
        <v>146</v>
      </c>
      <c r="D1224" t="s">
        <v>25</v>
      </c>
      <c r="E1224" s="2">
        <v>1</v>
      </c>
      <c r="F1224" t="s">
        <v>67</v>
      </c>
      <c r="G1224" t="s">
        <v>133</v>
      </c>
      <c r="H1224" t="s">
        <v>134</v>
      </c>
      <c r="I1224" s="2" t="str">
        <f>_xlfn.XLOOKUP(F1224,DeparaIMG!D:D,DeparaIMG!F:F,,0)</f>
        <v>AP269.png</v>
      </c>
    </row>
    <row r="1225" spans="1:9" x14ac:dyDescent="0.25">
      <c r="A1225" s="2" t="s">
        <v>98</v>
      </c>
      <c r="B1225" s="2" t="s">
        <v>127</v>
      </c>
      <c r="C1225" t="s">
        <v>87</v>
      </c>
      <c r="D1225" t="s">
        <v>127</v>
      </c>
      <c r="E1225">
        <v>1</v>
      </c>
      <c r="F1225" t="s">
        <v>66</v>
      </c>
      <c r="G1225" t="s">
        <v>133</v>
      </c>
      <c r="H1225" t="s">
        <v>134</v>
      </c>
      <c r="I1225" s="2" t="str">
        <f>_xlfn.XLOOKUP(F1225,DeparaIMG!D:D,DeparaIMG!F:F,,0)</f>
        <v>SK269.png</v>
      </c>
    </row>
    <row r="1226" spans="1:9" x14ac:dyDescent="0.25">
      <c r="A1226" s="2" t="s">
        <v>98</v>
      </c>
      <c r="B1226" s="2" t="s">
        <v>127</v>
      </c>
      <c r="C1226" t="s">
        <v>88</v>
      </c>
      <c r="D1226" t="s">
        <v>127</v>
      </c>
      <c r="E1226">
        <v>1</v>
      </c>
      <c r="F1226" t="s">
        <v>66</v>
      </c>
      <c r="G1226" t="s">
        <v>133</v>
      </c>
      <c r="H1226" t="s">
        <v>134</v>
      </c>
      <c r="I1226" s="2" t="str">
        <f>_xlfn.XLOOKUP(F1226,DeparaIMG!D:D,DeparaIMG!F:F,,0)</f>
        <v>SK269.png</v>
      </c>
    </row>
    <row r="1227" spans="1:9" x14ac:dyDescent="0.25">
      <c r="A1227" s="2" t="s">
        <v>98</v>
      </c>
      <c r="B1227" s="2" t="s">
        <v>127</v>
      </c>
      <c r="C1227" t="s">
        <v>147</v>
      </c>
      <c r="D1227" t="s">
        <v>25</v>
      </c>
      <c r="E1227">
        <v>1</v>
      </c>
      <c r="F1227" t="s">
        <v>66</v>
      </c>
      <c r="G1227" t="s">
        <v>133</v>
      </c>
      <c r="H1227" t="s">
        <v>134</v>
      </c>
      <c r="I1227" s="2" t="str">
        <f>_xlfn.XLOOKUP(F1227,DeparaIMG!D:D,DeparaIMG!F:F,,0)</f>
        <v>SK269.png</v>
      </c>
    </row>
    <row r="1228" spans="1:9" x14ac:dyDescent="0.25">
      <c r="A1228" s="2" t="s">
        <v>98</v>
      </c>
      <c r="B1228" s="2" t="s">
        <v>127</v>
      </c>
      <c r="C1228" t="s">
        <v>28</v>
      </c>
      <c r="D1228" t="s">
        <v>127</v>
      </c>
      <c r="E1228">
        <v>2</v>
      </c>
      <c r="F1228" t="s">
        <v>68</v>
      </c>
      <c r="G1228" t="s">
        <v>133</v>
      </c>
      <c r="H1228" t="s">
        <v>134</v>
      </c>
      <c r="I1228" s="2" t="str">
        <f>_xlfn.XLOOKUP(F1228,DeparaIMG!D:D,DeparaIMG!F:F,,0)</f>
        <v>BC269.png</v>
      </c>
    </row>
    <row r="1229" spans="1:9" x14ac:dyDescent="0.25">
      <c r="A1229" s="2" t="s">
        <v>98</v>
      </c>
      <c r="B1229" s="2" t="s">
        <v>127</v>
      </c>
      <c r="C1229" t="s">
        <v>29</v>
      </c>
      <c r="D1229" t="s">
        <v>127</v>
      </c>
      <c r="E1229">
        <v>2</v>
      </c>
      <c r="F1229" t="s">
        <v>68</v>
      </c>
      <c r="G1229" t="s">
        <v>133</v>
      </c>
      <c r="H1229" t="s">
        <v>134</v>
      </c>
      <c r="I1229" s="2" t="str">
        <f>_xlfn.XLOOKUP(F1229,DeparaIMG!D:D,DeparaIMG!F:F,,0)</f>
        <v>BC269.png</v>
      </c>
    </row>
    <row r="1230" spans="1:9" x14ac:dyDescent="0.25">
      <c r="A1230" s="2" t="s">
        <v>98</v>
      </c>
      <c r="B1230" s="2" t="s">
        <v>127</v>
      </c>
      <c r="C1230" t="s">
        <v>87</v>
      </c>
      <c r="D1230" t="s">
        <v>127</v>
      </c>
      <c r="E1230">
        <v>2</v>
      </c>
      <c r="F1230" t="s">
        <v>68</v>
      </c>
      <c r="G1230" t="s">
        <v>133</v>
      </c>
      <c r="H1230" t="s">
        <v>134</v>
      </c>
      <c r="I1230" s="2" t="str">
        <f>_xlfn.XLOOKUP(F1230,DeparaIMG!D:D,DeparaIMG!F:F,,0)</f>
        <v>BC269.png</v>
      </c>
    </row>
    <row r="1231" spans="1:9" x14ac:dyDescent="0.25">
      <c r="A1231" s="2" t="s">
        <v>98</v>
      </c>
      <c r="B1231" s="2" t="s">
        <v>127</v>
      </c>
      <c r="C1231" t="s">
        <v>88</v>
      </c>
      <c r="D1231" t="s">
        <v>127</v>
      </c>
      <c r="E1231">
        <v>2</v>
      </c>
      <c r="F1231" t="s">
        <v>68</v>
      </c>
      <c r="G1231" t="s">
        <v>133</v>
      </c>
      <c r="H1231" t="s">
        <v>134</v>
      </c>
      <c r="I1231" s="2" t="str">
        <f>_xlfn.XLOOKUP(F1231,DeparaIMG!D:D,DeparaIMG!F:F,,0)</f>
        <v>BC269.png</v>
      </c>
    </row>
    <row r="1232" spans="1:9" x14ac:dyDescent="0.25">
      <c r="A1232" s="2" t="s">
        <v>98</v>
      </c>
      <c r="B1232" s="2" t="s">
        <v>127</v>
      </c>
      <c r="C1232" t="s">
        <v>146</v>
      </c>
      <c r="D1232" t="s">
        <v>25</v>
      </c>
      <c r="E1232">
        <v>2</v>
      </c>
      <c r="F1232" t="s">
        <v>68</v>
      </c>
      <c r="G1232" t="s">
        <v>133</v>
      </c>
      <c r="H1232" t="s">
        <v>134</v>
      </c>
      <c r="I1232" s="2" t="str">
        <f>_xlfn.XLOOKUP(F1232,DeparaIMG!D:D,DeparaIMG!F:F,,0)</f>
        <v>BC269.png</v>
      </c>
    </row>
    <row r="1233" spans="1:9" x14ac:dyDescent="0.25">
      <c r="A1233" s="2" t="s">
        <v>98</v>
      </c>
      <c r="B1233" s="2" t="s">
        <v>127</v>
      </c>
      <c r="C1233" t="s">
        <v>147</v>
      </c>
      <c r="D1233" t="s">
        <v>25</v>
      </c>
      <c r="E1233">
        <v>2</v>
      </c>
      <c r="F1233" t="s">
        <v>68</v>
      </c>
      <c r="G1233" t="s">
        <v>133</v>
      </c>
      <c r="H1233" t="s">
        <v>134</v>
      </c>
      <c r="I1233" s="2" t="str">
        <f>_xlfn.XLOOKUP(F1233,DeparaIMG!D:D,DeparaIMG!F:F,,0)</f>
        <v>BC269.png</v>
      </c>
    </row>
    <row r="1234" spans="1:9" x14ac:dyDescent="0.25">
      <c r="A1234" s="2" t="s">
        <v>98</v>
      </c>
      <c r="B1234" s="2" t="s">
        <v>127</v>
      </c>
      <c r="C1234" t="s">
        <v>28</v>
      </c>
      <c r="D1234" t="s">
        <v>127</v>
      </c>
      <c r="E1234">
        <v>2</v>
      </c>
      <c r="F1234" t="s">
        <v>69</v>
      </c>
      <c r="G1234" t="s">
        <v>133</v>
      </c>
      <c r="H1234" t="s">
        <v>134</v>
      </c>
      <c r="I1234" s="2" t="str">
        <f>_xlfn.XLOOKUP(F1234,DeparaIMG!D:D,DeparaIMG!F:F,,0)</f>
        <v>BUD269.png</v>
      </c>
    </row>
    <row r="1235" spans="1:9" x14ac:dyDescent="0.25">
      <c r="A1235" s="2" t="s">
        <v>98</v>
      </c>
      <c r="B1235" s="2" t="s">
        <v>127</v>
      </c>
      <c r="C1235" t="s">
        <v>29</v>
      </c>
      <c r="D1235" t="s">
        <v>127</v>
      </c>
      <c r="E1235">
        <v>2</v>
      </c>
      <c r="F1235" t="s">
        <v>69</v>
      </c>
      <c r="G1235" t="s">
        <v>133</v>
      </c>
      <c r="H1235" t="s">
        <v>134</v>
      </c>
      <c r="I1235" s="2" t="str">
        <f>_xlfn.XLOOKUP(F1235,DeparaIMG!D:D,DeparaIMG!F:F,,0)</f>
        <v>BUD269.png</v>
      </c>
    </row>
    <row r="1236" spans="1:9" x14ac:dyDescent="0.25">
      <c r="A1236" s="2" t="s">
        <v>98</v>
      </c>
      <c r="B1236" s="2" t="s">
        <v>127</v>
      </c>
      <c r="C1236" t="s">
        <v>87</v>
      </c>
      <c r="D1236" t="s">
        <v>127</v>
      </c>
      <c r="E1236">
        <v>2</v>
      </c>
      <c r="F1236" t="s">
        <v>69</v>
      </c>
      <c r="G1236" t="s">
        <v>133</v>
      </c>
      <c r="H1236" t="s">
        <v>134</v>
      </c>
      <c r="I1236" s="2" t="str">
        <f>_xlfn.XLOOKUP(F1236,DeparaIMG!D:D,DeparaIMG!F:F,,0)</f>
        <v>BUD269.png</v>
      </c>
    </row>
    <row r="1237" spans="1:9" x14ac:dyDescent="0.25">
      <c r="A1237" s="2" t="s">
        <v>98</v>
      </c>
      <c r="B1237" s="2" t="s">
        <v>127</v>
      </c>
      <c r="C1237" t="s">
        <v>88</v>
      </c>
      <c r="D1237" t="s">
        <v>127</v>
      </c>
      <c r="E1237">
        <v>2</v>
      </c>
      <c r="F1237" t="s">
        <v>69</v>
      </c>
      <c r="G1237" t="s">
        <v>133</v>
      </c>
      <c r="H1237" t="s">
        <v>134</v>
      </c>
      <c r="I1237" s="2" t="str">
        <f>_xlfn.XLOOKUP(F1237,DeparaIMG!D:D,DeparaIMG!F:F,,0)</f>
        <v>BUD269.png</v>
      </c>
    </row>
    <row r="1238" spans="1:9" x14ac:dyDescent="0.25">
      <c r="A1238" s="2" t="s">
        <v>98</v>
      </c>
      <c r="B1238" s="2" t="s">
        <v>127</v>
      </c>
      <c r="C1238" t="s">
        <v>146</v>
      </c>
      <c r="D1238" t="s">
        <v>25</v>
      </c>
      <c r="E1238">
        <v>2</v>
      </c>
      <c r="F1238" t="s">
        <v>69</v>
      </c>
      <c r="G1238" t="s">
        <v>133</v>
      </c>
      <c r="H1238" t="s">
        <v>134</v>
      </c>
      <c r="I1238" s="2" t="str">
        <f>_xlfn.XLOOKUP(F1238,DeparaIMG!D:D,DeparaIMG!F:F,,0)</f>
        <v>BUD269.png</v>
      </c>
    </row>
    <row r="1239" spans="1:9" x14ac:dyDescent="0.25">
      <c r="A1239" s="2" t="s">
        <v>98</v>
      </c>
      <c r="B1239" s="2" t="s">
        <v>127</v>
      </c>
      <c r="C1239" t="s">
        <v>147</v>
      </c>
      <c r="D1239" t="s">
        <v>25</v>
      </c>
      <c r="E1239">
        <v>2</v>
      </c>
      <c r="F1239" t="s">
        <v>69</v>
      </c>
      <c r="G1239" t="s">
        <v>133</v>
      </c>
      <c r="H1239" t="s">
        <v>134</v>
      </c>
      <c r="I1239" s="2" t="str">
        <f>_xlfn.XLOOKUP(F1239,DeparaIMG!D:D,DeparaIMG!F:F,,0)</f>
        <v>BUD269.png</v>
      </c>
    </row>
    <row r="1240" spans="1:9" x14ac:dyDescent="0.25">
      <c r="A1240" s="2" t="s">
        <v>98</v>
      </c>
      <c r="B1240" s="2" t="s">
        <v>127</v>
      </c>
      <c r="C1240" t="s">
        <v>146</v>
      </c>
      <c r="D1240" t="s">
        <v>25</v>
      </c>
      <c r="E1240" s="2">
        <v>1</v>
      </c>
      <c r="F1240" t="s">
        <v>72</v>
      </c>
      <c r="G1240" t="s">
        <v>133</v>
      </c>
      <c r="H1240" t="s">
        <v>148</v>
      </c>
      <c r="I1240" s="2" t="str">
        <f>_xlfn.XLOOKUP(F1240,DeparaIMG!D:D,DeparaIMG!F:F,,0)</f>
        <v>ORI269.png</v>
      </c>
    </row>
    <row r="1241" spans="1:9" x14ac:dyDescent="0.25">
      <c r="A1241" s="2" t="s">
        <v>98</v>
      </c>
      <c r="B1241" s="2" t="s">
        <v>127</v>
      </c>
      <c r="C1241" t="s">
        <v>147</v>
      </c>
      <c r="D1241" t="s">
        <v>25</v>
      </c>
      <c r="E1241" s="2">
        <v>1</v>
      </c>
      <c r="F1241" t="s">
        <v>72</v>
      </c>
      <c r="G1241" t="s">
        <v>133</v>
      </c>
      <c r="H1241" t="s">
        <v>148</v>
      </c>
      <c r="I1241" s="2" t="str">
        <f>_xlfn.XLOOKUP(F1241,DeparaIMG!D:D,DeparaIMG!F:F,,0)</f>
        <v>ORI269.png</v>
      </c>
    </row>
    <row r="1242" spans="1:9" x14ac:dyDescent="0.25">
      <c r="A1242" s="2" t="s">
        <v>98</v>
      </c>
      <c r="B1242" s="2" t="s">
        <v>127</v>
      </c>
      <c r="C1242" t="s">
        <v>28</v>
      </c>
      <c r="D1242" t="s">
        <v>127</v>
      </c>
      <c r="E1242">
        <v>2</v>
      </c>
      <c r="F1242" t="s">
        <v>78</v>
      </c>
      <c r="G1242" t="s">
        <v>137</v>
      </c>
      <c r="H1242" t="s">
        <v>138</v>
      </c>
      <c r="I1242" s="2" t="str">
        <f>_xlfn.XLOOKUP(F1242,DeparaIMG!D:D,DeparaIMG!F:F,,0)</f>
        <v>MIC350.png</v>
      </c>
    </row>
    <row r="1243" spans="1:9" x14ac:dyDescent="0.25">
      <c r="A1243" s="2" t="s">
        <v>98</v>
      </c>
      <c r="B1243" s="2" t="s">
        <v>127</v>
      </c>
      <c r="C1243" t="s">
        <v>29</v>
      </c>
      <c r="D1243" t="s">
        <v>127</v>
      </c>
      <c r="E1243">
        <v>2</v>
      </c>
      <c r="F1243" t="s">
        <v>78</v>
      </c>
      <c r="G1243" t="s">
        <v>137</v>
      </c>
      <c r="H1243" t="s">
        <v>138</v>
      </c>
      <c r="I1243" s="2" t="str">
        <f>_xlfn.XLOOKUP(F1243,DeparaIMG!D:D,DeparaIMG!F:F,,0)</f>
        <v>MIC350.png</v>
      </c>
    </row>
    <row r="1244" spans="1:9" x14ac:dyDescent="0.25">
      <c r="A1244" s="2" t="s">
        <v>98</v>
      </c>
      <c r="B1244" s="2" t="s">
        <v>127</v>
      </c>
      <c r="C1244" t="s">
        <v>87</v>
      </c>
      <c r="D1244" t="s">
        <v>127</v>
      </c>
      <c r="E1244">
        <v>2</v>
      </c>
      <c r="F1244" t="s">
        <v>78</v>
      </c>
      <c r="G1244" t="s">
        <v>137</v>
      </c>
      <c r="H1244" t="s">
        <v>138</v>
      </c>
      <c r="I1244" s="2" t="str">
        <f>_xlfn.XLOOKUP(F1244,DeparaIMG!D:D,DeparaIMG!F:F,,0)</f>
        <v>MIC350.png</v>
      </c>
    </row>
    <row r="1245" spans="1:9" x14ac:dyDescent="0.25">
      <c r="A1245" s="2" t="s">
        <v>98</v>
      </c>
      <c r="B1245" s="2" t="s">
        <v>127</v>
      </c>
      <c r="C1245" t="s">
        <v>88</v>
      </c>
      <c r="D1245" t="s">
        <v>127</v>
      </c>
      <c r="E1245">
        <v>2</v>
      </c>
      <c r="F1245" t="s">
        <v>78</v>
      </c>
      <c r="G1245" t="s">
        <v>137</v>
      </c>
      <c r="H1245" t="s">
        <v>138</v>
      </c>
      <c r="I1245" s="2" t="str">
        <f>_xlfn.XLOOKUP(F1245,DeparaIMG!D:D,DeparaIMG!F:F,,0)</f>
        <v>MIC350.png</v>
      </c>
    </row>
    <row r="1246" spans="1:9" x14ac:dyDescent="0.25">
      <c r="A1246" s="2" t="s">
        <v>98</v>
      </c>
      <c r="B1246" s="2" t="s">
        <v>127</v>
      </c>
      <c r="C1246" t="s">
        <v>146</v>
      </c>
      <c r="D1246" t="s">
        <v>25</v>
      </c>
      <c r="E1246">
        <v>2</v>
      </c>
      <c r="F1246" t="s">
        <v>78</v>
      </c>
      <c r="G1246" t="s">
        <v>137</v>
      </c>
      <c r="H1246" t="s">
        <v>138</v>
      </c>
      <c r="I1246" s="2" t="str">
        <f>_xlfn.XLOOKUP(F1246,DeparaIMG!D:D,DeparaIMG!F:F,,0)</f>
        <v>MIC350.png</v>
      </c>
    </row>
    <row r="1247" spans="1:9" x14ac:dyDescent="0.25">
      <c r="A1247" s="2" t="s">
        <v>98</v>
      </c>
      <c r="B1247" s="2" t="s">
        <v>127</v>
      </c>
      <c r="C1247" t="s">
        <v>147</v>
      </c>
      <c r="D1247" t="s">
        <v>25</v>
      </c>
      <c r="E1247">
        <v>2</v>
      </c>
      <c r="F1247" t="s">
        <v>78</v>
      </c>
      <c r="G1247" t="s">
        <v>137</v>
      </c>
      <c r="H1247" t="s">
        <v>138</v>
      </c>
      <c r="I1247" s="2" t="str">
        <f>_xlfn.XLOOKUP(F1247,DeparaIMG!D:D,DeparaIMG!F:F,,0)</f>
        <v>MIC350.png</v>
      </c>
    </row>
    <row r="1248" spans="1:9" x14ac:dyDescent="0.25">
      <c r="A1248" s="2" t="s">
        <v>98</v>
      </c>
      <c r="B1248" s="2" t="s">
        <v>127</v>
      </c>
      <c r="C1248" t="s">
        <v>28</v>
      </c>
      <c r="D1248" t="s">
        <v>127</v>
      </c>
      <c r="E1248" s="2">
        <v>1</v>
      </c>
      <c r="F1248" t="s">
        <v>80</v>
      </c>
      <c r="G1248" t="s">
        <v>135</v>
      </c>
      <c r="H1248" t="s">
        <v>136</v>
      </c>
      <c r="I1248" s="2" t="str">
        <f>_xlfn.XLOOKUP(F1248,DeparaIMG!D:D,DeparaIMG!F:F,,0)</f>
        <v>CORCERO350.png</v>
      </c>
    </row>
    <row r="1249" spans="1:9" x14ac:dyDescent="0.25">
      <c r="A1249" s="2" t="s">
        <v>98</v>
      </c>
      <c r="B1249" s="2" t="s">
        <v>127</v>
      </c>
      <c r="C1249" t="s">
        <v>29</v>
      </c>
      <c r="D1249" t="s">
        <v>127</v>
      </c>
      <c r="E1249">
        <v>1</v>
      </c>
      <c r="F1249" t="s">
        <v>80</v>
      </c>
      <c r="G1249" t="s">
        <v>135</v>
      </c>
      <c r="H1249" t="s">
        <v>136</v>
      </c>
      <c r="I1249" s="2" t="str">
        <f>_xlfn.XLOOKUP(F1249,DeparaIMG!D:D,DeparaIMG!F:F,,0)</f>
        <v>CORCERO350.png</v>
      </c>
    </row>
    <row r="1250" spans="1:9" x14ac:dyDescent="0.25">
      <c r="A1250" s="2" t="s">
        <v>98</v>
      </c>
      <c r="B1250" s="2" t="s">
        <v>127</v>
      </c>
      <c r="C1250" t="s">
        <v>87</v>
      </c>
      <c r="D1250" t="s">
        <v>127</v>
      </c>
      <c r="E1250">
        <v>1</v>
      </c>
      <c r="F1250" t="s">
        <v>80</v>
      </c>
      <c r="G1250" t="s">
        <v>135</v>
      </c>
      <c r="H1250" t="s">
        <v>136</v>
      </c>
      <c r="I1250" s="2" t="str">
        <f>_xlfn.XLOOKUP(F1250,DeparaIMG!D:D,DeparaIMG!F:F,,0)</f>
        <v>CORCERO350.png</v>
      </c>
    </row>
    <row r="1251" spans="1:9" x14ac:dyDescent="0.25">
      <c r="A1251" s="2" t="s">
        <v>98</v>
      </c>
      <c r="B1251" s="2" t="s">
        <v>127</v>
      </c>
      <c r="C1251" t="s">
        <v>88</v>
      </c>
      <c r="D1251" t="s">
        <v>127</v>
      </c>
      <c r="E1251">
        <v>1</v>
      </c>
      <c r="F1251" t="s">
        <v>80</v>
      </c>
      <c r="G1251" t="s">
        <v>135</v>
      </c>
      <c r="H1251" t="s">
        <v>136</v>
      </c>
      <c r="I1251" s="2" t="str">
        <f>_xlfn.XLOOKUP(F1251,DeparaIMG!D:D,DeparaIMG!F:F,,0)</f>
        <v>CORCERO350.png</v>
      </c>
    </row>
    <row r="1252" spans="1:9" x14ac:dyDescent="0.25">
      <c r="A1252" s="2" t="s">
        <v>98</v>
      </c>
      <c r="B1252" s="2" t="s">
        <v>127</v>
      </c>
      <c r="C1252" t="s">
        <v>146</v>
      </c>
      <c r="D1252" t="s">
        <v>25</v>
      </c>
      <c r="E1252" s="2">
        <v>1</v>
      </c>
      <c r="F1252" t="s">
        <v>80</v>
      </c>
      <c r="G1252" t="s">
        <v>135</v>
      </c>
      <c r="H1252" t="s">
        <v>136</v>
      </c>
      <c r="I1252" s="2" t="str">
        <f>_xlfn.XLOOKUP(F1252,DeparaIMG!D:D,DeparaIMG!F:F,,0)</f>
        <v>CORCERO350.png</v>
      </c>
    </row>
    <row r="1253" spans="1:9" x14ac:dyDescent="0.25">
      <c r="A1253" s="2" t="s">
        <v>98</v>
      </c>
      <c r="B1253" s="2" t="s">
        <v>127</v>
      </c>
      <c r="C1253" t="s">
        <v>147</v>
      </c>
      <c r="D1253" t="s">
        <v>25</v>
      </c>
      <c r="E1253">
        <v>1</v>
      </c>
      <c r="F1253" t="s">
        <v>80</v>
      </c>
      <c r="G1253" t="s">
        <v>135</v>
      </c>
      <c r="H1253" t="s">
        <v>136</v>
      </c>
      <c r="I1253" s="2" t="str">
        <f>_xlfn.XLOOKUP(F1253,DeparaIMG!D:D,DeparaIMG!F:F,,0)</f>
        <v>CORCERO350.png</v>
      </c>
    </row>
    <row r="1254" spans="1:9" x14ac:dyDescent="0.25">
      <c r="A1254" s="2" t="s">
        <v>98</v>
      </c>
      <c r="B1254" s="2" t="s">
        <v>127</v>
      </c>
      <c r="C1254" t="s">
        <v>28</v>
      </c>
      <c r="D1254" t="s">
        <v>127</v>
      </c>
      <c r="E1254" s="2">
        <v>1</v>
      </c>
      <c r="F1254" t="s">
        <v>139</v>
      </c>
      <c r="G1254" t="s">
        <v>131</v>
      </c>
      <c r="H1254" t="s">
        <v>132</v>
      </c>
      <c r="I1254" s="2" t="str">
        <f>_xlfn.XLOOKUP(F1254,DeparaIMG!D:D,DeparaIMG!F:F,,0)</f>
        <v>SPTLN.png</v>
      </c>
    </row>
    <row r="1255" spans="1:9" x14ac:dyDescent="0.25">
      <c r="A1255" s="2" t="s">
        <v>98</v>
      </c>
      <c r="B1255" s="2" t="s">
        <v>127</v>
      </c>
      <c r="C1255" t="s">
        <v>29</v>
      </c>
      <c r="D1255" t="s">
        <v>127</v>
      </c>
      <c r="E1255">
        <v>1</v>
      </c>
      <c r="F1255" t="s">
        <v>139</v>
      </c>
      <c r="G1255" t="s">
        <v>131</v>
      </c>
      <c r="H1255" t="s">
        <v>132</v>
      </c>
      <c r="I1255" s="2" t="str">
        <f>_xlfn.XLOOKUP(F1255,DeparaIMG!D:D,DeparaIMG!F:F,,0)</f>
        <v>SPTLN.png</v>
      </c>
    </row>
    <row r="1256" spans="1:9" x14ac:dyDescent="0.25">
      <c r="A1256" s="2" t="s">
        <v>98</v>
      </c>
      <c r="B1256" s="2" t="s">
        <v>127</v>
      </c>
      <c r="C1256" t="s">
        <v>87</v>
      </c>
      <c r="D1256" t="s">
        <v>127</v>
      </c>
      <c r="E1256">
        <v>1</v>
      </c>
      <c r="F1256" t="s">
        <v>139</v>
      </c>
      <c r="G1256" t="s">
        <v>131</v>
      </c>
      <c r="H1256" t="s">
        <v>132</v>
      </c>
      <c r="I1256" s="2" t="str">
        <f>_xlfn.XLOOKUP(F1256,DeparaIMG!D:D,DeparaIMG!F:F,,0)</f>
        <v>SPTLN.png</v>
      </c>
    </row>
    <row r="1257" spans="1:9" x14ac:dyDescent="0.25">
      <c r="A1257" s="2" t="s">
        <v>98</v>
      </c>
      <c r="B1257" s="2" t="s">
        <v>127</v>
      </c>
      <c r="C1257" t="s">
        <v>88</v>
      </c>
      <c r="D1257" t="s">
        <v>127</v>
      </c>
      <c r="E1257">
        <v>1</v>
      </c>
      <c r="F1257" t="s">
        <v>139</v>
      </c>
      <c r="G1257" t="s">
        <v>131</v>
      </c>
      <c r="H1257" t="s">
        <v>132</v>
      </c>
      <c r="I1257" s="2" t="str">
        <f>_xlfn.XLOOKUP(F1257,DeparaIMG!D:D,DeparaIMG!F:F,,0)</f>
        <v>SPTLN.png</v>
      </c>
    </row>
    <row r="1258" spans="1:9" x14ac:dyDescent="0.25">
      <c r="A1258" s="2" t="s">
        <v>98</v>
      </c>
      <c r="B1258" s="2" t="s">
        <v>127</v>
      </c>
      <c r="C1258" t="s">
        <v>28</v>
      </c>
      <c r="D1258" t="s">
        <v>127</v>
      </c>
      <c r="E1258">
        <v>2</v>
      </c>
      <c r="F1258" t="s">
        <v>84</v>
      </c>
      <c r="G1258" t="s">
        <v>131</v>
      </c>
      <c r="H1258" t="s">
        <v>132</v>
      </c>
      <c r="I1258" s="2" t="str">
        <f>_xlfn.XLOOKUP(F1258,DeparaIMG!D:D,DeparaIMG!F:F,,0)</f>
        <v>STELN.png</v>
      </c>
    </row>
    <row r="1259" spans="1:9" x14ac:dyDescent="0.25">
      <c r="A1259" s="2" t="s">
        <v>98</v>
      </c>
      <c r="B1259" s="2" t="s">
        <v>127</v>
      </c>
      <c r="C1259" t="s">
        <v>29</v>
      </c>
      <c r="D1259" t="s">
        <v>127</v>
      </c>
      <c r="E1259">
        <v>2</v>
      </c>
      <c r="F1259" t="s">
        <v>84</v>
      </c>
      <c r="G1259" t="s">
        <v>131</v>
      </c>
      <c r="H1259" t="s">
        <v>132</v>
      </c>
      <c r="I1259" s="2" t="str">
        <f>_xlfn.XLOOKUP(F1259,DeparaIMG!D:D,DeparaIMG!F:F,,0)</f>
        <v>STELN.png</v>
      </c>
    </row>
    <row r="1260" spans="1:9" x14ac:dyDescent="0.25">
      <c r="A1260" s="2" t="s">
        <v>98</v>
      </c>
      <c r="B1260" s="2" t="s">
        <v>127</v>
      </c>
      <c r="C1260" t="s">
        <v>87</v>
      </c>
      <c r="D1260" t="s">
        <v>127</v>
      </c>
      <c r="E1260">
        <v>2</v>
      </c>
      <c r="F1260" t="s">
        <v>84</v>
      </c>
      <c r="G1260" t="s">
        <v>131</v>
      </c>
      <c r="H1260" t="s">
        <v>132</v>
      </c>
      <c r="I1260" s="2" t="str">
        <f>_xlfn.XLOOKUP(F1260,DeparaIMG!D:D,DeparaIMG!F:F,,0)</f>
        <v>STELN.png</v>
      </c>
    </row>
    <row r="1261" spans="1:9" x14ac:dyDescent="0.25">
      <c r="A1261" s="2" t="s">
        <v>98</v>
      </c>
      <c r="B1261" s="2" t="s">
        <v>127</v>
      </c>
      <c r="C1261" t="s">
        <v>88</v>
      </c>
      <c r="D1261" t="s">
        <v>127</v>
      </c>
      <c r="E1261">
        <v>2</v>
      </c>
      <c r="F1261" t="s">
        <v>84</v>
      </c>
      <c r="G1261" t="s">
        <v>131</v>
      </c>
      <c r="H1261" t="s">
        <v>132</v>
      </c>
      <c r="I1261" s="2" t="str">
        <f>_xlfn.XLOOKUP(F1261,DeparaIMG!D:D,DeparaIMG!F:F,,0)</f>
        <v>STELN.png</v>
      </c>
    </row>
    <row r="1262" spans="1:9" x14ac:dyDescent="0.25">
      <c r="A1262" s="2" t="s">
        <v>98</v>
      </c>
      <c r="B1262" s="2" t="s">
        <v>127</v>
      </c>
      <c r="C1262" t="s">
        <v>146</v>
      </c>
      <c r="D1262" t="s">
        <v>25</v>
      </c>
      <c r="E1262">
        <v>2</v>
      </c>
      <c r="F1262" t="s">
        <v>84</v>
      </c>
      <c r="G1262" t="s">
        <v>131</v>
      </c>
      <c r="H1262" t="s">
        <v>132</v>
      </c>
      <c r="I1262" s="2" t="str">
        <f>_xlfn.XLOOKUP(F1262,DeparaIMG!D:D,DeparaIMG!F:F,,0)</f>
        <v>STELN.png</v>
      </c>
    </row>
    <row r="1263" spans="1:9" x14ac:dyDescent="0.25">
      <c r="A1263" s="2" t="s">
        <v>98</v>
      </c>
      <c r="B1263" s="2" t="s">
        <v>127</v>
      </c>
      <c r="C1263" t="s">
        <v>147</v>
      </c>
      <c r="D1263" t="s">
        <v>25</v>
      </c>
      <c r="E1263">
        <v>2</v>
      </c>
      <c r="F1263" t="s">
        <v>84</v>
      </c>
      <c r="G1263" t="s">
        <v>131</v>
      </c>
      <c r="H1263" t="s">
        <v>132</v>
      </c>
      <c r="I1263" s="2" t="str">
        <f>_xlfn.XLOOKUP(F1263,DeparaIMG!D:D,DeparaIMG!F:F,,0)</f>
        <v>STELN.png</v>
      </c>
    </row>
    <row r="1264" spans="1:9" x14ac:dyDescent="0.25">
      <c r="A1264" s="2" t="s">
        <v>98</v>
      </c>
      <c r="B1264" s="2" t="s">
        <v>127</v>
      </c>
      <c r="C1264" t="s">
        <v>146</v>
      </c>
      <c r="D1264" t="s">
        <v>25</v>
      </c>
      <c r="E1264" s="2">
        <v>1</v>
      </c>
      <c r="F1264" t="s">
        <v>84</v>
      </c>
      <c r="G1264" t="s">
        <v>131</v>
      </c>
      <c r="H1264" t="s">
        <v>132</v>
      </c>
      <c r="I1264" s="2" t="str">
        <f>_xlfn.XLOOKUP(F1264,DeparaIMG!D:D,DeparaIMG!F:F,,0)</f>
        <v>STELN.png</v>
      </c>
    </row>
    <row r="1265" spans="1:9" x14ac:dyDescent="0.25">
      <c r="A1265" s="2" t="s">
        <v>98</v>
      </c>
      <c r="B1265" s="2" t="s">
        <v>127</v>
      </c>
      <c r="C1265" t="s">
        <v>147</v>
      </c>
      <c r="D1265" t="s">
        <v>25</v>
      </c>
      <c r="E1265">
        <v>1</v>
      </c>
      <c r="F1265" t="s">
        <v>84</v>
      </c>
      <c r="G1265" t="s">
        <v>131</v>
      </c>
      <c r="H1265" t="s">
        <v>132</v>
      </c>
      <c r="I1265" s="2" t="str">
        <f>_xlfn.XLOOKUP(F1265,DeparaIMG!D:D,DeparaIMG!F:F,,0)</f>
        <v>STELN.png</v>
      </c>
    </row>
    <row r="1266" spans="1:9" x14ac:dyDescent="0.25">
      <c r="A1266" s="2" t="s">
        <v>98</v>
      </c>
      <c r="B1266" s="2" t="s">
        <v>127</v>
      </c>
      <c r="C1266" t="s">
        <v>28</v>
      </c>
      <c r="D1266" t="s">
        <v>127</v>
      </c>
      <c r="E1266" s="2">
        <v>1</v>
      </c>
      <c r="F1266" t="s">
        <v>83</v>
      </c>
      <c r="G1266" t="s">
        <v>131</v>
      </c>
      <c r="H1266" t="s">
        <v>132</v>
      </c>
      <c r="I1266" s="2" t="str">
        <f>_xlfn.XLOOKUP(F1266,DeparaIMG!D:D,DeparaIMG!F:F,,0)</f>
        <v>MICLN.png</v>
      </c>
    </row>
    <row r="1267" spans="1:9" x14ac:dyDescent="0.25">
      <c r="A1267" s="2" t="s">
        <v>98</v>
      </c>
      <c r="B1267" s="2" t="s">
        <v>127</v>
      </c>
      <c r="C1267" t="s">
        <v>29</v>
      </c>
      <c r="D1267" t="s">
        <v>127</v>
      </c>
      <c r="E1267">
        <v>1</v>
      </c>
      <c r="F1267" t="s">
        <v>83</v>
      </c>
      <c r="G1267" t="s">
        <v>131</v>
      </c>
      <c r="H1267" t="s">
        <v>132</v>
      </c>
      <c r="I1267" s="2" t="str">
        <f>_xlfn.XLOOKUP(F1267,DeparaIMG!D:D,DeparaIMG!F:F,,0)</f>
        <v>MICLN.png</v>
      </c>
    </row>
    <row r="1268" spans="1:9" x14ac:dyDescent="0.25">
      <c r="A1268" s="2" t="s">
        <v>98</v>
      </c>
      <c r="B1268" s="2" t="s">
        <v>127</v>
      </c>
      <c r="C1268" t="s">
        <v>87</v>
      </c>
      <c r="D1268" t="s">
        <v>127</v>
      </c>
      <c r="E1268">
        <v>1</v>
      </c>
      <c r="F1268" t="s">
        <v>83</v>
      </c>
      <c r="G1268" t="s">
        <v>131</v>
      </c>
      <c r="H1268" t="s">
        <v>132</v>
      </c>
      <c r="I1268" s="2" t="str">
        <f>_xlfn.XLOOKUP(F1268,DeparaIMG!D:D,DeparaIMG!F:F,,0)</f>
        <v>MICLN.png</v>
      </c>
    </row>
    <row r="1269" spans="1:9" x14ac:dyDescent="0.25">
      <c r="A1269" s="2" t="s">
        <v>98</v>
      </c>
      <c r="B1269" s="2" t="s">
        <v>127</v>
      </c>
      <c r="C1269" t="s">
        <v>88</v>
      </c>
      <c r="D1269" t="s">
        <v>127</v>
      </c>
      <c r="E1269">
        <v>1</v>
      </c>
      <c r="F1269" t="s">
        <v>83</v>
      </c>
      <c r="G1269" t="s">
        <v>131</v>
      </c>
      <c r="H1269" t="s">
        <v>132</v>
      </c>
      <c r="I1269" s="2" t="str">
        <f>_xlfn.XLOOKUP(F1269,DeparaIMG!D:D,DeparaIMG!F:F,,0)</f>
        <v>MICLN.png</v>
      </c>
    </row>
    <row r="1270" spans="1:9" x14ac:dyDescent="0.25">
      <c r="A1270" s="2" t="s">
        <v>98</v>
      </c>
      <c r="B1270" s="2" t="s">
        <v>127</v>
      </c>
      <c r="C1270" t="s">
        <v>146</v>
      </c>
      <c r="D1270" t="s">
        <v>25</v>
      </c>
      <c r="E1270" s="2">
        <v>1</v>
      </c>
      <c r="F1270" t="s">
        <v>83</v>
      </c>
      <c r="G1270" t="s">
        <v>131</v>
      </c>
      <c r="H1270" t="s">
        <v>132</v>
      </c>
      <c r="I1270" s="2" t="str">
        <f>_xlfn.XLOOKUP(F1270,DeparaIMG!D:D,DeparaIMG!F:F,,0)</f>
        <v>MICLN.png</v>
      </c>
    </row>
    <row r="1271" spans="1:9" x14ac:dyDescent="0.25">
      <c r="A1271" s="2" t="s">
        <v>98</v>
      </c>
      <c r="B1271" s="2" t="s">
        <v>127</v>
      </c>
      <c r="C1271" t="s">
        <v>147</v>
      </c>
      <c r="D1271" t="s">
        <v>25</v>
      </c>
      <c r="E1271">
        <v>1</v>
      </c>
      <c r="F1271" t="s">
        <v>83</v>
      </c>
      <c r="G1271" t="s">
        <v>131</v>
      </c>
      <c r="H1271" t="s">
        <v>132</v>
      </c>
      <c r="I1271" s="2" t="str">
        <f>_xlfn.XLOOKUP(F1271,DeparaIMG!D:D,DeparaIMG!F:F,,0)</f>
        <v>MICLN.png</v>
      </c>
    </row>
    <row r="1272" spans="1:9" x14ac:dyDescent="0.25">
      <c r="A1272" s="2" t="s">
        <v>98</v>
      </c>
      <c r="B1272" s="2" t="s">
        <v>127</v>
      </c>
      <c r="C1272" t="s">
        <v>28</v>
      </c>
      <c r="D1272" t="s">
        <v>127</v>
      </c>
      <c r="E1272">
        <v>2</v>
      </c>
      <c r="F1272" t="s">
        <v>86</v>
      </c>
      <c r="G1272" t="s">
        <v>131</v>
      </c>
      <c r="H1272" t="s">
        <v>132</v>
      </c>
      <c r="I1272" s="2" t="str">
        <f>_xlfn.XLOOKUP(F1272,DeparaIMG!D:D,DeparaIMG!F:F,,0)</f>
        <v>CORCEROLN.png</v>
      </c>
    </row>
    <row r="1273" spans="1:9" x14ac:dyDescent="0.25">
      <c r="A1273" s="2" t="s">
        <v>98</v>
      </c>
      <c r="B1273" s="2" t="s">
        <v>127</v>
      </c>
      <c r="C1273" t="s">
        <v>29</v>
      </c>
      <c r="D1273" t="s">
        <v>127</v>
      </c>
      <c r="E1273">
        <v>2</v>
      </c>
      <c r="F1273" t="s">
        <v>86</v>
      </c>
      <c r="G1273" t="s">
        <v>131</v>
      </c>
      <c r="H1273" t="s">
        <v>132</v>
      </c>
      <c r="I1273" s="2" t="str">
        <f>_xlfn.XLOOKUP(F1273,DeparaIMG!D:D,DeparaIMG!F:F,,0)</f>
        <v>CORCEROLN.png</v>
      </c>
    </row>
    <row r="1274" spans="1:9" x14ac:dyDescent="0.25">
      <c r="A1274" s="2" t="s">
        <v>98</v>
      </c>
      <c r="B1274" s="2" t="s">
        <v>127</v>
      </c>
      <c r="C1274" t="s">
        <v>87</v>
      </c>
      <c r="D1274" t="s">
        <v>127</v>
      </c>
      <c r="E1274">
        <v>2</v>
      </c>
      <c r="F1274" t="s">
        <v>86</v>
      </c>
      <c r="G1274" t="s">
        <v>131</v>
      </c>
      <c r="H1274" t="s">
        <v>132</v>
      </c>
      <c r="I1274" s="2" t="str">
        <f>_xlfn.XLOOKUP(F1274,DeparaIMG!D:D,DeparaIMG!F:F,,0)</f>
        <v>CORCEROLN.png</v>
      </c>
    </row>
    <row r="1275" spans="1:9" x14ac:dyDescent="0.25">
      <c r="A1275" s="2" t="s">
        <v>98</v>
      </c>
      <c r="B1275" s="2" t="s">
        <v>127</v>
      </c>
      <c r="C1275" t="s">
        <v>88</v>
      </c>
      <c r="D1275" t="s">
        <v>127</v>
      </c>
      <c r="E1275">
        <v>2</v>
      </c>
      <c r="F1275" t="s">
        <v>86</v>
      </c>
      <c r="G1275" t="s">
        <v>131</v>
      </c>
      <c r="H1275" t="s">
        <v>132</v>
      </c>
      <c r="I1275" s="2" t="str">
        <f>_xlfn.XLOOKUP(F1275,DeparaIMG!D:D,DeparaIMG!F:F,,0)</f>
        <v>CORCEROLN.png</v>
      </c>
    </row>
    <row r="1276" spans="1:9" x14ac:dyDescent="0.25">
      <c r="A1276" s="2" t="s">
        <v>98</v>
      </c>
      <c r="B1276" s="2" t="s">
        <v>127</v>
      </c>
      <c r="C1276" t="s">
        <v>146</v>
      </c>
      <c r="D1276" t="s">
        <v>25</v>
      </c>
      <c r="E1276">
        <v>2</v>
      </c>
      <c r="F1276" t="s">
        <v>86</v>
      </c>
      <c r="G1276" t="s">
        <v>131</v>
      </c>
      <c r="H1276" t="s">
        <v>132</v>
      </c>
      <c r="I1276" s="2" t="str">
        <f>_xlfn.XLOOKUP(F1276,DeparaIMG!D:D,DeparaIMG!F:F,,0)</f>
        <v>CORCEROLN.png</v>
      </c>
    </row>
    <row r="1277" spans="1:9" x14ac:dyDescent="0.25">
      <c r="A1277" s="2" t="s">
        <v>98</v>
      </c>
      <c r="B1277" s="2" t="s">
        <v>127</v>
      </c>
      <c r="C1277" t="s">
        <v>147</v>
      </c>
      <c r="D1277" t="s">
        <v>25</v>
      </c>
      <c r="E1277">
        <v>2</v>
      </c>
      <c r="F1277" t="s">
        <v>86</v>
      </c>
      <c r="G1277" t="s">
        <v>131</v>
      </c>
      <c r="H1277" t="s">
        <v>132</v>
      </c>
      <c r="I1277" s="2" t="str">
        <f>_xlfn.XLOOKUP(F1277,DeparaIMG!D:D,DeparaIMG!F:F,,0)</f>
        <v>CORCEROLN.png</v>
      </c>
    </row>
    <row r="1278" spans="1:9" x14ac:dyDescent="0.25">
      <c r="A1278" s="2" t="s">
        <v>98</v>
      </c>
      <c r="B1278" s="2" t="s">
        <v>127</v>
      </c>
      <c r="C1278" t="s">
        <v>28</v>
      </c>
      <c r="D1278" t="s">
        <v>127</v>
      </c>
      <c r="E1278">
        <v>1</v>
      </c>
      <c r="F1278" t="s">
        <v>38</v>
      </c>
      <c r="G1278" t="s">
        <v>131</v>
      </c>
      <c r="H1278" t="s">
        <v>132</v>
      </c>
      <c r="I1278" s="2" t="str">
        <f>_xlfn.XLOOKUP(F1278,DeparaIMG!D:D,DeparaIMG!F:F,,0)</f>
        <v>GCA350.png</v>
      </c>
    </row>
    <row r="1279" spans="1:9" x14ac:dyDescent="0.25">
      <c r="A1279" s="2" t="s">
        <v>98</v>
      </c>
      <c r="B1279" s="2" t="s">
        <v>127</v>
      </c>
      <c r="C1279" t="s">
        <v>28</v>
      </c>
      <c r="D1279" t="s">
        <v>127</v>
      </c>
      <c r="E1279">
        <v>1</v>
      </c>
      <c r="F1279" t="s">
        <v>142</v>
      </c>
      <c r="G1279" t="s">
        <v>131</v>
      </c>
      <c r="H1279" t="s">
        <v>132</v>
      </c>
      <c r="I1279" s="2" t="str">
        <f>_xlfn.XLOOKUP(F1279,DeparaIMG!D:D,DeparaIMG!F:F,,0)</f>
        <v>PCSAB350.png</v>
      </c>
    </row>
    <row r="1280" spans="1:9" x14ac:dyDescent="0.25">
      <c r="A1280" s="2" t="s">
        <v>98</v>
      </c>
      <c r="B1280" s="2" t="s">
        <v>127</v>
      </c>
      <c r="C1280" t="s">
        <v>28</v>
      </c>
      <c r="D1280" t="s">
        <v>127</v>
      </c>
      <c r="E1280">
        <v>1</v>
      </c>
      <c r="F1280" t="s">
        <v>37</v>
      </c>
      <c r="G1280" t="s">
        <v>140</v>
      </c>
      <c r="H1280" t="s">
        <v>141</v>
      </c>
      <c r="I1280" s="2" t="str">
        <f>_xlfn.XLOOKUP(F1280,DeparaIMG!D:D,DeparaIMG!F:F,,0)</f>
        <v>GCAP2.png</v>
      </c>
    </row>
    <row r="1281" spans="1:9" x14ac:dyDescent="0.25">
      <c r="A1281" s="2" t="s">
        <v>98</v>
      </c>
      <c r="B1281" s="2" t="s">
        <v>127</v>
      </c>
      <c r="C1281" t="s">
        <v>28</v>
      </c>
      <c r="D1281" t="s">
        <v>127</v>
      </c>
      <c r="E1281">
        <v>2</v>
      </c>
      <c r="F1281" t="s">
        <v>143</v>
      </c>
      <c r="G1281" t="s">
        <v>131</v>
      </c>
      <c r="H1281" t="s">
        <v>132</v>
      </c>
      <c r="I1281" s="2" t="str">
        <f>_xlfn.XLOOKUP(F1281,DeparaIMG!D:D,DeparaIMG!F:F,,0)</f>
        <v>GATORADE.png</v>
      </c>
    </row>
    <row r="1282" spans="1:9" x14ac:dyDescent="0.25">
      <c r="A1282" s="2" t="s">
        <v>98</v>
      </c>
      <c r="B1282" s="2" t="s">
        <v>127</v>
      </c>
      <c r="C1282" t="s">
        <v>28</v>
      </c>
      <c r="D1282" t="s">
        <v>127</v>
      </c>
      <c r="E1282">
        <v>2</v>
      </c>
      <c r="F1282" t="s">
        <v>33</v>
      </c>
      <c r="G1282" t="s">
        <v>140</v>
      </c>
      <c r="H1282" t="s">
        <v>141</v>
      </c>
      <c r="I1282" s="2" t="str">
        <f>_xlfn.XLOOKUP(F1282,DeparaIMG!D:D,DeparaIMG!F:F,,0)</f>
        <v>PCP2.png</v>
      </c>
    </row>
    <row r="1283" spans="1:9" x14ac:dyDescent="0.25">
      <c r="A1283" s="2" t="s">
        <v>98</v>
      </c>
      <c r="B1283" s="2" t="s">
        <v>127</v>
      </c>
      <c r="C1283" t="s">
        <v>28</v>
      </c>
      <c r="D1283" t="s">
        <v>127</v>
      </c>
      <c r="E1283">
        <v>2</v>
      </c>
      <c r="F1283" t="s">
        <v>35</v>
      </c>
      <c r="G1283" t="s">
        <v>131</v>
      </c>
      <c r="H1283" t="s">
        <v>132</v>
      </c>
      <c r="I1283" s="2" t="str">
        <f>_xlfn.XLOOKUP(F1283,DeparaIMG!D:D,DeparaIMG!F:F,,0)</f>
        <v>H2OHP500.png</v>
      </c>
    </row>
    <row r="1284" spans="1:9" x14ac:dyDescent="0.25">
      <c r="A1284" s="2" t="s">
        <v>98</v>
      </c>
      <c r="B1284" s="2" t="s">
        <v>127</v>
      </c>
      <c r="C1284" t="s">
        <v>29</v>
      </c>
      <c r="D1284" t="s">
        <v>127</v>
      </c>
      <c r="E1284">
        <v>1</v>
      </c>
      <c r="F1284" t="s">
        <v>38</v>
      </c>
      <c r="G1284" t="s">
        <v>131</v>
      </c>
      <c r="H1284" t="s">
        <v>132</v>
      </c>
      <c r="I1284" s="2" t="str">
        <f>_xlfn.XLOOKUP(F1284,DeparaIMG!D:D,DeparaIMG!F:F,,0)</f>
        <v>GCA350.png</v>
      </c>
    </row>
    <row r="1285" spans="1:9" x14ac:dyDescent="0.25">
      <c r="A1285" s="2" t="s">
        <v>98</v>
      </c>
      <c r="B1285" s="2" t="s">
        <v>127</v>
      </c>
      <c r="C1285" t="s">
        <v>29</v>
      </c>
      <c r="D1285" t="s">
        <v>127</v>
      </c>
      <c r="E1285">
        <v>1</v>
      </c>
      <c r="F1285" t="s">
        <v>142</v>
      </c>
      <c r="G1285" t="s">
        <v>131</v>
      </c>
      <c r="H1285" t="s">
        <v>132</v>
      </c>
      <c r="I1285" s="2" t="str">
        <f>_xlfn.XLOOKUP(F1285,DeparaIMG!D:D,DeparaIMG!F:F,,0)</f>
        <v>PCSAB350.png</v>
      </c>
    </row>
    <row r="1286" spans="1:9" x14ac:dyDescent="0.25">
      <c r="A1286" s="2" t="s">
        <v>98</v>
      </c>
      <c r="B1286" s="2" t="s">
        <v>127</v>
      </c>
      <c r="C1286" t="s">
        <v>29</v>
      </c>
      <c r="D1286" t="s">
        <v>127</v>
      </c>
      <c r="E1286">
        <v>1</v>
      </c>
      <c r="F1286" t="s">
        <v>37</v>
      </c>
      <c r="G1286" t="s">
        <v>140</v>
      </c>
      <c r="H1286" t="s">
        <v>141</v>
      </c>
      <c r="I1286" s="2" t="str">
        <f>_xlfn.XLOOKUP(F1286,DeparaIMG!D:D,DeparaIMG!F:F,,0)</f>
        <v>GCAP2.png</v>
      </c>
    </row>
    <row r="1287" spans="1:9" x14ac:dyDescent="0.25">
      <c r="A1287" s="2" t="s">
        <v>98</v>
      </c>
      <c r="B1287" s="2" t="s">
        <v>127</v>
      </c>
      <c r="C1287" t="s">
        <v>29</v>
      </c>
      <c r="D1287" t="s">
        <v>127</v>
      </c>
      <c r="E1287">
        <v>2</v>
      </c>
      <c r="F1287" t="s">
        <v>143</v>
      </c>
      <c r="G1287" t="s">
        <v>131</v>
      </c>
      <c r="H1287" t="s">
        <v>132</v>
      </c>
      <c r="I1287" s="2" t="str">
        <f>_xlfn.XLOOKUP(F1287,DeparaIMG!D:D,DeparaIMG!F:F,,0)</f>
        <v>GATORADE.png</v>
      </c>
    </row>
    <row r="1288" spans="1:9" x14ac:dyDescent="0.25">
      <c r="A1288" s="2" t="s">
        <v>98</v>
      </c>
      <c r="B1288" s="2" t="s">
        <v>127</v>
      </c>
      <c r="C1288" t="s">
        <v>29</v>
      </c>
      <c r="D1288" t="s">
        <v>127</v>
      </c>
      <c r="E1288">
        <v>2</v>
      </c>
      <c r="F1288" t="s">
        <v>33</v>
      </c>
      <c r="G1288" t="s">
        <v>140</v>
      </c>
      <c r="H1288" t="s">
        <v>141</v>
      </c>
      <c r="I1288" s="2" t="str">
        <f>_xlfn.XLOOKUP(F1288,DeparaIMG!D:D,DeparaIMG!F:F,,0)</f>
        <v>PCP2.png</v>
      </c>
    </row>
    <row r="1289" spans="1:9" x14ac:dyDescent="0.25">
      <c r="A1289" s="2" t="s">
        <v>98</v>
      </c>
      <c r="B1289" s="2" t="s">
        <v>127</v>
      </c>
      <c r="C1289" t="s">
        <v>29</v>
      </c>
      <c r="D1289" t="s">
        <v>127</v>
      </c>
      <c r="E1289">
        <v>2</v>
      </c>
      <c r="F1289" t="s">
        <v>35</v>
      </c>
      <c r="G1289" t="s">
        <v>131</v>
      </c>
      <c r="H1289" t="s">
        <v>132</v>
      </c>
      <c r="I1289" s="2" t="str">
        <f>_xlfn.XLOOKUP(F1289,DeparaIMG!D:D,DeparaIMG!F:F,,0)</f>
        <v>H2OHP500.png</v>
      </c>
    </row>
    <row r="1290" spans="1:9" x14ac:dyDescent="0.25">
      <c r="A1290" s="2" t="s">
        <v>98</v>
      </c>
      <c r="B1290" s="2" t="s">
        <v>127</v>
      </c>
      <c r="C1290" t="s">
        <v>87</v>
      </c>
      <c r="D1290" t="s">
        <v>127</v>
      </c>
      <c r="E1290">
        <v>1</v>
      </c>
      <c r="F1290" t="s">
        <v>38</v>
      </c>
      <c r="G1290" t="s">
        <v>131</v>
      </c>
      <c r="H1290" t="s">
        <v>132</v>
      </c>
      <c r="I1290" s="2" t="str">
        <f>_xlfn.XLOOKUP(F1290,DeparaIMG!D:D,DeparaIMG!F:F,,0)</f>
        <v>GCA350.png</v>
      </c>
    </row>
    <row r="1291" spans="1:9" x14ac:dyDescent="0.25">
      <c r="A1291" s="2" t="s">
        <v>98</v>
      </c>
      <c r="B1291" s="2" t="s">
        <v>127</v>
      </c>
      <c r="C1291" t="s">
        <v>87</v>
      </c>
      <c r="D1291" t="s">
        <v>127</v>
      </c>
      <c r="E1291">
        <v>1</v>
      </c>
      <c r="F1291" t="s">
        <v>142</v>
      </c>
      <c r="G1291" t="s">
        <v>131</v>
      </c>
      <c r="H1291" t="s">
        <v>132</v>
      </c>
      <c r="I1291" s="2" t="str">
        <f>_xlfn.XLOOKUP(F1291,DeparaIMG!D:D,DeparaIMG!F:F,,0)</f>
        <v>PCSAB350.png</v>
      </c>
    </row>
    <row r="1292" spans="1:9" x14ac:dyDescent="0.25">
      <c r="A1292" s="2" t="s">
        <v>98</v>
      </c>
      <c r="B1292" s="2" t="s">
        <v>127</v>
      </c>
      <c r="C1292" t="s">
        <v>87</v>
      </c>
      <c r="D1292" t="s">
        <v>127</v>
      </c>
      <c r="E1292">
        <v>1</v>
      </c>
      <c r="F1292" t="s">
        <v>37</v>
      </c>
      <c r="G1292" t="s">
        <v>140</v>
      </c>
      <c r="H1292" t="s">
        <v>141</v>
      </c>
      <c r="I1292" s="2" t="str">
        <f>_xlfn.XLOOKUP(F1292,DeparaIMG!D:D,DeparaIMG!F:F,,0)</f>
        <v>GCAP2.png</v>
      </c>
    </row>
    <row r="1293" spans="1:9" x14ac:dyDescent="0.25">
      <c r="A1293" s="2" t="s">
        <v>98</v>
      </c>
      <c r="B1293" s="2" t="s">
        <v>127</v>
      </c>
      <c r="C1293" t="s">
        <v>87</v>
      </c>
      <c r="D1293" t="s">
        <v>127</v>
      </c>
      <c r="E1293">
        <v>2</v>
      </c>
      <c r="F1293" t="s">
        <v>143</v>
      </c>
      <c r="G1293" t="s">
        <v>131</v>
      </c>
      <c r="H1293" t="s">
        <v>132</v>
      </c>
      <c r="I1293" s="2" t="str">
        <f>_xlfn.XLOOKUP(F1293,DeparaIMG!D:D,DeparaIMG!F:F,,0)</f>
        <v>GATORADE.png</v>
      </c>
    </row>
    <row r="1294" spans="1:9" x14ac:dyDescent="0.25">
      <c r="A1294" s="2" t="s">
        <v>98</v>
      </c>
      <c r="B1294" s="2" t="s">
        <v>127</v>
      </c>
      <c r="C1294" t="s">
        <v>87</v>
      </c>
      <c r="D1294" t="s">
        <v>127</v>
      </c>
      <c r="E1294">
        <v>2</v>
      </c>
      <c r="F1294" t="s">
        <v>33</v>
      </c>
      <c r="G1294" t="s">
        <v>140</v>
      </c>
      <c r="H1294" t="s">
        <v>141</v>
      </c>
      <c r="I1294" s="2" t="str">
        <f>_xlfn.XLOOKUP(F1294,DeparaIMG!D:D,DeparaIMG!F:F,,0)</f>
        <v>PCP2.png</v>
      </c>
    </row>
    <row r="1295" spans="1:9" x14ac:dyDescent="0.25">
      <c r="A1295" s="2" t="s">
        <v>98</v>
      </c>
      <c r="B1295" s="2" t="s">
        <v>127</v>
      </c>
      <c r="C1295" t="s">
        <v>87</v>
      </c>
      <c r="D1295" t="s">
        <v>127</v>
      </c>
      <c r="E1295">
        <v>2</v>
      </c>
      <c r="F1295" t="s">
        <v>35</v>
      </c>
      <c r="G1295" t="s">
        <v>131</v>
      </c>
      <c r="H1295" t="s">
        <v>132</v>
      </c>
      <c r="I1295" s="2" t="str">
        <f>_xlfn.XLOOKUP(F1295,DeparaIMG!D:D,DeparaIMG!F:F,,0)</f>
        <v>H2OHP500.png</v>
      </c>
    </row>
    <row r="1296" spans="1:9" x14ac:dyDescent="0.25">
      <c r="A1296" s="2" t="s">
        <v>98</v>
      </c>
      <c r="B1296" s="2" t="s">
        <v>127</v>
      </c>
      <c r="C1296" t="s">
        <v>88</v>
      </c>
      <c r="D1296" t="s">
        <v>127</v>
      </c>
      <c r="E1296">
        <v>1</v>
      </c>
      <c r="F1296" t="s">
        <v>38</v>
      </c>
      <c r="G1296" t="s">
        <v>131</v>
      </c>
      <c r="H1296" t="s">
        <v>132</v>
      </c>
      <c r="I1296" s="2" t="str">
        <f>_xlfn.XLOOKUP(F1296,DeparaIMG!D:D,DeparaIMG!F:F,,0)</f>
        <v>GCA350.png</v>
      </c>
    </row>
    <row r="1297" spans="1:9" x14ac:dyDescent="0.25">
      <c r="A1297" s="2" t="s">
        <v>98</v>
      </c>
      <c r="B1297" s="2" t="s">
        <v>127</v>
      </c>
      <c r="C1297" t="s">
        <v>88</v>
      </c>
      <c r="D1297" t="s">
        <v>127</v>
      </c>
      <c r="E1297">
        <v>1</v>
      </c>
      <c r="F1297" t="s">
        <v>142</v>
      </c>
      <c r="G1297" t="s">
        <v>131</v>
      </c>
      <c r="H1297" t="s">
        <v>132</v>
      </c>
      <c r="I1297" s="2" t="str">
        <f>_xlfn.XLOOKUP(F1297,DeparaIMG!D:D,DeparaIMG!F:F,,0)</f>
        <v>PCSAB350.png</v>
      </c>
    </row>
    <row r="1298" spans="1:9" x14ac:dyDescent="0.25">
      <c r="A1298" s="2" t="s">
        <v>98</v>
      </c>
      <c r="B1298" s="2" t="s">
        <v>127</v>
      </c>
      <c r="C1298" t="s">
        <v>88</v>
      </c>
      <c r="D1298" t="s">
        <v>127</v>
      </c>
      <c r="E1298">
        <v>1</v>
      </c>
      <c r="F1298" t="s">
        <v>37</v>
      </c>
      <c r="G1298" t="s">
        <v>140</v>
      </c>
      <c r="H1298" t="s">
        <v>141</v>
      </c>
      <c r="I1298" s="2" t="str">
        <f>_xlfn.XLOOKUP(F1298,DeparaIMG!D:D,DeparaIMG!F:F,,0)</f>
        <v>GCAP2.png</v>
      </c>
    </row>
    <row r="1299" spans="1:9" x14ac:dyDescent="0.25">
      <c r="A1299" s="2" t="s">
        <v>98</v>
      </c>
      <c r="B1299" s="2" t="s">
        <v>127</v>
      </c>
      <c r="C1299" t="s">
        <v>88</v>
      </c>
      <c r="D1299" t="s">
        <v>127</v>
      </c>
      <c r="E1299">
        <v>2</v>
      </c>
      <c r="F1299" t="s">
        <v>143</v>
      </c>
      <c r="G1299" t="s">
        <v>131</v>
      </c>
      <c r="H1299" t="s">
        <v>132</v>
      </c>
      <c r="I1299" s="2" t="str">
        <f>_xlfn.XLOOKUP(F1299,DeparaIMG!D:D,DeparaIMG!F:F,,0)</f>
        <v>GATORADE.png</v>
      </c>
    </row>
    <row r="1300" spans="1:9" x14ac:dyDescent="0.25">
      <c r="A1300" s="2" t="s">
        <v>98</v>
      </c>
      <c r="B1300" s="2" t="s">
        <v>127</v>
      </c>
      <c r="C1300" t="s">
        <v>88</v>
      </c>
      <c r="D1300" t="s">
        <v>127</v>
      </c>
      <c r="E1300">
        <v>2</v>
      </c>
      <c r="F1300" t="s">
        <v>33</v>
      </c>
      <c r="G1300" t="s">
        <v>140</v>
      </c>
      <c r="H1300" t="s">
        <v>141</v>
      </c>
      <c r="I1300" s="2" t="str">
        <f>_xlfn.XLOOKUP(F1300,DeparaIMG!D:D,DeparaIMG!F:F,,0)</f>
        <v>PCP2.png</v>
      </c>
    </row>
    <row r="1301" spans="1:9" x14ac:dyDescent="0.25">
      <c r="A1301" s="2" t="s">
        <v>98</v>
      </c>
      <c r="B1301" s="2" t="s">
        <v>127</v>
      </c>
      <c r="C1301" t="s">
        <v>88</v>
      </c>
      <c r="D1301" t="s">
        <v>127</v>
      </c>
      <c r="E1301">
        <v>2</v>
      </c>
      <c r="F1301" t="s">
        <v>35</v>
      </c>
      <c r="G1301" t="s">
        <v>131</v>
      </c>
      <c r="H1301" t="s">
        <v>132</v>
      </c>
      <c r="I1301" s="2" t="str">
        <f>_xlfn.XLOOKUP(F1301,DeparaIMG!D:D,DeparaIMG!F:F,,0)</f>
        <v>H2OHP500.png</v>
      </c>
    </row>
    <row r="1302" spans="1:9" x14ac:dyDescent="0.25">
      <c r="A1302" s="2" t="s">
        <v>98</v>
      </c>
      <c r="B1302" s="2" t="s">
        <v>127</v>
      </c>
      <c r="C1302" t="s">
        <v>146</v>
      </c>
      <c r="D1302" t="s">
        <v>25</v>
      </c>
      <c r="E1302">
        <v>1</v>
      </c>
      <c r="F1302" t="s">
        <v>38</v>
      </c>
      <c r="G1302" t="s">
        <v>131</v>
      </c>
      <c r="H1302" t="s">
        <v>132</v>
      </c>
      <c r="I1302" s="2" t="str">
        <f>_xlfn.XLOOKUP(F1302,DeparaIMG!D:D,DeparaIMG!F:F,,0)</f>
        <v>GCA350.png</v>
      </c>
    </row>
    <row r="1303" spans="1:9" x14ac:dyDescent="0.25">
      <c r="A1303" s="2" t="s">
        <v>98</v>
      </c>
      <c r="B1303" s="2" t="s">
        <v>127</v>
      </c>
      <c r="C1303" t="s">
        <v>146</v>
      </c>
      <c r="D1303" t="s">
        <v>25</v>
      </c>
      <c r="E1303">
        <v>1</v>
      </c>
      <c r="F1303" t="s">
        <v>142</v>
      </c>
      <c r="G1303" t="s">
        <v>131</v>
      </c>
      <c r="H1303" t="s">
        <v>132</v>
      </c>
      <c r="I1303" s="2" t="str">
        <f>_xlfn.XLOOKUP(F1303,DeparaIMG!D:D,DeparaIMG!F:F,,0)</f>
        <v>PCSAB350.png</v>
      </c>
    </row>
    <row r="1304" spans="1:9" x14ac:dyDescent="0.25">
      <c r="A1304" s="2" t="s">
        <v>98</v>
      </c>
      <c r="B1304" s="2" t="s">
        <v>127</v>
      </c>
      <c r="C1304" t="s">
        <v>146</v>
      </c>
      <c r="D1304" t="s">
        <v>25</v>
      </c>
      <c r="E1304">
        <v>1</v>
      </c>
      <c r="F1304" t="s">
        <v>37</v>
      </c>
      <c r="G1304" t="s">
        <v>140</v>
      </c>
      <c r="H1304" t="s">
        <v>141</v>
      </c>
      <c r="I1304" s="2" t="str">
        <f>_xlfn.XLOOKUP(F1304,DeparaIMG!D:D,DeparaIMG!F:F,,0)</f>
        <v>GCAP2.png</v>
      </c>
    </row>
    <row r="1305" spans="1:9" x14ac:dyDescent="0.25">
      <c r="A1305" s="2" t="s">
        <v>98</v>
      </c>
      <c r="B1305" s="2" t="s">
        <v>127</v>
      </c>
      <c r="C1305" t="s">
        <v>146</v>
      </c>
      <c r="D1305" t="s">
        <v>25</v>
      </c>
      <c r="E1305">
        <v>2</v>
      </c>
      <c r="F1305" t="s">
        <v>143</v>
      </c>
      <c r="G1305" t="s">
        <v>131</v>
      </c>
      <c r="H1305" t="s">
        <v>132</v>
      </c>
      <c r="I1305" s="2" t="str">
        <f>_xlfn.XLOOKUP(F1305,DeparaIMG!D:D,DeparaIMG!F:F,,0)</f>
        <v>GATORADE.png</v>
      </c>
    </row>
    <row r="1306" spans="1:9" x14ac:dyDescent="0.25">
      <c r="A1306" s="2" t="s">
        <v>98</v>
      </c>
      <c r="B1306" s="2" t="s">
        <v>127</v>
      </c>
      <c r="C1306" t="s">
        <v>146</v>
      </c>
      <c r="D1306" t="s">
        <v>25</v>
      </c>
      <c r="E1306">
        <v>2</v>
      </c>
      <c r="F1306" t="s">
        <v>33</v>
      </c>
      <c r="G1306" t="s">
        <v>140</v>
      </c>
      <c r="H1306" t="s">
        <v>141</v>
      </c>
      <c r="I1306" s="2" t="str">
        <f>_xlfn.XLOOKUP(F1306,DeparaIMG!D:D,DeparaIMG!F:F,,0)</f>
        <v>PCP2.png</v>
      </c>
    </row>
    <row r="1307" spans="1:9" x14ac:dyDescent="0.25">
      <c r="A1307" s="2" t="s">
        <v>98</v>
      </c>
      <c r="B1307" s="2" t="s">
        <v>127</v>
      </c>
      <c r="C1307" t="s">
        <v>146</v>
      </c>
      <c r="D1307" t="s">
        <v>25</v>
      </c>
      <c r="E1307">
        <v>2</v>
      </c>
      <c r="F1307" t="s">
        <v>35</v>
      </c>
      <c r="G1307" t="s">
        <v>131</v>
      </c>
      <c r="H1307" t="s">
        <v>132</v>
      </c>
      <c r="I1307" s="2" t="str">
        <f>_xlfn.XLOOKUP(F1307,DeparaIMG!D:D,DeparaIMG!F:F,,0)</f>
        <v>H2OHP500.png</v>
      </c>
    </row>
    <row r="1308" spans="1:9" x14ac:dyDescent="0.25">
      <c r="A1308" s="2" t="s">
        <v>98</v>
      </c>
      <c r="B1308" s="2" t="s">
        <v>127</v>
      </c>
      <c r="C1308" t="s">
        <v>147</v>
      </c>
      <c r="D1308" t="s">
        <v>25</v>
      </c>
      <c r="E1308">
        <v>1</v>
      </c>
      <c r="F1308" t="s">
        <v>38</v>
      </c>
      <c r="G1308" t="s">
        <v>131</v>
      </c>
      <c r="H1308" t="s">
        <v>132</v>
      </c>
      <c r="I1308" s="2" t="str">
        <f>_xlfn.XLOOKUP(F1308,DeparaIMG!D:D,DeparaIMG!F:F,,0)</f>
        <v>GCA350.png</v>
      </c>
    </row>
    <row r="1309" spans="1:9" x14ac:dyDescent="0.25">
      <c r="A1309" s="2" t="s">
        <v>98</v>
      </c>
      <c r="B1309" s="2" t="s">
        <v>127</v>
      </c>
      <c r="C1309" t="s">
        <v>147</v>
      </c>
      <c r="D1309" t="s">
        <v>25</v>
      </c>
      <c r="E1309">
        <v>1</v>
      </c>
      <c r="F1309" t="s">
        <v>142</v>
      </c>
      <c r="G1309" t="s">
        <v>131</v>
      </c>
      <c r="H1309" t="s">
        <v>132</v>
      </c>
      <c r="I1309" s="2" t="str">
        <f>_xlfn.XLOOKUP(F1309,DeparaIMG!D:D,DeparaIMG!F:F,,0)</f>
        <v>PCSAB350.png</v>
      </c>
    </row>
    <row r="1310" spans="1:9" x14ac:dyDescent="0.25">
      <c r="A1310" s="2" t="s">
        <v>98</v>
      </c>
      <c r="B1310" s="2" t="s">
        <v>127</v>
      </c>
      <c r="C1310" t="s">
        <v>147</v>
      </c>
      <c r="D1310" t="s">
        <v>25</v>
      </c>
      <c r="E1310">
        <v>1</v>
      </c>
      <c r="F1310" t="s">
        <v>37</v>
      </c>
      <c r="G1310" t="s">
        <v>140</v>
      </c>
      <c r="H1310" t="s">
        <v>141</v>
      </c>
      <c r="I1310" s="2" t="str">
        <f>_xlfn.XLOOKUP(F1310,DeparaIMG!D:D,DeparaIMG!F:F,,0)</f>
        <v>GCAP2.png</v>
      </c>
    </row>
    <row r="1311" spans="1:9" x14ac:dyDescent="0.25">
      <c r="A1311" s="2" t="s">
        <v>98</v>
      </c>
      <c r="B1311" s="2" t="s">
        <v>127</v>
      </c>
      <c r="C1311" t="s">
        <v>147</v>
      </c>
      <c r="D1311" t="s">
        <v>25</v>
      </c>
      <c r="E1311">
        <v>2</v>
      </c>
      <c r="F1311" t="s">
        <v>143</v>
      </c>
      <c r="G1311" t="s">
        <v>131</v>
      </c>
      <c r="H1311" t="s">
        <v>132</v>
      </c>
      <c r="I1311" s="2" t="str">
        <f>_xlfn.XLOOKUP(F1311,DeparaIMG!D:D,DeparaIMG!F:F,,0)</f>
        <v>GATORADE.png</v>
      </c>
    </row>
    <row r="1312" spans="1:9" x14ac:dyDescent="0.25">
      <c r="A1312" s="2" t="s">
        <v>98</v>
      </c>
      <c r="B1312" s="2" t="s">
        <v>127</v>
      </c>
      <c r="C1312" t="s">
        <v>147</v>
      </c>
      <c r="D1312" t="s">
        <v>25</v>
      </c>
      <c r="E1312">
        <v>2</v>
      </c>
      <c r="F1312" t="s">
        <v>33</v>
      </c>
      <c r="G1312" t="s">
        <v>140</v>
      </c>
      <c r="H1312" t="s">
        <v>141</v>
      </c>
      <c r="I1312" s="2" t="str">
        <f>_xlfn.XLOOKUP(F1312,DeparaIMG!D:D,DeparaIMG!F:F,,0)</f>
        <v>PCP2.png</v>
      </c>
    </row>
    <row r="1313" spans="1:9" x14ac:dyDescent="0.25">
      <c r="A1313" s="2" t="s">
        <v>98</v>
      </c>
      <c r="B1313" s="2" t="s">
        <v>127</v>
      </c>
      <c r="C1313" t="s">
        <v>147</v>
      </c>
      <c r="D1313" t="s">
        <v>25</v>
      </c>
      <c r="E1313">
        <v>2</v>
      </c>
      <c r="F1313" t="s">
        <v>35</v>
      </c>
      <c r="G1313" t="s">
        <v>131</v>
      </c>
      <c r="H1313" t="s">
        <v>132</v>
      </c>
      <c r="I1313" s="2" t="str">
        <f>_xlfn.XLOOKUP(F1313,DeparaIMG!D:D,DeparaIMG!F:F,,0)</f>
        <v>H2OHP500.png</v>
      </c>
    </row>
    <row r="1314" spans="1:9" x14ac:dyDescent="0.25">
      <c r="A1314" s="2" t="s">
        <v>98</v>
      </c>
      <c r="B1314" s="2" t="s">
        <v>127</v>
      </c>
      <c r="C1314" t="s">
        <v>28</v>
      </c>
      <c r="D1314" t="s">
        <v>127</v>
      </c>
      <c r="E1314">
        <v>1</v>
      </c>
      <c r="F1314" t="s">
        <v>106</v>
      </c>
      <c r="G1314" t="s">
        <v>131</v>
      </c>
      <c r="H1314" t="s">
        <v>132</v>
      </c>
      <c r="I1314" s="2" t="str">
        <f>_xlfn.XLOOKUP(F1314,DeparaIMG!D:D,DeparaIMG!F:F,,0)</f>
        <v>BEATSLT.png</v>
      </c>
    </row>
    <row r="1315" spans="1:9" x14ac:dyDescent="0.25">
      <c r="A1315" s="2" t="s">
        <v>98</v>
      </c>
      <c r="B1315" s="2" t="s">
        <v>127</v>
      </c>
      <c r="C1315" t="s">
        <v>29</v>
      </c>
      <c r="D1315" t="s">
        <v>127</v>
      </c>
      <c r="E1315">
        <v>1</v>
      </c>
      <c r="F1315" t="s">
        <v>106</v>
      </c>
      <c r="G1315" t="s">
        <v>131</v>
      </c>
      <c r="H1315" t="s">
        <v>132</v>
      </c>
      <c r="I1315" s="2" t="str">
        <f>_xlfn.XLOOKUP(F1315,DeparaIMG!D:D,DeparaIMG!F:F,,0)</f>
        <v>BEATSLT.png</v>
      </c>
    </row>
    <row r="1316" spans="1:9" x14ac:dyDescent="0.25">
      <c r="A1316" s="2" t="s">
        <v>98</v>
      </c>
      <c r="B1316" s="2" t="s">
        <v>127</v>
      </c>
      <c r="C1316" t="s">
        <v>87</v>
      </c>
      <c r="D1316" t="s">
        <v>127</v>
      </c>
      <c r="E1316">
        <v>1</v>
      </c>
      <c r="F1316" t="s">
        <v>106</v>
      </c>
      <c r="G1316" t="s">
        <v>131</v>
      </c>
      <c r="H1316" t="s">
        <v>132</v>
      </c>
      <c r="I1316" s="2" t="str">
        <f>_xlfn.XLOOKUP(F1316,DeparaIMG!D:D,DeparaIMG!F:F,,0)</f>
        <v>BEATSLT.png</v>
      </c>
    </row>
    <row r="1317" spans="1:9" x14ac:dyDescent="0.25">
      <c r="A1317" s="2" t="s">
        <v>98</v>
      </c>
      <c r="B1317" s="2" t="s">
        <v>127</v>
      </c>
      <c r="C1317" t="s">
        <v>88</v>
      </c>
      <c r="D1317" t="s">
        <v>127</v>
      </c>
      <c r="E1317">
        <v>1</v>
      </c>
      <c r="F1317" t="s">
        <v>106</v>
      </c>
      <c r="G1317" t="s">
        <v>131</v>
      </c>
      <c r="H1317" t="s">
        <v>132</v>
      </c>
      <c r="I1317" s="2" t="str">
        <f>_xlfn.XLOOKUP(F1317,DeparaIMG!D:D,DeparaIMG!F:F,,0)</f>
        <v>BEATSLT.png</v>
      </c>
    </row>
    <row r="1318" spans="1:9" x14ac:dyDescent="0.25">
      <c r="A1318" s="2" t="s">
        <v>98</v>
      </c>
      <c r="B1318" s="2" t="s">
        <v>127</v>
      </c>
      <c r="C1318" t="s">
        <v>28</v>
      </c>
      <c r="D1318" t="s">
        <v>127</v>
      </c>
      <c r="E1318">
        <v>2</v>
      </c>
      <c r="F1318" t="s">
        <v>107</v>
      </c>
      <c r="G1318" t="s">
        <v>131</v>
      </c>
      <c r="H1318" t="s">
        <v>132</v>
      </c>
      <c r="I1318" s="2" t="str">
        <f>_xlfn.XLOOKUP(F1318,DeparaIMG!D:D,DeparaIMG!F:F,,0)</f>
        <v>BEATSLN.png</v>
      </c>
    </row>
    <row r="1319" spans="1:9" x14ac:dyDescent="0.25">
      <c r="A1319" s="2" t="s">
        <v>98</v>
      </c>
      <c r="B1319" s="2" t="s">
        <v>127</v>
      </c>
      <c r="C1319" t="s">
        <v>29</v>
      </c>
      <c r="D1319" t="s">
        <v>127</v>
      </c>
      <c r="E1319">
        <v>2</v>
      </c>
      <c r="F1319" t="s">
        <v>107</v>
      </c>
      <c r="G1319" t="s">
        <v>131</v>
      </c>
      <c r="H1319" t="s">
        <v>132</v>
      </c>
      <c r="I1319" s="2" t="str">
        <f>_xlfn.XLOOKUP(F1319,DeparaIMG!D:D,DeparaIMG!F:F,,0)</f>
        <v>BEATSLN.png</v>
      </c>
    </row>
    <row r="1320" spans="1:9" x14ac:dyDescent="0.25">
      <c r="A1320" s="2" t="s">
        <v>98</v>
      </c>
      <c r="B1320" s="2" t="s">
        <v>127</v>
      </c>
      <c r="C1320" t="s">
        <v>87</v>
      </c>
      <c r="D1320" t="s">
        <v>127</v>
      </c>
      <c r="E1320">
        <v>2</v>
      </c>
      <c r="F1320" t="s">
        <v>107</v>
      </c>
      <c r="G1320" t="s">
        <v>131</v>
      </c>
      <c r="H1320" t="s">
        <v>132</v>
      </c>
      <c r="I1320" s="2" t="str">
        <f>_xlfn.XLOOKUP(F1320,DeparaIMG!D:D,DeparaIMG!F:F,,0)</f>
        <v>BEATSLN.png</v>
      </c>
    </row>
    <row r="1321" spans="1:9" x14ac:dyDescent="0.25">
      <c r="A1321" s="2" t="s">
        <v>98</v>
      </c>
      <c r="B1321" s="2" t="s">
        <v>127</v>
      </c>
      <c r="C1321" t="s">
        <v>88</v>
      </c>
      <c r="D1321" t="s">
        <v>127</v>
      </c>
      <c r="E1321">
        <v>2</v>
      </c>
      <c r="F1321" t="s">
        <v>107</v>
      </c>
      <c r="G1321" t="s">
        <v>131</v>
      </c>
      <c r="H1321" t="s">
        <v>132</v>
      </c>
      <c r="I1321" s="2" t="str">
        <f>_xlfn.XLOOKUP(F1321,DeparaIMG!D:D,DeparaIMG!F:F,,0)</f>
        <v>BEATSLN.png</v>
      </c>
    </row>
    <row r="1322" spans="1:9" x14ac:dyDescent="0.25">
      <c r="A1322" s="2" t="s">
        <v>98</v>
      </c>
      <c r="B1322" s="2" t="s">
        <v>127</v>
      </c>
      <c r="C1322" t="s">
        <v>28</v>
      </c>
      <c r="D1322" t="s">
        <v>127</v>
      </c>
      <c r="E1322">
        <v>1</v>
      </c>
      <c r="F1322" t="s">
        <v>144</v>
      </c>
      <c r="G1322" t="s">
        <v>149</v>
      </c>
      <c r="H1322" t="s">
        <v>150</v>
      </c>
      <c r="I1322" s="2" t="str">
        <f>_xlfn.XLOOKUP(F1322,DeparaIMG!D:D,DeparaIMG!F:F,,0)</f>
        <v>BEATSFF.png</v>
      </c>
    </row>
    <row r="1323" spans="1:9" x14ac:dyDescent="0.25">
      <c r="A1323" s="2" t="s">
        <v>98</v>
      </c>
      <c r="B1323" s="2" t="s">
        <v>127</v>
      </c>
      <c r="C1323" t="s">
        <v>29</v>
      </c>
      <c r="D1323" t="s">
        <v>127</v>
      </c>
      <c r="E1323">
        <v>1</v>
      </c>
      <c r="F1323" t="s">
        <v>144</v>
      </c>
      <c r="G1323" t="s">
        <v>149</v>
      </c>
      <c r="H1323" t="s">
        <v>150</v>
      </c>
      <c r="I1323" s="2" t="str">
        <f>_xlfn.XLOOKUP(F1323,DeparaIMG!D:D,DeparaIMG!F:F,,0)</f>
        <v>BEATSFF.png</v>
      </c>
    </row>
    <row r="1324" spans="1:9" x14ac:dyDescent="0.25">
      <c r="A1324" s="2" t="s">
        <v>98</v>
      </c>
      <c r="B1324" s="2" t="s">
        <v>127</v>
      </c>
      <c r="C1324" t="s">
        <v>87</v>
      </c>
      <c r="D1324" t="s">
        <v>127</v>
      </c>
      <c r="E1324">
        <v>1</v>
      </c>
      <c r="F1324" t="s">
        <v>144</v>
      </c>
      <c r="G1324" t="s">
        <v>149</v>
      </c>
      <c r="H1324" t="s">
        <v>150</v>
      </c>
      <c r="I1324" s="2" t="str">
        <f>_xlfn.XLOOKUP(F1324,DeparaIMG!D:D,DeparaIMG!F:F,,0)</f>
        <v>BEATSFF.png</v>
      </c>
    </row>
    <row r="1325" spans="1:9" x14ac:dyDescent="0.25">
      <c r="A1325" s="2" t="s">
        <v>98</v>
      </c>
      <c r="B1325" s="2" t="s">
        <v>127</v>
      </c>
      <c r="C1325" t="s">
        <v>88</v>
      </c>
      <c r="D1325" t="s">
        <v>127</v>
      </c>
      <c r="E1325">
        <v>1</v>
      </c>
      <c r="F1325" t="s">
        <v>144</v>
      </c>
      <c r="G1325" t="s">
        <v>149</v>
      </c>
      <c r="H1325" t="s">
        <v>150</v>
      </c>
      <c r="I1325" s="2" t="str">
        <f>_xlfn.XLOOKUP(F1325,DeparaIMG!D:D,DeparaIMG!F:F,,0)</f>
        <v>BEATSFF.png</v>
      </c>
    </row>
    <row r="1326" spans="1:9" x14ac:dyDescent="0.25">
      <c r="A1326" s="2" t="s">
        <v>98</v>
      </c>
      <c r="B1326" s="2" t="s">
        <v>127</v>
      </c>
      <c r="C1326" t="s">
        <v>28</v>
      </c>
      <c r="D1326" t="s">
        <v>127</v>
      </c>
      <c r="E1326">
        <v>2</v>
      </c>
      <c r="F1326" t="s">
        <v>144</v>
      </c>
      <c r="G1326" t="s">
        <v>149</v>
      </c>
      <c r="H1326" t="s">
        <v>150</v>
      </c>
      <c r="I1326" s="2" t="str">
        <f>_xlfn.XLOOKUP(F1326,DeparaIMG!D:D,DeparaIMG!F:F,,0)</f>
        <v>BEATSFF.png</v>
      </c>
    </row>
    <row r="1327" spans="1:9" x14ac:dyDescent="0.25">
      <c r="A1327" s="2" t="s">
        <v>98</v>
      </c>
      <c r="B1327" s="2" t="s">
        <v>127</v>
      </c>
      <c r="C1327" t="s">
        <v>29</v>
      </c>
      <c r="D1327" t="s">
        <v>127</v>
      </c>
      <c r="E1327">
        <v>2</v>
      </c>
      <c r="F1327" t="s">
        <v>144</v>
      </c>
      <c r="G1327" t="s">
        <v>149</v>
      </c>
      <c r="H1327" t="s">
        <v>150</v>
      </c>
      <c r="I1327" s="2" t="str">
        <f>_xlfn.XLOOKUP(F1327,DeparaIMG!D:D,DeparaIMG!F:F,,0)</f>
        <v>BEATSFF.png</v>
      </c>
    </row>
    <row r="1328" spans="1:9" x14ac:dyDescent="0.25">
      <c r="A1328" s="2" t="s">
        <v>98</v>
      </c>
      <c r="B1328" s="2" t="s">
        <v>127</v>
      </c>
      <c r="C1328" t="s">
        <v>87</v>
      </c>
      <c r="D1328" t="s">
        <v>127</v>
      </c>
      <c r="E1328">
        <v>2</v>
      </c>
      <c r="F1328" t="s">
        <v>144</v>
      </c>
      <c r="G1328" t="s">
        <v>149</v>
      </c>
      <c r="H1328" t="s">
        <v>150</v>
      </c>
      <c r="I1328" s="2" t="str">
        <f>_xlfn.XLOOKUP(F1328,DeparaIMG!D:D,DeparaIMG!F:F,,0)</f>
        <v>BEATSFF.png</v>
      </c>
    </row>
    <row r="1329" spans="1:9" x14ac:dyDescent="0.25">
      <c r="A1329" s="2" t="s">
        <v>98</v>
      </c>
      <c r="B1329" s="2" t="s">
        <v>127</v>
      </c>
      <c r="C1329" t="s">
        <v>88</v>
      </c>
      <c r="D1329" t="s">
        <v>127</v>
      </c>
      <c r="E1329">
        <v>2</v>
      </c>
      <c r="F1329" t="s">
        <v>144</v>
      </c>
      <c r="G1329" t="s">
        <v>149</v>
      </c>
      <c r="H1329" t="s">
        <v>150</v>
      </c>
      <c r="I1329" s="2" t="str">
        <f>_xlfn.XLOOKUP(F1329,DeparaIMG!D:D,DeparaIMG!F:F,,0)</f>
        <v>BEATSFF.png</v>
      </c>
    </row>
    <row r="1330" spans="1:9" x14ac:dyDescent="0.25">
      <c r="A1330" s="2" t="s">
        <v>98</v>
      </c>
      <c r="B1330" s="2" t="s">
        <v>127</v>
      </c>
      <c r="C1330" t="s">
        <v>146</v>
      </c>
      <c r="D1330" t="s">
        <v>25</v>
      </c>
      <c r="E1330">
        <v>1</v>
      </c>
      <c r="F1330" t="s">
        <v>106</v>
      </c>
      <c r="G1330" t="s">
        <v>131</v>
      </c>
      <c r="H1330" t="s">
        <v>132</v>
      </c>
      <c r="I1330" s="2" t="str">
        <f>_xlfn.XLOOKUP(F1330,DeparaIMG!D:D,DeparaIMG!F:F,,0)</f>
        <v>BEATSLT.png</v>
      </c>
    </row>
    <row r="1331" spans="1:9" x14ac:dyDescent="0.25">
      <c r="A1331" s="2" t="s">
        <v>98</v>
      </c>
      <c r="B1331" s="2" t="s">
        <v>127</v>
      </c>
      <c r="C1331" t="s">
        <v>147</v>
      </c>
      <c r="D1331" t="s">
        <v>25</v>
      </c>
      <c r="E1331">
        <v>1</v>
      </c>
      <c r="F1331" t="s">
        <v>106</v>
      </c>
      <c r="G1331" t="s">
        <v>131</v>
      </c>
      <c r="H1331" t="s">
        <v>132</v>
      </c>
      <c r="I1331" s="2" t="str">
        <f>_xlfn.XLOOKUP(F1331,DeparaIMG!D:D,DeparaIMG!F:F,,0)</f>
        <v>BEATSLT.png</v>
      </c>
    </row>
    <row r="1332" spans="1:9" x14ac:dyDescent="0.25">
      <c r="A1332" s="2" t="s">
        <v>98</v>
      </c>
      <c r="B1332" s="2" t="s">
        <v>127</v>
      </c>
      <c r="C1332" t="s">
        <v>146</v>
      </c>
      <c r="D1332" t="s">
        <v>25</v>
      </c>
      <c r="E1332">
        <v>2</v>
      </c>
      <c r="F1332" t="s">
        <v>107</v>
      </c>
      <c r="G1332" t="s">
        <v>131</v>
      </c>
      <c r="H1332" t="s">
        <v>132</v>
      </c>
      <c r="I1332" s="2" t="str">
        <f>_xlfn.XLOOKUP(F1332,DeparaIMG!D:D,DeparaIMG!F:F,,0)</f>
        <v>BEATSLN.png</v>
      </c>
    </row>
    <row r="1333" spans="1:9" x14ac:dyDescent="0.25">
      <c r="A1333" s="2" t="s">
        <v>98</v>
      </c>
      <c r="B1333" s="2" t="s">
        <v>127</v>
      </c>
      <c r="C1333" t="s">
        <v>147</v>
      </c>
      <c r="D1333" t="s">
        <v>25</v>
      </c>
      <c r="E1333">
        <v>2</v>
      </c>
      <c r="F1333" t="s">
        <v>107</v>
      </c>
      <c r="G1333" t="s">
        <v>131</v>
      </c>
      <c r="H1333" t="s">
        <v>132</v>
      </c>
      <c r="I1333" s="2" t="str">
        <f>_xlfn.XLOOKUP(F1333,DeparaIMG!D:D,DeparaIMG!F:F,,0)</f>
        <v>BEATSLN.png</v>
      </c>
    </row>
    <row r="1334" spans="1:9" x14ac:dyDescent="0.25">
      <c r="A1334" s="2" t="s">
        <v>98</v>
      </c>
      <c r="B1334" s="2" t="s">
        <v>127</v>
      </c>
      <c r="C1334" t="s">
        <v>146</v>
      </c>
      <c r="D1334" t="s">
        <v>25</v>
      </c>
      <c r="E1334">
        <v>1</v>
      </c>
      <c r="F1334" t="s">
        <v>144</v>
      </c>
      <c r="G1334" t="s">
        <v>149</v>
      </c>
      <c r="H1334" t="s">
        <v>150</v>
      </c>
      <c r="I1334" s="2" t="str">
        <f>_xlfn.XLOOKUP(F1334,DeparaIMG!D:D,DeparaIMG!F:F,,0)</f>
        <v>BEATSFF.png</v>
      </c>
    </row>
    <row r="1335" spans="1:9" x14ac:dyDescent="0.25">
      <c r="A1335" s="2" t="s">
        <v>98</v>
      </c>
      <c r="B1335" s="2" t="s">
        <v>127</v>
      </c>
      <c r="C1335" t="s">
        <v>147</v>
      </c>
      <c r="D1335" t="s">
        <v>25</v>
      </c>
      <c r="E1335">
        <v>1</v>
      </c>
      <c r="F1335" t="s">
        <v>144</v>
      </c>
      <c r="G1335" t="s">
        <v>149</v>
      </c>
      <c r="H1335" t="s">
        <v>150</v>
      </c>
      <c r="I1335" s="2" t="str">
        <f>_xlfn.XLOOKUP(F1335,DeparaIMG!D:D,DeparaIMG!F:F,,0)</f>
        <v>BEATSFF.png</v>
      </c>
    </row>
    <row r="1336" spans="1:9" x14ac:dyDescent="0.25">
      <c r="A1336" s="2" t="s">
        <v>98</v>
      </c>
      <c r="B1336" s="2" t="s">
        <v>127</v>
      </c>
      <c r="C1336" t="s">
        <v>146</v>
      </c>
      <c r="D1336" t="s">
        <v>25</v>
      </c>
      <c r="E1336">
        <v>2</v>
      </c>
      <c r="F1336" t="s">
        <v>144</v>
      </c>
      <c r="G1336" t="s">
        <v>149</v>
      </c>
      <c r="H1336" t="s">
        <v>150</v>
      </c>
      <c r="I1336" s="2" t="str">
        <f>_xlfn.XLOOKUP(F1336,DeparaIMG!D:D,DeparaIMG!F:F,,0)</f>
        <v>BEATSFF.png</v>
      </c>
    </row>
    <row r="1337" spans="1:9" x14ac:dyDescent="0.25">
      <c r="A1337" s="2" t="s">
        <v>98</v>
      </c>
      <c r="B1337" s="2" t="s">
        <v>127</v>
      </c>
      <c r="C1337" t="s">
        <v>147</v>
      </c>
      <c r="D1337" t="s">
        <v>25</v>
      </c>
      <c r="E1337">
        <v>2</v>
      </c>
      <c r="F1337" t="s">
        <v>144</v>
      </c>
      <c r="G1337" t="s">
        <v>149</v>
      </c>
      <c r="H1337" t="s">
        <v>150</v>
      </c>
      <c r="I1337" s="2" t="str">
        <f>_xlfn.XLOOKUP(F1337,DeparaIMG!D:D,DeparaIMG!F:F,,0)</f>
        <v>BEATSFF.png</v>
      </c>
    </row>
    <row r="1338" spans="1:9" x14ac:dyDescent="0.25">
      <c r="A1338" s="2" t="s">
        <v>98</v>
      </c>
      <c r="B1338" s="2" t="s">
        <v>62</v>
      </c>
      <c r="C1338" t="s">
        <v>113</v>
      </c>
      <c r="D1338" t="s">
        <v>25</v>
      </c>
      <c r="E1338" t="s">
        <v>160</v>
      </c>
      <c r="F1338" t="s">
        <v>66</v>
      </c>
      <c r="G1338">
        <v>3.29</v>
      </c>
      <c r="H1338">
        <v>2.99</v>
      </c>
      <c r="I1338" s="2" t="str">
        <f>_xlfn.XLOOKUP(F1338,DeparaIMG!D:D,DeparaIMG!F:F,,0)</f>
        <v>SK269.png</v>
      </c>
    </row>
    <row r="1339" spans="1:9" x14ac:dyDescent="0.25">
      <c r="A1339" t="s">
        <v>98</v>
      </c>
      <c r="B1339" t="s">
        <v>62</v>
      </c>
      <c r="C1339" t="s">
        <v>113</v>
      </c>
      <c r="D1339" t="s">
        <v>25</v>
      </c>
      <c r="E1339" t="s">
        <v>160</v>
      </c>
      <c r="F1339" t="s">
        <v>151</v>
      </c>
      <c r="G1339">
        <v>3.39</v>
      </c>
      <c r="H1339">
        <v>2.4900000000000002</v>
      </c>
      <c r="I1339" s="2" t="str">
        <f>_xlfn.XLOOKUP(F1339,DeparaIMG!D:D,DeparaIMG!F:F,,0)</f>
        <v>BDM269.png</v>
      </c>
    </row>
    <row r="1340" spans="1:9" x14ac:dyDescent="0.25">
      <c r="A1340" t="s">
        <v>98</v>
      </c>
      <c r="B1340" t="s">
        <v>62</v>
      </c>
      <c r="C1340" t="s">
        <v>113</v>
      </c>
      <c r="D1340" t="s">
        <v>25</v>
      </c>
      <c r="E1340" t="s">
        <v>160</v>
      </c>
      <c r="F1340" t="s">
        <v>100</v>
      </c>
      <c r="G1340">
        <v>3.99</v>
      </c>
      <c r="H1340">
        <v>3.49</v>
      </c>
      <c r="I1340" s="2" t="str">
        <f>_xlfn.XLOOKUP(F1340,DeparaIMG!D:D,DeparaIMG!F:F,,0)</f>
        <v>SPT269.png</v>
      </c>
    </row>
    <row r="1341" spans="1:9" x14ac:dyDescent="0.25">
      <c r="A1341" t="s">
        <v>98</v>
      </c>
      <c r="B1341" t="s">
        <v>62</v>
      </c>
      <c r="C1341" t="s">
        <v>113</v>
      </c>
      <c r="D1341" t="s">
        <v>25</v>
      </c>
      <c r="E1341" t="s">
        <v>160</v>
      </c>
      <c r="F1341" t="s">
        <v>75</v>
      </c>
      <c r="G1341">
        <v>4.29</v>
      </c>
      <c r="H1341">
        <v>3.49</v>
      </c>
      <c r="I1341" s="2" t="str">
        <f>_xlfn.XLOOKUP(F1341,DeparaIMG!D:D,DeparaIMG!F:F,,0)</f>
        <v>STE269.png</v>
      </c>
    </row>
    <row r="1342" spans="1:9" x14ac:dyDescent="0.25">
      <c r="A1342" t="s">
        <v>98</v>
      </c>
      <c r="B1342" t="s">
        <v>62</v>
      </c>
      <c r="C1342" t="s">
        <v>113</v>
      </c>
      <c r="D1342" t="s">
        <v>25</v>
      </c>
      <c r="E1342" t="s">
        <v>160</v>
      </c>
      <c r="F1342" t="s">
        <v>77</v>
      </c>
      <c r="G1342">
        <v>4.6900000000000004</v>
      </c>
      <c r="H1342">
        <v>3.99</v>
      </c>
      <c r="I1342" s="2" t="str">
        <f>_xlfn.XLOOKUP(F1342,DeparaIMG!D:D,DeparaIMG!F:F,,0)</f>
        <v>COR269.png</v>
      </c>
    </row>
    <row r="1343" spans="1:9" x14ac:dyDescent="0.25">
      <c r="A1343" t="s">
        <v>98</v>
      </c>
      <c r="B1343" t="s">
        <v>62</v>
      </c>
      <c r="C1343" t="s">
        <v>113</v>
      </c>
      <c r="D1343" t="s">
        <v>25</v>
      </c>
      <c r="E1343" t="s">
        <v>160</v>
      </c>
      <c r="F1343" t="s">
        <v>71</v>
      </c>
      <c r="G1343">
        <v>3.79</v>
      </c>
      <c r="H1343">
        <v>3.39</v>
      </c>
      <c r="I1343" s="2" t="str">
        <f>_xlfn.XLOOKUP(F1343,DeparaIMG!D:D,DeparaIMG!F:F,,0)</f>
        <v>BC350.png</v>
      </c>
    </row>
    <row r="1344" spans="1:9" x14ac:dyDescent="0.25">
      <c r="A1344" t="s">
        <v>98</v>
      </c>
      <c r="B1344" t="s">
        <v>62</v>
      </c>
      <c r="C1344" t="s">
        <v>113</v>
      </c>
      <c r="D1344" t="s">
        <v>25</v>
      </c>
      <c r="E1344" t="s">
        <v>160</v>
      </c>
      <c r="F1344" t="s">
        <v>139</v>
      </c>
      <c r="G1344">
        <v>6.49</v>
      </c>
      <c r="H1344">
        <v>5.99</v>
      </c>
      <c r="I1344" s="2" t="str">
        <f>_xlfn.XLOOKUP(F1344,DeparaIMG!D:D,DeparaIMG!F:F,,0)</f>
        <v>SPTLN.png</v>
      </c>
    </row>
    <row r="1345" spans="1:9" x14ac:dyDescent="0.25">
      <c r="A1345" t="s">
        <v>98</v>
      </c>
      <c r="B1345" t="s">
        <v>62</v>
      </c>
      <c r="C1345" t="s">
        <v>88</v>
      </c>
      <c r="D1345" t="s">
        <v>25</v>
      </c>
      <c r="E1345" t="s">
        <v>160</v>
      </c>
      <c r="F1345" t="s">
        <v>66</v>
      </c>
      <c r="G1345">
        <v>3.29</v>
      </c>
      <c r="H1345">
        <v>3.09</v>
      </c>
      <c r="I1345" s="2" t="str">
        <f>_xlfn.XLOOKUP(F1345,DeparaIMG!D:D,DeparaIMG!F:F,,0)</f>
        <v>SK269.png</v>
      </c>
    </row>
    <row r="1346" spans="1:9" x14ac:dyDescent="0.25">
      <c r="A1346" t="s">
        <v>98</v>
      </c>
      <c r="B1346" t="s">
        <v>62</v>
      </c>
      <c r="C1346" t="s">
        <v>88</v>
      </c>
      <c r="D1346" t="s">
        <v>25</v>
      </c>
      <c r="E1346" t="s">
        <v>160</v>
      </c>
      <c r="F1346" t="s">
        <v>69</v>
      </c>
      <c r="G1346">
        <v>3.49</v>
      </c>
      <c r="H1346">
        <v>2.99</v>
      </c>
      <c r="I1346" s="2" t="str">
        <f>_xlfn.XLOOKUP(F1346,DeparaIMG!D:D,DeparaIMG!F:F,,0)</f>
        <v>BUD269.png</v>
      </c>
    </row>
    <row r="1347" spans="1:9" x14ac:dyDescent="0.25">
      <c r="A1347" t="s">
        <v>98</v>
      </c>
      <c r="B1347" t="s">
        <v>62</v>
      </c>
      <c r="C1347" t="s">
        <v>88</v>
      </c>
      <c r="D1347" t="s">
        <v>25</v>
      </c>
      <c r="E1347" t="s">
        <v>160</v>
      </c>
      <c r="F1347" t="s">
        <v>151</v>
      </c>
      <c r="G1347">
        <v>3.59</v>
      </c>
      <c r="H1347">
        <v>3.09</v>
      </c>
      <c r="I1347" s="2" t="str">
        <f>_xlfn.XLOOKUP(F1347,DeparaIMG!D:D,DeparaIMG!F:F,,0)</f>
        <v>BDM269.png</v>
      </c>
    </row>
    <row r="1348" spans="1:9" x14ac:dyDescent="0.25">
      <c r="A1348" t="s">
        <v>98</v>
      </c>
      <c r="B1348" t="s">
        <v>62</v>
      </c>
      <c r="C1348" t="s">
        <v>88</v>
      </c>
      <c r="D1348" t="s">
        <v>25</v>
      </c>
      <c r="E1348" t="s">
        <v>160</v>
      </c>
      <c r="F1348" t="s">
        <v>100</v>
      </c>
      <c r="G1348">
        <v>3.99</v>
      </c>
      <c r="H1348">
        <v>3.49</v>
      </c>
      <c r="I1348" s="2" t="str">
        <f>_xlfn.XLOOKUP(F1348,DeparaIMG!D:D,DeparaIMG!F:F,,0)</f>
        <v>SPT269.png</v>
      </c>
    </row>
    <row r="1349" spans="1:9" x14ac:dyDescent="0.25">
      <c r="A1349" t="s">
        <v>98</v>
      </c>
      <c r="B1349" t="s">
        <v>62</v>
      </c>
      <c r="C1349" t="s">
        <v>88</v>
      </c>
      <c r="D1349" t="s">
        <v>25</v>
      </c>
      <c r="E1349" t="s">
        <v>160</v>
      </c>
      <c r="F1349" t="s">
        <v>75</v>
      </c>
      <c r="G1349">
        <v>4.29</v>
      </c>
      <c r="H1349">
        <v>3.49</v>
      </c>
      <c r="I1349" s="2" t="str">
        <f>_xlfn.XLOOKUP(F1349,DeparaIMG!D:D,DeparaIMG!F:F,,0)</f>
        <v>STE269.png</v>
      </c>
    </row>
    <row r="1350" spans="1:9" x14ac:dyDescent="0.25">
      <c r="A1350" t="s">
        <v>98</v>
      </c>
      <c r="B1350" t="s">
        <v>62</v>
      </c>
      <c r="C1350" t="s">
        <v>88</v>
      </c>
      <c r="D1350" t="s">
        <v>25</v>
      </c>
      <c r="E1350" t="s">
        <v>160</v>
      </c>
      <c r="F1350" t="s">
        <v>77</v>
      </c>
      <c r="G1350">
        <v>4.6900000000000004</v>
      </c>
      <c r="H1350">
        <v>3.99</v>
      </c>
      <c r="I1350" s="2" t="str">
        <f>_xlfn.XLOOKUP(F1350,DeparaIMG!D:D,DeparaIMG!F:F,,0)</f>
        <v>COR269.png</v>
      </c>
    </row>
    <row r="1351" spans="1:9" x14ac:dyDescent="0.25">
      <c r="A1351" t="s">
        <v>98</v>
      </c>
      <c r="B1351" t="s">
        <v>62</v>
      </c>
      <c r="C1351" t="s">
        <v>88</v>
      </c>
      <c r="D1351" t="s">
        <v>25</v>
      </c>
      <c r="E1351" t="s">
        <v>160</v>
      </c>
      <c r="F1351" t="s">
        <v>71</v>
      </c>
      <c r="G1351">
        <v>3.99</v>
      </c>
      <c r="H1351">
        <v>3.69</v>
      </c>
      <c r="I1351" s="2" t="str">
        <f>_xlfn.XLOOKUP(F1351,DeparaIMG!D:D,DeparaIMG!F:F,,0)</f>
        <v>BC350.png</v>
      </c>
    </row>
    <row r="1352" spans="1:9" x14ac:dyDescent="0.25">
      <c r="A1352" t="s">
        <v>98</v>
      </c>
      <c r="B1352" t="s">
        <v>62</v>
      </c>
      <c r="C1352" t="s">
        <v>88</v>
      </c>
      <c r="D1352" t="s">
        <v>25</v>
      </c>
      <c r="E1352" t="s">
        <v>160</v>
      </c>
      <c r="F1352" t="s">
        <v>139</v>
      </c>
      <c r="G1352">
        <v>6.49</v>
      </c>
      <c r="H1352">
        <v>5.99</v>
      </c>
      <c r="I1352" s="2" t="str">
        <f>_xlfn.XLOOKUP(F1352,DeparaIMG!D:D,DeparaIMG!F:F,,0)</f>
        <v>SPTLN.png</v>
      </c>
    </row>
    <row r="1353" spans="1:9" x14ac:dyDescent="0.25">
      <c r="A1353" t="s">
        <v>98</v>
      </c>
      <c r="B1353" t="s">
        <v>62</v>
      </c>
      <c r="C1353" t="s">
        <v>29</v>
      </c>
      <c r="D1353" t="s">
        <v>25</v>
      </c>
      <c r="E1353" t="s">
        <v>160</v>
      </c>
      <c r="F1353" t="s">
        <v>66</v>
      </c>
      <c r="G1353">
        <v>3.09</v>
      </c>
      <c r="H1353">
        <v>2.89</v>
      </c>
      <c r="I1353" s="2" t="str">
        <f>_xlfn.XLOOKUP(F1353,DeparaIMG!D:D,DeparaIMG!F:F,,0)</f>
        <v>SK269.png</v>
      </c>
    </row>
    <row r="1354" spans="1:9" x14ac:dyDescent="0.25">
      <c r="A1354" t="s">
        <v>98</v>
      </c>
      <c r="B1354" t="s">
        <v>62</v>
      </c>
      <c r="C1354" t="s">
        <v>29</v>
      </c>
      <c r="D1354" t="s">
        <v>25</v>
      </c>
      <c r="E1354" t="s">
        <v>160</v>
      </c>
      <c r="F1354" t="s">
        <v>151</v>
      </c>
      <c r="G1354">
        <v>3.49</v>
      </c>
      <c r="H1354">
        <v>2.99</v>
      </c>
      <c r="I1354" s="2" t="str">
        <f>_xlfn.XLOOKUP(F1354,DeparaIMG!D:D,DeparaIMG!F:F,,0)</f>
        <v>BDM269.png</v>
      </c>
    </row>
    <row r="1355" spans="1:9" x14ac:dyDescent="0.25">
      <c r="A1355" t="s">
        <v>98</v>
      </c>
      <c r="B1355" t="s">
        <v>62</v>
      </c>
      <c r="C1355" t="s">
        <v>29</v>
      </c>
      <c r="D1355" t="s">
        <v>25</v>
      </c>
      <c r="E1355" t="s">
        <v>160</v>
      </c>
      <c r="F1355" t="s">
        <v>100</v>
      </c>
      <c r="G1355">
        <v>3.99</v>
      </c>
      <c r="H1355">
        <v>3.49</v>
      </c>
      <c r="I1355" s="2" t="str">
        <f>_xlfn.XLOOKUP(F1355,DeparaIMG!D:D,DeparaIMG!F:F,,0)</f>
        <v>SPT269.png</v>
      </c>
    </row>
    <row r="1356" spans="1:9" x14ac:dyDescent="0.25">
      <c r="A1356" t="s">
        <v>98</v>
      </c>
      <c r="B1356" t="s">
        <v>62</v>
      </c>
      <c r="C1356" t="s">
        <v>29</v>
      </c>
      <c r="D1356" t="s">
        <v>25</v>
      </c>
      <c r="E1356" t="s">
        <v>160</v>
      </c>
      <c r="F1356" t="s">
        <v>75</v>
      </c>
      <c r="G1356">
        <v>4.29</v>
      </c>
      <c r="H1356">
        <v>3.49</v>
      </c>
      <c r="I1356" s="2" t="str">
        <f>_xlfn.XLOOKUP(F1356,DeparaIMG!D:D,DeparaIMG!F:F,,0)</f>
        <v>STE269.png</v>
      </c>
    </row>
    <row r="1357" spans="1:9" x14ac:dyDescent="0.25">
      <c r="A1357" t="s">
        <v>98</v>
      </c>
      <c r="B1357" t="s">
        <v>62</v>
      </c>
      <c r="C1357" t="s">
        <v>29</v>
      </c>
      <c r="D1357" t="s">
        <v>25</v>
      </c>
      <c r="E1357" t="s">
        <v>160</v>
      </c>
      <c r="F1357" t="s">
        <v>77</v>
      </c>
      <c r="G1357">
        <v>4.6900000000000004</v>
      </c>
      <c r="H1357">
        <v>3.99</v>
      </c>
      <c r="I1357" s="2" t="str">
        <f>_xlfn.XLOOKUP(F1357,DeparaIMG!D:D,DeparaIMG!F:F,,0)</f>
        <v>COR269.png</v>
      </c>
    </row>
    <row r="1358" spans="1:9" x14ac:dyDescent="0.25">
      <c r="A1358" t="s">
        <v>98</v>
      </c>
      <c r="B1358" t="s">
        <v>62</v>
      </c>
      <c r="C1358" t="s">
        <v>29</v>
      </c>
      <c r="D1358" t="s">
        <v>25</v>
      </c>
      <c r="E1358" t="s">
        <v>160</v>
      </c>
      <c r="F1358" t="s">
        <v>71</v>
      </c>
      <c r="G1358">
        <v>3.79</v>
      </c>
      <c r="H1358">
        <v>3.49</v>
      </c>
      <c r="I1358" s="2" t="str">
        <f>_xlfn.XLOOKUP(F1358,DeparaIMG!D:D,DeparaIMG!F:F,,0)</f>
        <v>BC350.png</v>
      </c>
    </row>
    <row r="1359" spans="1:9" x14ac:dyDescent="0.25">
      <c r="A1359" t="s">
        <v>98</v>
      </c>
      <c r="B1359" t="s">
        <v>62</v>
      </c>
      <c r="C1359" t="s">
        <v>29</v>
      </c>
      <c r="D1359" t="s">
        <v>26</v>
      </c>
      <c r="E1359" t="s">
        <v>160</v>
      </c>
      <c r="F1359" t="s">
        <v>76</v>
      </c>
      <c r="G1359">
        <v>4.49</v>
      </c>
      <c r="H1359">
        <v>3.89</v>
      </c>
      <c r="I1359" s="2" t="str">
        <f>_xlfn.XLOOKUP(F1359,DeparaIMG!D:D,DeparaIMG!F:F,,0)</f>
        <v>BUD350.png</v>
      </c>
    </row>
    <row r="1360" spans="1:9" x14ac:dyDescent="0.25">
      <c r="A1360" t="s">
        <v>98</v>
      </c>
      <c r="B1360" t="s">
        <v>62</v>
      </c>
      <c r="C1360" t="s">
        <v>29</v>
      </c>
      <c r="D1360" t="s">
        <v>25</v>
      </c>
      <c r="E1360" t="s">
        <v>160</v>
      </c>
      <c r="F1360" t="s">
        <v>139</v>
      </c>
      <c r="G1360">
        <v>6.49</v>
      </c>
      <c r="H1360">
        <v>5.99</v>
      </c>
      <c r="I1360" s="2" t="str">
        <f>_xlfn.XLOOKUP(F1360,DeparaIMG!D:D,DeparaIMG!F:F,,0)</f>
        <v>SPTLN.png</v>
      </c>
    </row>
    <row r="1361" spans="1:9" x14ac:dyDescent="0.25">
      <c r="A1361" t="s">
        <v>98</v>
      </c>
      <c r="B1361" t="s">
        <v>62</v>
      </c>
      <c r="C1361" t="s">
        <v>112</v>
      </c>
      <c r="D1361" t="s">
        <v>25</v>
      </c>
      <c r="E1361" t="s">
        <v>160</v>
      </c>
      <c r="F1361" t="s">
        <v>66</v>
      </c>
      <c r="G1361">
        <v>3.09</v>
      </c>
      <c r="H1361">
        <v>2.89</v>
      </c>
      <c r="I1361" s="2" t="str">
        <f>_xlfn.XLOOKUP(F1361,DeparaIMG!D:D,DeparaIMG!F:F,,0)</f>
        <v>SK269.png</v>
      </c>
    </row>
    <row r="1362" spans="1:9" x14ac:dyDescent="0.25">
      <c r="A1362" t="s">
        <v>98</v>
      </c>
      <c r="B1362" t="s">
        <v>62</v>
      </c>
      <c r="C1362" t="s">
        <v>112</v>
      </c>
      <c r="D1362" t="s">
        <v>25</v>
      </c>
      <c r="E1362" t="s">
        <v>160</v>
      </c>
      <c r="F1362" t="s">
        <v>151</v>
      </c>
      <c r="G1362">
        <v>3.49</v>
      </c>
      <c r="H1362">
        <v>2.99</v>
      </c>
      <c r="I1362" s="2" t="str">
        <f>_xlfn.XLOOKUP(F1362,DeparaIMG!D:D,DeparaIMG!F:F,,0)</f>
        <v>BDM269.png</v>
      </c>
    </row>
    <row r="1363" spans="1:9" x14ac:dyDescent="0.25">
      <c r="A1363" t="s">
        <v>98</v>
      </c>
      <c r="B1363" t="s">
        <v>62</v>
      </c>
      <c r="C1363" t="s">
        <v>112</v>
      </c>
      <c r="D1363" t="s">
        <v>25</v>
      </c>
      <c r="E1363" t="s">
        <v>160</v>
      </c>
      <c r="F1363" t="s">
        <v>100</v>
      </c>
      <c r="G1363">
        <v>3.99</v>
      </c>
      <c r="H1363">
        <v>3.49</v>
      </c>
      <c r="I1363" s="2" t="str">
        <f>_xlfn.XLOOKUP(F1363,DeparaIMG!D:D,DeparaIMG!F:F,,0)</f>
        <v>SPT269.png</v>
      </c>
    </row>
    <row r="1364" spans="1:9" x14ac:dyDescent="0.25">
      <c r="A1364" t="s">
        <v>98</v>
      </c>
      <c r="B1364" t="s">
        <v>62</v>
      </c>
      <c r="C1364" t="s">
        <v>112</v>
      </c>
      <c r="D1364" t="s">
        <v>25</v>
      </c>
      <c r="E1364" t="s">
        <v>160</v>
      </c>
      <c r="F1364" t="s">
        <v>75</v>
      </c>
      <c r="G1364">
        <v>4.29</v>
      </c>
      <c r="H1364">
        <v>3.49</v>
      </c>
      <c r="I1364" s="2" t="str">
        <f>_xlfn.XLOOKUP(F1364,DeparaIMG!D:D,DeparaIMG!F:F,,0)</f>
        <v>STE269.png</v>
      </c>
    </row>
    <row r="1365" spans="1:9" x14ac:dyDescent="0.25">
      <c r="A1365" t="s">
        <v>98</v>
      </c>
      <c r="B1365" t="s">
        <v>62</v>
      </c>
      <c r="C1365" t="s">
        <v>112</v>
      </c>
      <c r="D1365" t="s">
        <v>25</v>
      </c>
      <c r="E1365" t="s">
        <v>160</v>
      </c>
      <c r="F1365" t="s">
        <v>77</v>
      </c>
      <c r="G1365">
        <v>4.59</v>
      </c>
      <c r="H1365">
        <v>3.99</v>
      </c>
      <c r="I1365" s="2" t="str">
        <f>_xlfn.XLOOKUP(F1365,DeparaIMG!D:D,DeparaIMG!F:F,,0)</f>
        <v>COR269.png</v>
      </c>
    </row>
    <row r="1366" spans="1:9" x14ac:dyDescent="0.25">
      <c r="A1366" t="s">
        <v>98</v>
      </c>
      <c r="B1366" t="s">
        <v>62</v>
      </c>
      <c r="C1366" t="s">
        <v>112</v>
      </c>
      <c r="D1366" t="s">
        <v>25</v>
      </c>
      <c r="E1366" t="s">
        <v>160</v>
      </c>
      <c r="F1366" t="s">
        <v>71</v>
      </c>
      <c r="G1366">
        <v>3.79</v>
      </c>
      <c r="H1366">
        <v>3.49</v>
      </c>
      <c r="I1366" s="2" t="str">
        <f>_xlfn.XLOOKUP(F1366,DeparaIMG!D:D,DeparaIMG!F:F,,0)</f>
        <v>BC350.png</v>
      </c>
    </row>
    <row r="1367" spans="1:9" x14ac:dyDescent="0.25">
      <c r="A1367" t="s">
        <v>98</v>
      </c>
      <c r="B1367" t="s">
        <v>62</v>
      </c>
      <c r="C1367" t="s">
        <v>112</v>
      </c>
      <c r="D1367" t="s">
        <v>26</v>
      </c>
      <c r="E1367" t="s">
        <v>160</v>
      </c>
      <c r="F1367" t="s">
        <v>101</v>
      </c>
      <c r="G1367">
        <v>5.19</v>
      </c>
      <c r="H1367">
        <v>4.6900000000000004</v>
      </c>
      <c r="I1367" s="2" t="str">
        <f>_xlfn.XLOOKUP(F1367,DeparaIMG!D:D,DeparaIMG!F:F,,0)</f>
        <v>SPT350.png</v>
      </c>
    </row>
    <row r="1368" spans="1:9" x14ac:dyDescent="0.25">
      <c r="A1368" t="s">
        <v>98</v>
      </c>
      <c r="B1368" t="s">
        <v>62</v>
      </c>
      <c r="C1368" t="s">
        <v>112</v>
      </c>
      <c r="D1368" t="s">
        <v>26</v>
      </c>
      <c r="E1368" t="s">
        <v>160</v>
      </c>
      <c r="F1368" t="s">
        <v>65</v>
      </c>
      <c r="G1368">
        <v>5.49</v>
      </c>
      <c r="H1368">
        <v>4.49</v>
      </c>
      <c r="I1368" s="2" t="str">
        <f>_xlfn.XLOOKUP(F1368,DeparaIMG!D:D,DeparaIMG!F:F,,0)</f>
        <v>STE350.png</v>
      </c>
    </row>
    <row r="1369" spans="1:9" x14ac:dyDescent="0.25">
      <c r="A1369" t="s">
        <v>98</v>
      </c>
      <c r="B1369" t="s">
        <v>62</v>
      </c>
      <c r="C1369" t="s">
        <v>112</v>
      </c>
      <c r="D1369" t="s">
        <v>25</v>
      </c>
      <c r="E1369" t="s">
        <v>160</v>
      </c>
      <c r="F1369" t="s">
        <v>139</v>
      </c>
      <c r="G1369">
        <v>6.49</v>
      </c>
      <c r="H1369">
        <v>5.99</v>
      </c>
      <c r="I1369" s="2" t="str">
        <f>_xlfn.XLOOKUP(F1369,DeparaIMG!D:D,DeparaIMG!F:F,,0)</f>
        <v>SPTLN.png</v>
      </c>
    </row>
    <row r="1370" spans="1:9" x14ac:dyDescent="0.25">
      <c r="A1370" t="s">
        <v>98</v>
      </c>
      <c r="B1370" t="s">
        <v>62</v>
      </c>
      <c r="C1370" t="s">
        <v>87</v>
      </c>
      <c r="D1370" t="s">
        <v>25</v>
      </c>
      <c r="E1370" t="s">
        <v>160</v>
      </c>
      <c r="F1370" t="s">
        <v>66</v>
      </c>
      <c r="G1370">
        <v>3.09</v>
      </c>
      <c r="H1370">
        <v>2.89</v>
      </c>
      <c r="I1370" s="2" t="str">
        <f>_xlfn.XLOOKUP(F1370,DeparaIMG!D:D,DeparaIMG!F:F,,0)</f>
        <v>SK269.png</v>
      </c>
    </row>
    <row r="1371" spans="1:9" x14ac:dyDescent="0.25">
      <c r="A1371" t="s">
        <v>98</v>
      </c>
      <c r="B1371" t="s">
        <v>62</v>
      </c>
      <c r="C1371" t="s">
        <v>87</v>
      </c>
      <c r="D1371" t="s">
        <v>25</v>
      </c>
      <c r="E1371" t="s">
        <v>160</v>
      </c>
      <c r="F1371" t="s">
        <v>69</v>
      </c>
      <c r="G1371">
        <v>3.49</v>
      </c>
      <c r="H1371">
        <v>3.09</v>
      </c>
      <c r="I1371" s="2" t="str">
        <f>_xlfn.XLOOKUP(F1371,DeparaIMG!D:D,DeparaIMG!F:F,,0)</f>
        <v>BUD269.png</v>
      </c>
    </row>
    <row r="1372" spans="1:9" x14ac:dyDescent="0.25">
      <c r="A1372" t="s">
        <v>98</v>
      </c>
      <c r="B1372" t="s">
        <v>62</v>
      </c>
      <c r="C1372" t="s">
        <v>87</v>
      </c>
      <c r="D1372" t="s">
        <v>25</v>
      </c>
      <c r="E1372" t="s">
        <v>160</v>
      </c>
      <c r="F1372" t="s">
        <v>151</v>
      </c>
      <c r="G1372">
        <v>3.49</v>
      </c>
      <c r="H1372">
        <v>2.99</v>
      </c>
      <c r="I1372" s="2" t="str">
        <f>_xlfn.XLOOKUP(F1372,DeparaIMG!D:D,DeparaIMG!F:F,,0)</f>
        <v>BDM269.png</v>
      </c>
    </row>
    <row r="1373" spans="1:9" x14ac:dyDescent="0.25">
      <c r="A1373" t="s">
        <v>98</v>
      </c>
      <c r="B1373" t="s">
        <v>62</v>
      </c>
      <c r="C1373" t="s">
        <v>87</v>
      </c>
      <c r="D1373" t="s">
        <v>25</v>
      </c>
      <c r="E1373" t="s">
        <v>160</v>
      </c>
      <c r="F1373" t="s">
        <v>100</v>
      </c>
      <c r="G1373">
        <v>3.99</v>
      </c>
      <c r="H1373">
        <v>3.49</v>
      </c>
      <c r="I1373" s="2" t="str">
        <f>_xlfn.XLOOKUP(F1373,DeparaIMG!D:D,DeparaIMG!F:F,,0)</f>
        <v>SPT269.png</v>
      </c>
    </row>
    <row r="1374" spans="1:9" x14ac:dyDescent="0.25">
      <c r="A1374" t="s">
        <v>98</v>
      </c>
      <c r="B1374" t="s">
        <v>62</v>
      </c>
      <c r="C1374" t="s">
        <v>87</v>
      </c>
      <c r="D1374" t="s">
        <v>25</v>
      </c>
      <c r="E1374" t="s">
        <v>160</v>
      </c>
      <c r="F1374" t="s">
        <v>75</v>
      </c>
      <c r="G1374">
        <v>4.29</v>
      </c>
      <c r="H1374">
        <v>3.49</v>
      </c>
      <c r="I1374" s="2" t="str">
        <f>_xlfn.XLOOKUP(F1374,DeparaIMG!D:D,DeparaIMG!F:F,,0)</f>
        <v>STE269.png</v>
      </c>
    </row>
    <row r="1375" spans="1:9" x14ac:dyDescent="0.25">
      <c r="A1375" t="s">
        <v>98</v>
      </c>
      <c r="B1375" t="s">
        <v>62</v>
      </c>
      <c r="C1375" t="s">
        <v>87</v>
      </c>
      <c r="D1375" t="s">
        <v>25</v>
      </c>
      <c r="E1375" t="s">
        <v>160</v>
      </c>
      <c r="F1375" t="s">
        <v>77</v>
      </c>
      <c r="G1375">
        <v>4.6900000000000004</v>
      </c>
      <c r="H1375">
        <v>3.99</v>
      </c>
      <c r="I1375" s="2" t="str">
        <f>_xlfn.XLOOKUP(F1375,DeparaIMG!D:D,DeparaIMG!F:F,,0)</f>
        <v>COR269.png</v>
      </c>
    </row>
    <row r="1376" spans="1:9" x14ac:dyDescent="0.25">
      <c r="A1376" t="s">
        <v>98</v>
      </c>
      <c r="B1376" t="s">
        <v>62</v>
      </c>
      <c r="C1376" t="s">
        <v>87</v>
      </c>
      <c r="D1376" t="s">
        <v>25</v>
      </c>
      <c r="E1376" t="s">
        <v>160</v>
      </c>
      <c r="F1376" t="s">
        <v>71</v>
      </c>
      <c r="G1376">
        <v>3.99</v>
      </c>
      <c r="H1376">
        <v>3.69</v>
      </c>
      <c r="I1376" s="2" t="str">
        <f>_xlfn.XLOOKUP(F1376,DeparaIMG!D:D,DeparaIMG!F:F,,0)</f>
        <v>BC350.png</v>
      </c>
    </row>
    <row r="1377" spans="1:9" x14ac:dyDescent="0.25">
      <c r="A1377" t="s">
        <v>98</v>
      </c>
      <c r="B1377" t="s">
        <v>62</v>
      </c>
      <c r="C1377" t="s">
        <v>87</v>
      </c>
      <c r="D1377" t="s">
        <v>25</v>
      </c>
      <c r="E1377" t="s">
        <v>160</v>
      </c>
      <c r="F1377" t="s">
        <v>139</v>
      </c>
      <c r="G1377">
        <v>6.49</v>
      </c>
      <c r="H1377">
        <v>5.99</v>
      </c>
      <c r="I1377" s="2" t="str">
        <f>_xlfn.XLOOKUP(F1377,DeparaIMG!D:D,DeparaIMG!F:F,,0)</f>
        <v>SPTLN.png</v>
      </c>
    </row>
    <row r="1378" spans="1:9" x14ac:dyDescent="0.25">
      <c r="A1378" t="s">
        <v>98</v>
      </c>
      <c r="B1378" t="s">
        <v>62</v>
      </c>
      <c r="C1378" t="s">
        <v>90</v>
      </c>
      <c r="D1378" t="s">
        <v>25</v>
      </c>
      <c r="E1378" t="s">
        <v>160</v>
      </c>
      <c r="F1378" t="s">
        <v>66</v>
      </c>
      <c r="G1378">
        <v>3.39</v>
      </c>
      <c r="H1378">
        <v>3.09</v>
      </c>
      <c r="I1378" s="2" t="str">
        <f>_xlfn.XLOOKUP(F1378,DeparaIMG!D:D,DeparaIMG!F:F,,0)</f>
        <v>SK269.png</v>
      </c>
    </row>
    <row r="1379" spans="1:9" x14ac:dyDescent="0.25">
      <c r="A1379" t="s">
        <v>98</v>
      </c>
      <c r="B1379" t="s">
        <v>62</v>
      </c>
      <c r="C1379" t="s">
        <v>90</v>
      </c>
      <c r="D1379" t="s">
        <v>25</v>
      </c>
      <c r="E1379" t="s">
        <v>160</v>
      </c>
      <c r="F1379" t="s">
        <v>69</v>
      </c>
      <c r="G1379">
        <v>3.49</v>
      </c>
      <c r="H1379">
        <v>3.09</v>
      </c>
      <c r="I1379" s="2" t="str">
        <f>_xlfn.XLOOKUP(F1379,DeparaIMG!D:D,DeparaIMG!F:F,,0)</f>
        <v>BUD269.png</v>
      </c>
    </row>
    <row r="1380" spans="1:9" x14ac:dyDescent="0.25">
      <c r="A1380" t="s">
        <v>98</v>
      </c>
      <c r="B1380" t="s">
        <v>62</v>
      </c>
      <c r="C1380" t="s">
        <v>90</v>
      </c>
      <c r="D1380" t="s">
        <v>25</v>
      </c>
      <c r="E1380" t="s">
        <v>160</v>
      </c>
      <c r="F1380" t="s">
        <v>151</v>
      </c>
      <c r="G1380">
        <v>3.49</v>
      </c>
      <c r="H1380">
        <v>2.99</v>
      </c>
      <c r="I1380" s="2" t="str">
        <f>_xlfn.XLOOKUP(F1380,DeparaIMG!D:D,DeparaIMG!F:F,,0)</f>
        <v>BDM269.png</v>
      </c>
    </row>
    <row r="1381" spans="1:9" x14ac:dyDescent="0.25">
      <c r="A1381" t="s">
        <v>98</v>
      </c>
      <c r="B1381" t="s">
        <v>62</v>
      </c>
      <c r="C1381" t="s">
        <v>90</v>
      </c>
      <c r="D1381" t="s">
        <v>25</v>
      </c>
      <c r="E1381" t="s">
        <v>160</v>
      </c>
      <c r="F1381" t="s">
        <v>100</v>
      </c>
      <c r="G1381">
        <v>3.99</v>
      </c>
      <c r="H1381">
        <v>3.49</v>
      </c>
      <c r="I1381" s="2" t="str">
        <f>_xlfn.XLOOKUP(F1381,DeparaIMG!D:D,DeparaIMG!F:F,,0)</f>
        <v>SPT269.png</v>
      </c>
    </row>
    <row r="1382" spans="1:9" x14ac:dyDescent="0.25">
      <c r="A1382" t="s">
        <v>98</v>
      </c>
      <c r="B1382" t="s">
        <v>62</v>
      </c>
      <c r="C1382" t="s">
        <v>90</v>
      </c>
      <c r="D1382" t="s">
        <v>25</v>
      </c>
      <c r="E1382" t="s">
        <v>160</v>
      </c>
      <c r="F1382" t="s">
        <v>75</v>
      </c>
      <c r="G1382">
        <v>4.29</v>
      </c>
      <c r="H1382">
        <v>3.49</v>
      </c>
      <c r="I1382" s="2" t="str">
        <f>_xlfn.XLOOKUP(F1382,DeparaIMG!D:D,DeparaIMG!F:F,,0)</f>
        <v>STE269.png</v>
      </c>
    </row>
    <row r="1383" spans="1:9" x14ac:dyDescent="0.25">
      <c r="A1383" t="s">
        <v>98</v>
      </c>
      <c r="B1383" t="s">
        <v>62</v>
      </c>
      <c r="C1383" t="s">
        <v>90</v>
      </c>
      <c r="D1383" t="s">
        <v>25</v>
      </c>
      <c r="E1383" t="s">
        <v>160</v>
      </c>
      <c r="F1383" t="s">
        <v>77</v>
      </c>
      <c r="G1383">
        <v>4.6900000000000004</v>
      </c>
      <c r="H1383">
        <v>3.99</v>
      </c>
      <c r="I1383" s="2" t="str">
        <f>_xlfn.XLOOKUP(F1383,DeparaIMG!D:D,DeparaIMG!F:F,,0)</f>
        <v>COR269.png</v>
      </c>
    </row>
    <row r="1384" spans="1:9" x14ac:dyDescent="0.25">
      <c r="A1384" t="s">
        <v>98</v>
      </c>
      <c r="B1384" t="s">
        <v>62</v>
      </c>
      <c r="C1384" t="s">
        <v>90</v>
      </c>
      <c r="D1384" t="s">
        <v>25</v>
      </c>
      <c r="E1384" t="s">
        <v>160</v>
      </c>
      <c r="F1384" t="s">
        <v>71</v>
      </c>
      <c r="G1384">
        <v>3.79</v>
      </c>
      <c r="H1384">
        <v>3.69</v>
      </c>
      <c r="I1384" s="2" t="str">
        <f>_xlfn.XLOOKUP(F1384,DeparaIMG!D:D,DeparaIMG!F:F,,0)</f>
        <v>BC350.png</v>
      </c>
    </row>
    <row r="1385" spans="1:9" x14ac:dyDescent="0.25">
      <c r="A1385" t="s">
        <v>98</v>
      </c>
      <c r="B1385" t="s">
        <v>62</v>
      </c>
      <c r="C1385" t="s">
        <v>90</v>
      </c>
      <c r="D1385" t="s">
        <v>25</v>
      </c>
      <c r="E1385" t="s">
        <v>160</v>
      </c>
      <c r="F1385" t="s">
        <v>139</v>
      </c>
      <c r="G1385">
        <v>6.49</v>
      </c>
      <c r="H1385">
        <v>5.99</v>
      </c>
      <c r="I1385" s="2" t="str">
        <f>_xlfn.XLOOKUP(F1385,DeparaIMG!D:D,DeparaIMG!F:F,,0)</f>
        <v>SPTLN.png</v>
      </c>
    </row>
    <row r="1386" spans="1:9" x14ac:dyDescent="0.25">
      <c r="A1386" t="s">
        <v>98</v>
      </c>
      <c r="B1386" t="s">
        <v>62</v>
      </c>
      <c r="C1386" t="s">
        <v>89</v>
      </c>
      <c r="D1386" t="s">
        <v>25</v>
      </c>
      <c r="E1386" t="s">
        <v>160</v>
      </c>
      <c r="F1386" t="s">
        <v>66</v>
      </c>
      <c r="G1386">
        <v>3.39</v>
      </c>
      <c r="H1386">
        <v>3.09</v>
      </c>
      <c r="I1386" s="2" t="str">
        <f>_xlfn.XLOOKUP(F1386,DeparaIMG!D:D,DeparaIMG!F:F,,0)</f>
        <v>SK269.png</v>
      </c>
    </row>
    <row r="1387" spans="1:9" x14ac:dyDescent="0.25">
      <c r="A1387" t="s">
        <v>98</v>
      </c>
      <c r="B1387" t="s">
        <v>62</v>
      </c>
      <c r="C1387" t="s">
        <v>89</v>
      </c>
      <c r="D1387" t="s">
        <v>25</v>
      </c>
      <c r="E1387" t="s">
        <v>160</v>
      </c>
      <c r="F1387" t="s">
        <v>69</v>
      </c>
      <c r="G1387">
        <v>3.49</v>
      </c>
      <c r="H1387">
        <v>3.09</v>
      </c>
      <c r="I1387" s="2" t="str">
        <f>_xlfn.XLOOKUP(F1387,DeparaIMG!D:D,DeparaIMG!F:F,,0)</f>
        <v>BUD269.png</v>
      </c>
    </row>
    <row r="1388" spans="1:9" x14ac:dyDescent="0.25">
      <c r="A1388" t="s">
        <v>98</v>
      </c>
      <c r="B1388" t="s">
        <v>62</v>
      </c>
      <c r="C1388" t="s">
        <v>89</v>
      </c>
      <c r="D1388" t="s">
        <v>25</v>
      </c>
      <c r="E1388" t="s">
        <v>160</v>
      </c>
      <c r="F1388" t="s">
        <v>151</v>
      </c>
      <c r="G1388">
        <v>3.49</v>
      </c>
      <c r="H1388">
        <v>2.99</v>
      </c>
      <c r="I1388" s="2" t="str">
        <f>_xlfn.XLOOKUP(F1388,DeparaIMG!D:D,DeparaIMG!F:F,,0)</f>
        <v>BDM269.png</v>
      </c>
    </row>
    <row r="1389" spans="1:9" x14ac:dyDescent="0.25">
      <c r="A1389" t="s">
        <v>98</v>
      </c>
      <c r="B1389" t="s">
        <v>62</v>
      </c>
      <c r="C1389" t="s">
        <v>89</v>
      </c>
      <c r="D1389" t="s">
        <v>25</v>
      </c>
      <c r="E1389" t="s">
        <v>160</v>
      </c>
      <c r="F1389" t="s">
        <v>100</v>
      </c>
      <c r="G1389">
        <v>3.99</v>
      </c>
      <c r="H1389">
        <v>3.49</v>
      </c>
      <c r="I1389" s="2" t="str">
        <f>_xlfn.XLOOKUP(F1389,DeparaIMG!D:D,DeparaIMG!F:F,,0)</f>
        <v>SPT269.png</v>
      </c>
    </row>
    <row r="1390" spans="1:9" x14ac:dyDescent="0.25">
      <c r="A1390" t="s">
        <v>98</v>
      </c>
      <c r="B1390" t="s">
        <v>62</v>
      </c>
      <c r="C1390" t="s">
        <v>89</v>
      </c>
      <c r="D1390" t="s">
        <v>25</v>
      </c>
      <c r="E1390" t="s">
        <v>160</v>
      </c>
      <c r="F1390" t="s">
        <v>75</v>
      </c>
      <c r="G1390">
        <v>4.29</v>
      </c>
      <c r="H1390">
        <v>3.49</v>
      </c>
      <c r="I1390" s="2" t="str">
        <f>_xlfn.XLOOKUP(F1390,DeparaIMG!D:D,DeparaIMG!F:F,,0)</f>
        <v>STE269.png</v>
      </c>
    </row>
    <row r="1391" spans="1:9" x14ac:dyDescent="0.25">
      <c r="A1391" t="s">
        <v>98</v>
      </c>
      <c r="B1391" t="s">
        <v>62</v>
      </c>
      <c r="C1391" t="s">
        <v>89</v>
      </c>
      <c r="D1391" t="s">
        <v>25</v>
      </c>
      <c r="E1391" t="s">
        <v>160</v>
      </c>
      <c r="F1391" t="s">
        <v>77</v>
      </c>
      <c r="G1391">
        <v>4.6900000000000004</v>
      </c>
      <c r="H1391">
        <v>3.99</v>
      </c>
      <c r="I1391" s="2" t="str">
        <f>_xlfn.XLOOKUP(F1391,DeparaIMG!D:D,DeparaIMG!F:F,,0)</f>
        <v>COR269.png</v>
      </c>
    </row>
    <row r="1392" spans="1:9" x14ac:dyDescent="0.25">
      <c r="A1392" t="s">
        <v>98</v>
      </c>
      <c r="B1392" t="s">
        <v>62</v>
      </c>
      <c r="C1392" t="s">
        <v>89</v>
      </c>
      <c r="D1392" t="s">
        <v>25</v>
      </c>
      <c r="E1392" t="s">
        <v>160</v>
      </c>
      <c r="F1392" t="s">
        <v>71</v>
      </c>
      <c r="G1392">
        <v>3.79</v>
      </c>
      <c r="H1392">
        <v>3.69</v>
      </c>
      <c r="I1392" s="2" t="str">
        <f>_xlfn.XLOOKUP(F1392,DeparaIMG!D:D,DeparaIMG!F:F,,0)</f>
        <v>BC350.png</v>
      </c>
    </row>
    <row r="1393" spans="1:9" x14ac:dyDescent="0.25">
      <c r="A1393" t="s">
        <v>98</v>
      </c>
      <c r="B1393" t="s">
        <v>62</v>
      </c>
      <c r="C1393" t="s">
        <v>89</v>
      </c>
      <c r="D1393" t="s">
        <v>25</v>
      </c>
      <c r="E1393" t="s">
        <v>160</v>
      </c>
      <c r="F1393" t="s">
        <v>139</v>
      </c>
      <c r="G1393">
        <v>6.49</v>
      </c>
      <c r="H1393">
        <v>5.99</v>
      </c>
      <c r="I1393" s="2" t="str">
        <f>_xlfn.XLOOKUP(F1393,DeparaIMG!D:D,DeparaIMG!F:F,,0)</f>
        <v>SPTLN.png</v>
      </c>
    </row>
    <row r="1394" spans="1:9" x14ac:dyDescent="0.25">
      <c r="A1394" s="2" t="s">
        <v>155</v>
      </c>
      <c r="B1394" s="2" t="s">
        <v>62</v>
      </c>
      <c r="C1394" t="s">
        <v>113</v>
      </c>
      <c r="D1394" t="s">
        <v>25</v>
      </c>
      <c r="E1394" t="s">
        <v>160</v>
      </c>
      <c r="F1394" t="s">
        <v>66</v>
      </c>
      <c r="G1394">
        <v>3.29</v>
      </c>
      <c r="H1394">
        <v>2.99</v>
      </c>
      <c r="I1394" s="2" t="str">
        <f>_xlfn.XLOOKUP(F1394,DeparaIMG!D:D,DeparaIMG!F:F,,0)</f>
        <v>SK269.png</v>
      </c>
    </row>
    <row r="1395" spans="1:9" x14ac:dyDescent="0.25">
      <c r="A1395" s="2" t="s">
        <v>155</v>
      </c>
      <c r="B1395" t="s">
        <v>62</v>
      </c>
      <c r="C1395" t="s">
        <v>113</v>
      </c>
      <c r="D1395" t="s">
        <v>25</v>
      </c>
      <c r="E1395" t="s">
        <v>160</v>
      </c>
      <c r="F1395" t="s">
        <v>151</v>
      </c>
      <c r="G1395">
        <v>3.39</v>
      </c>
      <c r="H1395">
        <v>2.4900000000000002</v>
      </c>
      <c r="I1395" s="2" t="str">
        <f>_xlfn.XLOOKUP(F1395,DeparaIMG!D:D,DeparaIMG!F:F,,0)</f>
        <v>BDM269.png</v>
      </c>
    </row>
    <row r="1396" spans="1:9" x14ac:dyDescent="0.25">
      <c r="A1396" s="2" t="s">
        <v>155</v>
      </c>
      <c r="B1396" t="s">
        <v>62</v>
      </c>
      <c r="C1396" t="s">
        <v>113</v>
      </c>
      <c r="D1396" t="s">
        <v>25</v>
      </c>
      <c r="E1396" t="s">
        <v>160</v>
      </c>
      <c r="F1396" t="s">
        <v>100</v>
      </c>
      <c r="G1396">
        <v>3.99</v>
      </c>
      <c r="H1396">
        <v>3.49</v>
      </c>
      <c r="I1396" s="2" t="str">
        <f>_xlfn.XLOOKUP(F1396,DeparaIMG!D:D,DeparaIMG!F:F,,0)</f>
        <v>SPT269.png</v>
      </c>
    </row>
    <row r="1397" spans="1:9" x14ac:dyDescent="0.25">
      <c r="A1397" s="2" t="s">
        <v>155</v>
      </c>
      <c r="B1397" t="s">
        <v>62</v>
      </c>
      <c r="C1397" t="s">
        <v>113</v>
      </c>
      <c r="D1397" t="s">
        <v>25</v>
      </c>
      <c r="E1397" t="s">
        <v>160</v>
      </c>
      <c r="F1397" t="s">
        <v>75</v>
      </c>
      <c r="G1397">
        <v>4.29</v>
      </c>
      <c r="H1397">
        <v>3.49</v>
      </c>
      <c r="I1397" s="2" t="str">
        <f>_xlfn.XLOOKUP(F1397,DeparaIMG!D:D,DeparaIMG!F:F,,0)</f>
        <v>STE269.png</v>
      </c>
    </row>
    <row r="1398" spans="1:9" x14ac:dyDescent="0.25">
      <c r="A1398" s="2" t="s">
        <v>155</v>
      </c>
      <c r="B1398" t="s">
        <v>62</v>
      </c>
      <c r="C1398" t="s">
        <v>113</v>
      </c>
      <c r="D1398" t="s">
        <v>25</v>
      </c>
      <c r="E1398" t="s">
        <v>160</v>
      </c>
      <c r="F1398" t="s">
        <v>77</v>
      </c>
      <c r="G1398">
        <v>4.6900000000000004</v>
      </c>
      <c r="H1398">
        <v>3.99</v>
      </c>
      <c r="I1398" s="2" t="str">
        <f>_xlfn.XLOOKUP(F1398,DeparaIMG!D:D,DeparaIMG!F:F,,0)</f>
        <v>COR269.png</v>
      </c>
    </row>
    <row r="1399" spans="1:9" x14ac:dyDescent="0.25">
      <c r="A1399" s="2" t="s">
        <v>155</v>
      </c>
      <c r="B1399" t="s">
        <v>62</v>
      </c>
      <c r="C1399" t="s">
        <v>113</v>
      </c>
      <c r="D1399" t="s">
        <v>25</v>
      </c>
      <c r="E1399" t="s">
        <v>160</v>
      </c>
      <c r="F1399" t="s">
        <v>71</v>
      </c>
      <c r="G1399">
        <v>3.79</v>
      </c>
      <c r="H1399">
        <v>3.39</v>
      </c>
      <c r="I1399" s="2" t="str">
        <f>_xlfn.XLOOKUP(F1399,DeparaIMG!D:D,DeparaIMG!F:F,,0)</f>
        <v>BC350.png</v>
      </c>
    </row>
    <row r="1400" spans="1:9" x14ac:dyDescent="0.25">
      <c r="A1400" s="2" t="s">
        <v>155</v>
      </c>
      <c r="B1400" t="s">
        <v>62</v>
      </c>
      <c r="C1400" t="s">
        <v>113</v>
      </c>
      <c r="D1400" t="s">
        <v>25</v>
      </c>
      <c r="E1400" t="s">
        <v>160</v>
      </c>
      <c r="F1400" t="s">
        <v>139</v>
      </c>
      <c r="G1400">
        <v>6.49</v>
      </c>
      <c r="H1400">
        <v>5.99</v>
      </c>
      <c r="I1400" s="2" t="str">
        <f>_xlfn.XLOOKUP(F1400,DeparaIMG!D:D,DeparaIMG!F:F,,0)</f>
        <v>SPTLN.png</v>
      </c>
    </row>
    <row r="1401" spans="1:9" x14ac:dyDescent="0.25">
      <c r="A1401" s="2" t="s">
        <v>155</v>
      </c>
      <c r="B1401" t="s">
        <v>62</v>
      </c>
      <c r="C1401" t="s">
        <v>88</v>
      </c>
      <c r="D1401" t="s">
        <v>25</v>
      </c>
      <c r="E1401" t="s">
        <v>160</v>
      </c>
      <c r="F1401" t="s">
        <v>66</v>
      </c>
      <c r="G1401">
        <v>3.29</v>
      </c>
      <c r="H1401">
        <v>3.09</v>
      </c>
      <c r="I1401" s="2" t="str">
        <f>_xlfn.XLOOKUP(F1401,DeparaIMG!D:D,DeparaIMG!F:F,,0)</f>
        <v>SK269.png</v>
      </c>
    </row>
    <row r="1402" spans="1:9" x14ac:dyDescent="0.25">
      <c r="A1402" s="2" t="s">
        <v>155</v>
      </c>
      <c r="B1402" t="s">
        <v>62</v>
      </c>
      <c r="C1402" t="s">
        <v>88</v>
      </c>
      <c r="D1402" t="s">
        <v>25</v>
      </c>
      <c r="E1402" t="s">
        <v>160</v>
      </c>
      <c r="F1402" t="s">
        <v>69</v>
      </c>
      <c r="G1402">
        <v>3.49</v>
      </c>
      <c r="H1402">
        <v>2.99</v>
      </c>
      <c r="I1402" s="2" t="str">
        <f>_xlfn.XLOOKUP(F1402,DeparaIMG!D:D,DeparaIMG!F:F,,0)</f>
        <v>BUD269.png</v>
      </c>
    </row>
    <row r="1403" spans="1:9" x14ac:dyDescent="0.25">
      <c r="A1403" s="2" t="s">
        <v>155</v>
      </c>
      <c r="B1403" t="s">
        <v>62</v>
      </c>
      <c r="C1403" t="s">
        <v>88</v>
      </c>
      <c r="D1403" t="s">
        <v>25</v>
      </c>
      <c r="E1403" t="s">
        <v>160</v>
      </c>
      <c r="F1403" t="s">
        <v>151</v>
      </c>
      <c r="G1403">
        <v>3.59</v>
      </c>
      <c r="H1403">
        <v>3.09</v>
      </c>
      <c r="I1403" s="2" t="str">
        <f>_xlfn.XLOOKUP(F1403,DeparaIMG!D:D,DeparaIMG!F:F,,0)</f>
        <v>BDM269.png</v>
      </c>
    </row>
    <row r="1404" spans="1:9" x14ac:dyDescent="0.25">
      <c r="A1404" s="2" t="s">
        <v>155</v>
      </c>
      <c r="B1404" t="s">
        <v>62</v>
      </c>
      <c r="C1404" t="s">
        <v>88</v>
      </c>
      <c r="D1404" t="s">
        <v>25</v>
      </c>
      <c r="E1404" t="s">
        <v>160</v>
      </c>
      <c r="F1404" t="s">
        <v>100</v>
      </c>
      <c r="G1404">
        <v>3.99</v>
      </c>
      <c r="H1404">
        <v>3.49</v>
      </c>
      <c r="I1404" s="2" t="str">
        <f>_xlfn.XLOOKUP(F1404,DeparaIMG!D:D,DeparaIMG!F:F,,0)</f>
        <v>SPT269.png</v>
      </c>
    </row>
    <row r="1405" spans="1:9" x14ac:dyDescent="0.25">
      <c r="A1405" s="2" t="s">
        <v>155</v>
      </c>
      <c r="B1405" t="s">
        <v>62</v>
      </c>
      <c r="C1405" t="s">
        <v>88</v>
      </c>
      <c r="D1405" t="s">
        <v>25</v>
      </c>
      <c r="E1405" t="s">
        <v>160</v>
      </c>
      <c r="F1405" t="s">
        <v>75</v>
      </c>
      <c r="G1405">
        <v>4.29</v>
      </c>
      <c r="H1405">
        <v>3.49</v>
      </c>
      <c r="I1405" s="2" t="str">
        <f>_xlfn.XLOOKUP(F1405,DeparaIMG!D:D,DeparaIMG!F:F,,0)</f>
        <v>STE269.png</v>
      </c>
    </row>
    <row r="1406" spans="1:9" x14ac:dyDescent="0.25">
      <c r="A1406" s="2" t="s">
        <v>155</v>
      </c>
      <c r="B1406" t="s">
        <v>62</v>
      </c>
      <c r="C1406" t="s">
        <v>88</v>
      </c>
      <c r="D1406" t="s">
        <v>25</v>
      </c>
      <c r="E1406" t="s">
        <v>160</v>
      </c>
      <c r="F1406" t="s">
        <v>77</v>
      </c>
      <c r="G1406">
        <v>4.6900000000000004</v>
      </c>
      <c r="H1406">
        <v>3.99</v>
      </c>
      <c r="I1406" s="2" t="str">
        <f>_xlfn.XLOOKUP(F1406,DeparaIMG!D:D,DeparaIMG!F:F,,0)</f>
        <v>COR269.png</v>
      </c>
    </row>
    <row r="1407" spans="1:9" x14ac:dyDescent="0.25">
      <c r="A1407" s="2" t="s">
        <v>155</v>
      </c>
      <c r="B1407" t="s">
        <v>62</v>
      </c>
      <c r="C1407" t="s">
        <v>88</v>
      </c>
      <c r="D1407" t="s">
        <v>25</v>
      </c>
      <c r="E1407" t="s">
        <v>160</v>
      </c>
      <c r="F1407" t="s">
        <v>71</v>
      </c>
      <c r="G1407">
        <v>3.99</v>
      </c>
      <c r="H1407">
        <v>3.69</v>
      </c>
      <c r="I1407" s="2" t="str">
        <f>_xlfn.XLOOKUP(F1407,DeparaIMG!D:D,DeparaIMG!F:F,,0)</f>
        <v>BC350.png</v>
      </c>
    </row>
    <row r="1408" spans="1:9" x14ac:dyDescent="0.25">
      <c r="A1408" s="2" t="s">
        <v>155</v>
      </c>
      <c r="B1408" t="s">
        <v>62</v>
      </c>
      <c r="C1408" t="s">
        <v>88</v>
      </c>
      <c r="D1408" t="s">
        <v>25</v>
      </c>
      <c r="E1408" t="s">
        <v>160</v>
      </c>
      <c r="F1408" t="s">
        <v>139</v>
      </c>
      <c r="G1408">
        <v>6.49</v>
      </c>
      <c r="H1408">
        <v>5.99</v>
      </c>
      <c r="I1408" s="2" t="str">
        <f>_xlfn.XLOOKUP(F1408,DeparaIMG!D:D,DeparaIMG!F:F,,0)</f>
        <v>SPTLN.png</v>
      </c>
    </row>
    <row r="1409" spans="1:9" x14ac:dyDescent="0.25">
      <c r="A1409" s="2" t="s">
        <v>155</v>
      </c>
      <c r="B1409" t="s">
        <v>62</v>
      </c>
      <c r="C1409" t="s">
        <v>29</v>
      </c>
      <c r="D1409" t="s">
        <v>25</v>
      </c>
      <c r="E1409" t="s">
        <v>160</v>
      </c>
      <c r="F1409" t="s">
        <v>66</v>
      </c>
      <c r="G1409">
        <v>3.09</v>
      </c>
      <c r="H1409">
        <v>2.89</v>
      </c>
      <c r="I1409" s="2" t="str">
        <f>_xlfn.XLOOKUP(F1409,DeparaIMG!D:D,DeparaIMG!F:F,,0)</f>
        <v>SK269.png</v>
      </c>
    </row>
    <row r="1410" spans="1:9" x14ac:dyDescent="0.25">
      <c r="A1410" s="2" t="s">
        <v>155</v>
      </c>
      <c r="B1410" t="s">
        <v>62</v>
      </c>
      <c r="C1410" t="s">
        <v>29</v>
      </c>
      <c r="D1410" t="s">
        <v>25</v>
      </c>
      <c r="E1410" t="s">
        <v>160</v>
      </c>
      <c r="F1410" t="s">
        <v>151</v>
      </c>
      <c r="G1410">
        <v>3.49</v>
      </c>
      <c r="H1410">
        <v>2.99</v>
      </c>
      <c r="I1410" s="2" t="str">
        <f>_xlfn.XLOOKUP(F1410,DeparaIMG!D:D,DeparaIMG!F:F,,0)</f>
        <v>BDM269.png</v>
      </c>
    </row>
    <row r="1411" spans="1:9" x14ac:dyDescent="0.25">
      <c r="A1411" s="2" t="s">
        <v>155</v>
      </c>
      <c r="B1411" t="s">
        <v>62</v>
      </c>
      <c r="C1411" t="s">
        <v>29</v>
      </c>
      <c r="D1411" t="s">
        <v>25</v>
      </c>
      <c r="E1411" t="s">
        <v>160</v>
      </c>
      <c r="F1411" t="s">
        <v>100</v>
      </c>
      <c r="G1411">
        <v>3.99</v>
      </c>
      <c r="H1411">
        <v>3.49</v>
      </c>
      <c r="I1411" s="2" t="str">
        <f>_xlfn.XLOOKUP(F1411,DeparaIMG!D:D,DeparaIMG!F:F,,0)</f>
        <v>SPT269.png</v>
      </c>
    </row>
    <row r="1412" spans="1:9" x14ac:dyDescent="0.25">
      <c r="A1412" s="2" t="s">
        <v>155</v>
      </c>
      <c r="B1412" t="s">
        <v>62</v>
      </c>
      <c r="C1412" t="s">
        <v>29</v>
      </c>
      <c r="D1412" t="s">
        <v>25</v>
      </c>
      <c r="E1412" t="s">
        <v>160</v>
      </c>
      <c r="F1412" t="s">
        <v>75</v>
      </c>
      <c r="G1412">
        <v>4.29</v>
      </c>
      <c r="H1412">
        <v>3.49</v>
      </c>
      <c r="I1412" s="2" t="str">
        <f>_xlfn.XLOOKUP(F1412,DeparaIMG!D:D,DeparaIMG!F:F,,0)</f>
        <v>STE269.png</v>
      </c>
    </row>
    <row r="1413" spans="1:9" x14ac:dyDescent="0.25">
      <c r="A1413" s="2" t="s">
        <v>155</v>
      </c>
      <c r="B1413" t="s">
        <v>62</v>
      </c>
      <c r="C1413" t="s">
        <v>29</v>
      </c>
      <c r="D1413" t="s">
        <v>25</v>
      </c>
      <c r="E1413" t="s">
        <v>160</v>
      </c>
      <c r="F1413" t="s">
        <v>77</v>
      </c>
      <c r="G1413">
        <v>4.6900000000000004</v>
      </c>
      <c r="H1413">
        <v>3.99</v>
      </c>
      <c r="I1413" s="2" t="str">
        <f>_xlfn.XLOOKUP(F1413,DeparaIMG!D:D,DeparaIMG!F:F,,0)</f>
        <v>COR269.png</v>
      </c>
    </row>
    <row r="1414" spans="1:9" x14ac:dyDescent="0.25">
      <c r="A1414" s="2" t="s">
        <v>155</v>
      </c>
      <c r="B1414" t="s">
        <v>62</v>
      </c>
      <c r="C1414" t="s">
        <v>29</v>
      </c>
      <c r="D1414" t="s">
        <v>25</v>
      </c>
      <c r="E1414" t="s">
        <v>160</v>
      </c>
      <c r="F1414" t="s">
        <v>71</v>
      </c>
      <c r="G1414">
        <v>3.79</v>
      </c>
      <c r="H1414">
        <v>3.49</v>
      </c>
      <c r="I1414" s="2" t="str">
        <f>_xlfn.XLOOKUP(F1414,DeparaIMG!D:D,DeparaIMG!F:F,,0)</f>
        <v>BC350.png</v>
      </c>
    </row>
    <row r="1415" spans="1:9" x14ac:dyDescent="0.25">
      <c r="A1415" s="2" t="s">
        <v>155</v>
      </c>
      <c r="B1415" t="s">
        <v>62</v>
      </c>
      <c r="C1415" t="s">
        <v>29</v>
      </c>
      <c r="D1415" t="s">
        <v>26</v>
      </c>
      <c r="E1415" t="s">
        <v>160</v>
      </c>
      <c r="F1415" t="s">
        <v>76</v>
      </c>
      <c r="G1415">
        <v>4.49</v>
      </c>
      <c r="H1415">
        <v>3.89</v>
      </c>
      <c r="I1415" s="2" t="str">
        <f>_xlfn.XLOOKUP(F1415,DeparaIMG!D:D,DeparaIMG!F:F,,0)</f>
        <v>BUD350.png</v>
      </c>
    </row>
    <row r="1416" spans="1:9" x14ac:dyDescent="0.25">
      <c r="A1416" s="2" t="s">
        <v>155</v>
      </c>
      <c r="B1416" t="s">
        <v>62</v>
      </c>
      <c r="C1416" t="s">
        <v>29</v>
      </c>
      <c r="D1416" t="s">
        <v>25</v>
      </c>
      <c r="E1416" t="s">
        <v>160</v>
      </c>
      <c r="F1416" t="s">
        <v>139</v>
      </c>
      <c r="G1416">
        <v>6.49</v>
      </c>
      <c r="H1416">
        <v>5.99</v>
      </c>
      <c r="I1416" s="2" t="str">
        <f>_xlfn.XLOOKUP(F1416,DeparaIMG!D:D,DeparaIMG!F:F,,0)</f>
        <v>SPTLN.png</v>
      </c>
    </row>
    <row r="1417" spans="1:9" x14ac:dyDescent="0.25">
      <c r="A1417" s="2" t="s">
        <v>155</v>
      </c>
      <c r="B1417" t="s">
        <v>62</v>
      </c>
      <c r="C1417" t="s">
        <v>112</v>
      </c>
      <c r="D1417" t="s">
        <v>25</v>
      </c>
      <c r="E1417" t="s">
        <v>160</v>
      </c>
      <c r="F1417" t="s">
        <v>66</v>
      </c>
      <c r="G1417">
        <v>3.09</v>
      </c>
      <c r="H1417">
        <v>2.89</v>
      </c>
      <c r="I1417" s="2" t="str">
        <f>_xlfn.XLOOKUP(F1417,DeparaIMG!D:D,DeparaIMG!F:F,,0)</f>
        <v>SK269.png</v>
      </c>
    </row>
    <row r="1418" spans="1:9" x14ac:dyDescent="0.25">
      <c r="A1418" s="2" t="s">
        <v>155</v>
      </c>
      <c r="B1418" t="s">
        <v>62</v>
      </c>
      <c r="C1418" t="s">
        <v>112</v>
      </c>
      <c r="D1418" t="s">
        <v>25</v>
      </c>
      <c r="E1418" t="s">
        <v>160</v>
      </c>
      <c r="F1418" t="s">
        <v>151</v>
      </c>
      <c r="G1418">
        <v>3.49</v>
      </c>
      <c r="H1418">
        <v>2.99</v>
      </c>
      <c r="I1418" s="2" t="str">
        <f>_xlfn.XLOOKUP(F1418,DeparaIMG!D:D,DeparaIMG!F:F,,0)</f>
        <v>BDM269.png</v>
      </c>
    </row>
    <row r="1419" spans="1:9" x14ac:dyDescent="0.25">
      <c r="A1419" s="2" t="s">
        <v>155</v>
      </c>
      <c r="B1419" t="s">
        <v>62</v>
      </c>
      <c r="C1419" t="s">
        <v>112</v>
      </c>
      <c r="D1419" t="s">
        <v>25</v>
      </c>
      <c r="E1419" t="s">
        <v>160</v>
      </c>
      <c r="F1419" t="s">
        <v>100</v>
      </c>
      <c r="G1419">
        <v>3.99</v>
      </c>
      <c r="H1419">
        <v>3.49</v>
      </c>
      <c r="I1419" s="2" t="str">
        <f>_xlfn.XLOOKUP(F1419,DeparaIMG!D:D,DeparaIMG!F:F,,0)</f>
        <v>SPT269.png</v>
      </c>
    </row>
    <row r="1420" spans="1:9" x14ac:dyDescent="0.25">
      <c r="A1420" s="2" t="s">
        <v>155</v>
      </c>
      <c r="B1420" t="s">
        <v>62</v>
      </c>
      <c r="C1420" t="s">
        <v>112</v>
      </c>
      <c r="D1420" t="s">
        <v>25</v>
      </c>
      <c r="E1420" t="s">
        <v>160</v>
      </c>
      <c r="F1420" t="s">
        <v>75</v>
      </c>
      <c r="G1420">
        <v>4.29</v>
      </c>
      <c r="H1420">
        <v>3.49</v>
      </c>
      <c r="I1420" s="2" t="str">
        <f>_xlfn.XLOOKUP(F1420,DeparaIMG!D:D,DeparaIMG!F:F,,0)</f>
        <v>STE269.png</v>
      </c>
    </row>
    <row r="1421" spans="1:9" x14ac:dyDescent="0.25">
      <c r="A1421" s="2" t="s">
        <v>155</v>
      </c>
      <c r="B1421" t="s">
        <v>62</v>
      </c>
      <c r="C1421" t="s">
        <v>112</v>
      </c>
      <c r="D1421" t="s">
        <v>25</v>
      </c>
      <c r="E1421" t="s">
        <v>160</v>
      </c>
      <c r="F1421" t="s">
        <v>77</v>
      </c>
      <c r="G1421">
        <v>4.59</v>
      </c>
      <c r="H1421">
        <v>3.99</v>
      </c>
      <c r="I1421" s="2" t="str">
        <f>_xlfn.XLOOKUP(F1421,DeparaIMG!D:D,DeparaIMG!F:F,,0)</f>
        <v>COR269.png</v>
      </c>
    </row>
    <row r="1422" spans="1:9" x14ac:dyDescent="0.25">
      <c r="A1422" s="2" t="s">
        <v>155</v>
      </c>
      <c r="B1422" t="s">
        <v>62</v>
      </c>
      <c r="C1422" t="s">
        <v>112</v>
      </c>
      <c r="D1422" t="s">
        <v>25</v>
      </c>
      <c r="E1422" t="s">
        <v>160</v>
      </c>
      <c r="F1422" t="s">
        <v>71</v>
      </c>
      <c r="G1422">
        <v>3.79</v>
      </c>
      <c r="H1422">
        <v>3.49</v>
      </c>
      <c r="I1422" s="2" t="str">
        <f>_xlfn.XLOOKUP(F1422,DeparaIMG!D:D,DeparaIMG!F:F,,0)</f>
        <v>BC350.png</v>
      </c>
    </row>
    <row r="1423" spans="1:9" x14ac:dyDescent="0.25">
      <c r="A1423" s="2" t="s">
        <v>155</v>
      </c>
      <c r="B1423" t="s">
        <v>62</v>
      </c>
      <c r="C1423" t="s">
        <v>112</v>
      </c>
      <c r="D1423" t="s">
        <v>26</v>
      </c>
      <c r="E1423" t="s">
        <v>160</v>
      </c>
      <c r="F1423" t="s">
        <v>101</v>
      </c>
      <c r="G1423">
        <v>5.19</v>
      </c>
      <c r="H1423">
        <v>4.6900000000000004</v>
      </c>
      <c r="I1423" s="2" t="str">
        <f>_xlfn.XLOOKUP(F1423,DeparaIMG!D:D,DeparaIMG!F:F,,0)</f>
        <v>SPT350.png</v>
      </c>
    </row>
    <row r="1424" spans="1:9" x14ac:dyDescent="0.25">
      <c r="A1424" s="2" t="s">
        <v>155</v>
      </c>
      <c r="B1424" t="s">
        <v>62</v>
      </c>
      <c r="C1424" t="s">
        <v>112</v>
      </c>
      <c r="D1424" t="s">
        <v>26</v>
      </c>
      <c r="E1424" t="s">
        <v>160</v>
      </c>
      <c r="F1424" t="s">
        <v>65</v>
      </c>
      <c r="G1424">
        <v>5.49</v>
      </c>
      <c r="H1424">
        <v>4.49</v>
      </c>
      <c r="I1424" s="2" t="str">
        <f>_xlfn.XLOOKUP(F1424,DeparaIMG!D:D,DeparaIMG!F:F,,0)</f>
        <v>STE350.png</v>
      </c>
    </row>
    <row r="1425" spans="1:9" x14ac:dyDescent="0.25">
      <c r="A1425" s="2" t="s">
        <v>155</v>
      </c>
      <c r="B1425" t="s">
        <v>62</v>
      </c>
      <c r="C1425" t="s">
        <v>112</v>
      </c>
      <c r="D1425" t="s">
        <v>25</v>
      </c>
      <c r="E1425" t="s">
        <v>160</v>
      </c>
      <c r="F1425" t="s">
        <v>139</v>
      </c>
      <c r="G1425">
        <v>6.49</v>
      </c>
      <c r="H1425">
        <v>5.99</v>
      </c>
      <c r="I1425" s="2" t="str">
        <f>_xlfn.XLOOKUP(F1425,DeparaIMG!D:D,DeparaIMG!F:F,,0)</f>
        <v>SPTLN.png</v>
      </c>
    </row>
    <row r="1426" spans="1:9" x14ac:dyDescent="0.25">
      <c r="A1426" s="2" t="s">
        <v>155</v>
      </c>
      <c r="B1426" t="s">
        <v>62</v>
      </c>
      <c r="C1426" t="s">
        <v>87</v>
      </c>
      <c r="D1426" t="s">
        <v>25</v>
      </c>
      <c r="E1426" t="s">
        <v>160</v>
      </c>
      <c r="F1426" t="s">
        <v>66</v>
      </c>
      <c r="G1426">
        <v>3.09</v>
      </c>
      <c r="H1426">
        <v>2.89</v>
      </c>
      <c r="I1426" s="2" t="str">
        <f>_xlfn.XLOOKUP(F1426,DeparaIMG!D:D,DeparaIMG!F:F,,0)</f>
        <v>SK269.png</v>
      </c>
    </row>
    <row r="1427" spans="1:9" x14ac:dyDescent="0.25">
      <c r="A1427" s="2" t="s">
        <v>155</v>
      </c>
      <c r="B1427" t="s">
        <v>62</v>
      </c>
      <c r="C1427" t="s">
        <v>87</v>
      </c>
      <c r="D1427" t="s">
        <v>25</v>
      </c>
      <c r="E1427" t="s">
        <v>160</v>
      </c>
      <c r="F1427" t="s">
        <v>69</v>
      </c>
      <c r="G1427">
        <v>3.49</v>
      </c>
      <c r="H1427">
        <v>3.09</v>
      </c>
      <c r="I1427" s="2" t="str">
        <f>_xlfn.XLOOKUP(F1427,DeparaIMG!D:D,DeparaIMG!F:F,,0)</f>
        <v>BUD269.png</v>
      </c>
    </row>
    <row r="1428" spans="1:9" x14ac:dyDescent="0.25">
      <c r="A1428" s="2" t="s">
        <v>155</v>
      </c>
      <c r="B1428" t="s">
        <v>62</v>
      </c>
      <c r="C1428" t="s">
        <v>87</v>
      </c>
      <c r="D1428" t="s">
        <v>25</v>
      </c>
      <c r="E1428" t="s">
        <v>160</v>
      </c>
      <c r="F1428" t="s">
        <v>151</v>
      </c>
      <c r="G1428">
        <v>3.49</v>
      </c>
      <c r="H1428">
        <v>2.99</v>
      </c>
      <c r="I1428" s="2" t="str">
        <f>_xlfn.XLOOKUP(F1428,DeparaIMG!D:D,DeparaIMG!F:F,,0)</f>
        <v>BDM269.png</v>
      </c>
    </row>
    <row r="1429" spans="1:9" x14ac:dyDescent="0.25">
      <c r="A1429" s="2" t="s">
        <v>155</v>
      </c>
      <c r="B1429" t="s">
        <v>62</v>
      </c>
      <c r="C1429" t="s">
        <v>87</v>
      </c>
      <c r="D1429" t="s">
        <v>25</v>
      </c>
      <c r="E1429" t="s">
        <v>160</v>
      </c>
      <c r="F1429" t="s">
        <v>100</v>
      </c>
      <c r="G1429">
        <v>3.99</v>
      </c>
      <c r="H1429">
        <v>3.49</v>
      </c>
      <c r="I1429" s="2" t="str">
        <f>_xlfn.XLOOKUP(F1429,DeparaIMG!D:D,DeparaIMG!F:F,,0)</f>
        <v>SPT269.png</v>
      </c>
    </row>
    <row r="1430" spans="1:9" x14ac:dyDescent="0.25">
      <c r="A1430" s="2" t="s">
        <v>155</v>
      </c>
      <c r="B1430" t="s">
        <v>62</v>
      </c>
      <c r="C1430" t="s">
        <v>87</v>
      </c>
      <c r="D1430" t="s">
        <v>25</v>
      </c>
      <c r="E1430" t="s">
        <v>160</v>
      </c>
      <c r="F1430" t="s">
        <v>75</v>
      </c>
      <c r="G1430">
        <v>4.29</v>
      </c>
      <c r="H1430">
        <v>3.49</v>
      </c>
      <c r="I1430" s="2" t="str">
        <f>_xlfn.XLOOKUP(F1430,DeparaIMG!D:D,DeparaIMG!F:F,,0)</f>
        <v>STE269.png</v>
      </c>
    </row>
    <row r="1431" spans="1:9" x14ac:dyDescent="0.25">
      <c r="A1431" s="2" t="s">
        <v>155</v>
      </c>
      <c r="B1431" t="s">
        <v>62</v>
      </c>
      <c r="C1431" t="s">
        <v>87</v>
      </c>
      <c r="D1431" t="s">
        <v>25</v>
      </c>
      <c r="E1431" t="s">
        <v>160</v>
      </c>
      <c r="F1431" t="s">
        <v>77</v>
      </c>
      <c r="G1431">
        <v>4.6900000000000004</v>
      </c>
      <c r="H1431">
        <v>3.99</v>
      </c>
      <c r="I1431" s="2" t="str">
        <f>_xlfn.XLOOKUP(F1431,DeparaIMG!D:D,DeparaIMG!F:F,,0)</f>
        <v>COR269.png</v>
      </c>
    </row>
    <row r="1432" spans="1:9" x14ac:dyDescent="0.25">
      <c r="A1432" s="2" t="s">
        <v>155</v>
      </c>
      <c r="B1432" t="s">
        <v>62</v>
      </c>
      <c r="C1432" t="s">
        <v>87</v>
      </c>
      <c r="D1432" t="s">
        <v>25</v>
      </c>
      <c r="E1432" t="s">
        <v>160</v>
      </c>
      <c r="F1432" t="s">
        <v>71</v>
      </c>
      <c r="G1432">
        <v>3.99</v>
      </c>
      <c r="H1432">
        <v>3.69</v>
      </c>
      <c r="I1432" s="2" t="str">
        <f>_xlfn.XLOOKUP(F1432,DeparaIMG!D:D,DeparaIMG!F:F,,0)</f>
        <v>BC350.png</v>
      </c>
    </row>
    <row r="1433" spans="1:9" x14ac:dyDescent="0.25">
      <c r="A1433" s="2" t="s">
        <v>155</v>
      </c>
      <c r="B1433" t="s">
        <v>62</v>
      </c>
      <c r="C1433" t="s">
        <v>87</v>
      </c>
      <c r="D1433" t="s">
        <v>25</v>
      </c>
      <c r="E1433" t="s">
        <v>160</v>
      </c>
      <c r="F1433" t="s">
        <v>139</v>
      </c>
      <c r="G1433">
        <v>6.49</v>
      </c>
      <c r="H1433">
        <v>5.99</v>
      </c>
      <c r="I1433" s="2" t="str">
        <f>_xlfn.XLOOKUP(F1433,DeparaIMG!D:D,DeparaIMG!F:F,,0)</f>
        <v>SPTLN.png</v>
      </c>
    </row>
    <row r="1434" spans="1:9" x14ac:dyDescent="0.25">
      <c r="A1434" s="2" t="s">
        <v>155</v>
      </c>
      <c r="B1434" t="s">
        <v>62</v>
      </c>
      <c r="C1434" t="s">
        <v>173</v>
      </c>
      <c r="D1434" t="s">
        <v>25</v>
      </c>
      <c r="E1434" t="s">
        <v>160</v>
      </c>
      <c r="F1434" t="s">
        <v>66</v>
      </c>
      <c r="G1434">
        <v>3.39</v>
      </c>
      <c r="H1434">
        <v>3.09</v>
      </c>
      <c r="I1434" s="2" t="str">
        <f>_xlfn.XLOOKUP(F1434,DeparaIMG!D:D,DeparaIMG!F:F,,0)</f>
        <v>SK269.png</v>
      </c>
    </row>
    <row r="1435" spans="1:9" x14ac:dyDescent="0.25">
      <c r="A1435" s="2" t="s">
        <v>155</v>
      </c>
      <c r="B1435" t="s">
        <v>62</v>
      </c>
      <c r="C1435" t="s">
        <v>173</v>
      </c>
      <c r="D1435" t="s">
        <v>25</v>
      </c>
      <c r="E1435" t="s">
        <v>160</v>
      </c>
      <c r="F1435" t="s">
        <v>69</v>
      </c>
      <c r="G1435">
        <v>3.49</v>
      </c>
      <c r="H1435">
        <v>3.09</v>
      </c>
      <c r="I1435" s="2" t="str">
        <f>_xlfn.XLOOKUP(F1435,DeparaIMG!D:D,DeparaIMG!F:F,,0)</f>
        <v>BUD269.png</v>
      </c>
    </row>
    <row r="1436" spans="1:9" x14ac:dyDescent="0.25">
      <c r="A1436" s="2" t="s">
        <v>155</v>
      </c>
      <c r="B1436" t="s">
        <v>62</v>
      </c>
      <c r="C1436" t="s">
        <v>173</v>
      </c>
      <c r="D1436" t="s">
        <v>25</v>
      </c>
      <c r="E1436" t="s">
        <v>160</v>
      </c>
      <c r="F1436" t="s">
        <v>151</v>
      </c>
      <c r="G1436">
        <v>3.49</v>
      </c>
      <c r="H1436">
        <v>2.99</v>
      </c>
      <c r="I1436" s="2" t="str">
        <f>_xlfn.XLOOKUP(F1436,DeparaIMG!D:D,DeparaIMG!F:F,,0)</f>
        <v>BDM269.png</v>
      </c>
    </row>
    <row r="1437" spans="1:9" x14ac:dyDescent="0.25">
      <c r="A1437" s="2" t="s">
        <v>155</v>
      </c>
      <c r="B1437" t="s">
        <v>62</v>
      </c>
      <c r="C1437" t="s">
        <v>173</v>
      </c>
      <c r="D1437" t="s">
        <v>25</v>
      </c>
      <c r="E1437" t="s">
        <v>160</v>
      </c>
      <c r="F1437" t="s">
        <v>100</v>
      </c>
      <c r="G1437">
        <v>3.99</v>
      </c>
      <c r="H1437">
        <v>3.49</v>
      </c>
      <c r="I1437" s="2" t="str">
        <f>_xlfn.XLOOKUP(F1437,DeparaIMG!D:D,DeparaIMG!F:F,,0)</f>
        <v>SPT269.png</v>
      </c>
    </row>
    <row r="1438" spans="1:9" x14ac:dyDescent="0.25">
      <c r="A1438" s="2" t="s">
        <v>155</v>
      </c>
      <c r="B1438" t="s">
        <v>62</v>
      </c>
      <c r="C1438" t="s">
        <v>173</v>
      </c>
      <c r="D1438" t="s">
        <v>25</v>
      </c>
      <c r="E1438" t="s">
        <v>160</v>
      </c>
      <c r="F1438" t="s">
        <v>75</v>
      </c>
      <c r="G1438">
        <v>4.29</v>
      </c>
      <c r="H1438">
        <v>3.49</v>
      </c>
      <c r="I1438" s="2" t="str">
        <f>_xlfn.XLOOKUP(F1438,DeparaIMG!D:D,DeparaIMG!F:F,,0)</f>
        <v>STE269.png</v>
      </c>
    </row>
    <row r="1439" spans="1:9" x14ac:dyDescent="0.25">
      <c r="A1439" s="2" t="s">
        <v>155</v>
      </c>
      <c r="B1439" t="s">
        <v>62</v>
      </c>
      <c r="C1439" t="s">
        <v>173</v>
      </c>
      <c r="D1439" t="s">
        <v>25</v>
      </c>
      <c r="E1439" t="s">
        <v>160</v>
      </c>
      <c r="F1439" t="s">
        <v>77</v>
      </c>
      <c r="G1439">
        <v>4.6900000000000004</v>
      </c>
      <c r="H1439">
        <v>3.99</v>
      </c>
      <c r="I1439" s="2" t="str">
        <f>_xlfn.XLOOKUP(F1439,DeparaIMG!D:D,DeparaIMG!F:F,,0)</f>
        <v>COR269.png</v>
      </c>
    </row>
    <row r="1440" spans="1:9" x14ac:dyDescent="0.25">
      <c r="A1440" s="2" t="s">
        <v>155</v>
      </c>
      <c r="B1440" t="s">
        <v>62</v>
      </c>
      <c r="C1440" t="s">
        <v>173</v>
      </c>
      <c r="D1440" t="s">
        <v>25</v>
      </c>
      <c r="E1440" t="s">
        <v>160</v>
      </c>
      <c r="F1440" t="s">
        <v>71</v>
      </c>
      <c r="G1440">
        <v>3.79</v>
      </c>
      <c r="H1440">
        <v>3.69</v>
      </c>
      <c r="I1440" s="2" t="str">
        <f>_xlfn.XLOOKUP(F1440,DeparaIMG!D:D,DeparaIMG!F:F,,0)</f>
        <v>BC350.png</v>
      </c>
    </row>
    <row r="1441" spans="1:9" x14ac:dyDescent="0.25">
      <c r="A1441" s="2" t="s">
        <v>155</v>
      </c>
      <c r="B1441" t="s">
        <v>62</v>
      </c>
      <c r="C1441" t="s">
        <v>173</v>
      </c>
      <c r="D1441" t="s">
        <v>25</v>
      </c>
      <c r="E1441" t="s">
        <v>160</v>
      </c>
      <c r="F1441" t="s">
        <v>139</v>
      </c>
      <c r="G1441">
        <v>6.49</v>
      </c>
      <c r="H1441">
        <v>5.99</v>
      </c>
      <c r="I1441" s="2" t="str">
        <f>_xlfn.XLOOKUP(F1441,DeparaIMG!D:D,DeparaIMG!F:F,,0)</f>
        <v>SPTLN.png</v>
      </c>
    </row>
    <row r="1442" spans="1:9" x14ac:dyDescent="0.25">
      <c r="A1442" s="2" t="s">
        <v>155</v>
      </c>
      <c r="B1442" t="s">
        <v>62</v>
      </c>
      <c r="C1442" t="s">
        <v>89</v>
      </c>
      <c r="D1442" t="s">
        <v>25</v>
      </c>
      <c r="E1442" t="s">
        <v>160</v>
      </c>
      <c r="F1442" t="s">
        <v>66</v>
      </c>
      <c r="G1442">
        <v>3.39</v>
      </c>
      <c r="H1442">
        <v>3.09</v>
      </c>
      <c r="I1442" s="2" t="str">
        <f>_xlfn.XLOOKUP(F1442,DeparaIMG!D:D,DeparaIMG!F:F,,0)</f>
        <v>SK269.png</v>
      </c>
    </row>
    <row r="1443" spans="1:9" x14ac:dyDescent="0.25">
      <c r="A1443" s="2" t="s">
        <v>155</v>
      </c>
      <c r="B1443" t="s">
        <v>62</v>
      </c>
      <c r="C1443" t="s">
        <v>89</v>
      </c>
      <c r="D1443" t="s">
        <v>25</v>
      </c>
      <c r="E1443" t="s">
        <v>160</v>
      </c>
      <c r="F1443" t="s">
        <v>69</v>
      </c>
      <c r="G1443">
        <v>3.49</v>
      </c>
      <c r="H1443">
        <v>3.09</v>
      </c>
      <c r="I1443" s="2" t="str">
        <f>_xlfn.XLOOKUP(F1443,DeparaIMG!D:D,DeparaIMG!F:F,,0)</f>
        <v>BUD269.png</v>
      </c>
    </row>
    <row r="1444" spans="1:9" x14ac:dyDescent="0.25">
      <c r="A1444" s="2" t="s">
        <v>155</v>
      </c>
      <c r="B1444" t="s">
        <v>62</v>
      </c>
      <c r="C1444" t="s">
        <v>89</v>
      </c>
      <c r="D1444" t="s">
        <v>25</v>
      </c>
      <c r="E1444" t="s">
        <v>160</v>
      </c>
      <c r="F1444" t="s">
        <v>151</v>
      </c>
      <c r="G1444">
        <v>3.49</v>
      </c>
      <c r="H1444">
        <v>2.99</v>
      </c>
      <c r="I1444" s="2" t="str">
        <f>_xlfn.XLOOKUP(F1444,DeparaIMG!D:D,DeparaIMG!F:F,,0)</f>
        <v>BDM269.png</v>
      </c>
    </row>
    <row r="1445" spans="1:9" x14ac:dyDescent="0.25">
      <c r="A1445" s="2" t="s">
        <v>155</v>
      </c>
      <c r="B1445" t="s">
        <v>62</v>
      </c>
      <c r="C1445" t="s">
        <v>89</v>
      </c>
      <c r="D1445" t="s">
        <v>25</v>
      </c>
      <c r="E1445" t="s">
        <v>160</v>
      </c>
      <c r="F1445" t="s">
        <v>100</v>
      </c>
      <c r="G1445">
        <v>3.99</v>
      </c>
      <c r="H1445">
        <v>3.49</v>
      </c>
      <c r="I1445" s="2" t="str">
        <f>_xlfn.XLOOKUP(F1445,DeparaIMG!D:D,DeparaIMG!F:F,,0)</f>
        <v>SPT269.png</v>
      </c>
    </row>
    <row r="1446" spans="1:9" x14ac:dyDescent="0.25">
      <c r="A1446" s="2" t="s">
        <v>155</v>
      </c>
      <c r="B1446" t="s">
        <v>62</v>
      </c>
      <c r="C1446" t="s">
        <v>89</v>
      </c>
      <c r="D1446" t="s">
        <v>25</v>
      </c>
      <c r="E1446" t="s">
        <v>160</v>
      </c>
      <c r="F1446" t="s">
        <v>75</v>
      </c>
      <c r="G1446">
        <v>4.29</v>
      </c>
      <c r="H1446">
        <v>3.49</v>
      </c>
      <c r="I1446" s="2" t="str">
        <f>_xlfn.XLOOKUP(F1446,DeparaIMG!D:D,DeparaIMG!F:F,,0)</f>
        <v>STE269.png</v>
      </c>
    </row>
    <row r="1447" spans="1:9" x14ac:dyDescent="0.25">
      <c r="A1447" s="2" t="s">
        <v>155</v>
      </c>
      <c r="B1447" t="s">
        <v>62</v>
      </c>
      <c r="C1447" t="s">
        <v>89</v>
      </c>
      <c r="D1447" t="s">
        <v>25</v>
      </c>
      <c r="E1447" t="s">
        <v>160</v>
      </c>
      <c r="F1447" t="s">
        <v>77</v>
      </c>
      <c r="G1447">
        <v>4.6900000000000004</v>
      </c>
      <c r="H1447">
        <v>3.99</v>
      </c>
      <c r="I1447" s="2" t="str">
        <f>_xlfn.XLOOKUP(F1447,DeparaIMG!D:D,DeparaIMG!F:F,,0)</f>
        <v>COR269.png</v>
      </c>
    </row>
    <row r="1448" spans="1:9" x14ac:dyDescent="0.25">
      <c r="A1448" s="2" t="s">
        <v>155</v>
      </c>
      <c r="B1448" t="s">
        <v>62</v>
      </c>
      <c r="C1448" t="s">
        <v>89</v>
      </c>
      <c r="D1448" t="s">
        <v>25</v>
      </c>
      <c r="E1448" t="s">
        <v>160</v>
      </c>
      <c r="F1448" t="s">
        <v>71</v>
      </c>
      <c r="G1448">
        <v>3.79</v>
      </c>
      <c r="H1448">
        <v>3.69</v>
      </c>
      <c r="I1448" s="2" t="str">
        <f>_xlfn.XLOOKUP(F1448,DeparaIMG!D:D,DeparaIMG!F:F,,0)</f>
        <v>BC350.png</v>
      </c>
    </row>
    <row r="1449" spans="1:9" x14ac:dyDescent="0.25">
      <c r="A1449" s="2" t="s">
        <v>155</v>
      </c>
      <c r="B1449" t="s">
        <v>62</v>
      </c>
      <c r="C1449" t="s">
        <v>89</v>
      </c>
      <c r="D1449" t="s">
        <v>25</v>
      </c>
      <c r="E1449" t="s">
        <v>160</v>
      </c>
      <c r="F1449" t="s">
        <v>139</v>
      </c>
      <c r="G1449">
        <v>6.49</v>
      </c>
      <c r="H1449">
        <v>5.99</v>
      </c>
      <c r="I1449" s="2" t="str">
        <f>_xlfn.XLOOKUP(F1449,DeparaIMG!D:D,DeparaIMG!F:F,,0)</f>
        <v>SPTLN.png</v>
      </c>
    </row>
    <row r="1450" spans="1:9" x14ac:dyDescent="0.25">
      <c r="A1450" s="2" t="s">
        <v>155</v>
      </c>
      <c r="B1450" s="2" t="s">
        <v>104</v>
      </c>
      <c r="C1450" t="s">
        <v>105</v>
      </c>
      <c r="D1450" t="s">
        <v>25</v>
      </c>
      <c r="E1450" s="2">
        <v>1</v>
      </c>
      <c r="F1450" s="2" t="s">
        <v>106</v>
      </c>
      <c r="G1450">
        <v>6.49</v>
      </c>
      <c r="H1450">
        <v>5.69</v>
      </c>
      <c r="I1450" s="2" t="str">
        <f>_xlfn.XLOOKUP(F1450,DeparaIMG!D:D,DeparaIMG!F:F,,0)</f>
        <v>BEATSLT.png</v>
      </c>
    </row>
    <row r="1451" spans="1:9" x14ac:dyDescent="0.25">
      <c r="A1451" s="2" t="s">
        <v>155</v>
      </c>
      <c r="B1451" s="2" t="s">
        <v>104</v>
      </c>
      <c r="C1451" t="s">
        <v>105</v>
      </c>
      <c r="D1451" t="s">
        <v>26</v>
      </c>
      <c r="E1451" s="2">
        <v>1</v>
      </c>
      <c r="F1451" s="2" t="s">
        <v>106</v>
      </c>
      <c r="G1451">
        <v>6.99</v>
      </c>
      <c r="H1451">
        <v>6.19</v>
      </c>
      <c r="I1451" s="2" t="str">
        <f>_xlfn.XLOOKUP(F1451,DeparaIMG!D:D,DeparaIMG!F:F,,0)</f>
        <v>BEATSLT.png</v>
      </c>
    </row>
    <row r="1452" spans="1:9" x14ac:dyDescent="0.25">
      <c r="A1452" s="2" t="s">
        <v>155</v>
      </c>
      <c r="B1452" s="2" t="s">
        <v>104</v>
      </c>
      <c r="C1452" t="s">
        <v>105</v>
      </c>
      <c r="D1452" t="s">
        <v>25</v>
      </c>
      <c r="E1452" s="2">
        <v>1</v>
      </c>
      <c r="F1452" s="2" t="s">
        <v>107</v>
      </c>
      <c r="G1452">
        <v>7.89</v>
      </c>
      <c r="H1452">
        <v>7.09</v>
      </c>
      <c r="I1452" s="2" t="str">
        <f>_xlfn.XLOOKUP(F1452,DeparaIMG!D:D,DeparaIMG!F:F,,0)</f>
        <v>BEATSLN.png</v>
      </c>
    </row>
    <row r="1453" spans="1:9" x14ac:dyDescent="0.25">
      <c r="A1453" s="2" t="s">
        <v>155</v>
      </c>
      <c r="B1453" s="2" t="s">
        <v>104</v>
      </c>
      <c r="C1453" t="s">
        <v>105</v>
      </c>
      <c r="D1453" t="s">
        <v>26</v>
      </c>
      <c r="E1453" s="2">
        <v>1</v>
      </c>
      <c r="F1453" s="2" t="s">
        <v>107</v>
      </c>
      <c r="G1453">
        <v>8.39</v>
      </c>
      <c r="H1453">
        <v>7.5900000000000007</v>
      </c>
      <c r="I1453" s="2" t="str">
        <f>_xlfn.XLOOKUP(F1453,DeparaIMG!D:D,DeparaIMG!F:F,,0)</f>
        <v>BEATSLN.png</v>
      </c>
    </row>
    <row r="1454" spans="1:9" x14ac:dyDescent="0.25">
      <c r="A1454" s="2" t="s">
        <v>155</v>
      </c>
      <c r="B1454" s="2" t="s">
        <v>104</v>
      </c>
      <c r="C1454" t="s">
        <v>105</v>
      </c>
      <c r="D1454" t="s">
        <v>25</v>
      </c>
      <c r="E1454" s="2">
        <v>2</v>
      </c>
      <c r="F1454" s="2" t="s">
        <v>106</v>
      </c>
      <c r="G1454" t="s">
        <v>158</v>
      </c>
      <c r="H1454" t="s">
        <v>159</v>
      </c>
      <c r="I1454" s="2" t="str">
        <f>_xlfn.XLOOKUP(F1454,DeparaIMG!D:D,DeparaIMG!F:F,,0)</f>
        <v>BEATSLT.png</v>
      </c>
    </row>
    <row r="1455" spans="1:9" x14ac:dyDescent="0.25">
      <c r="A1455" s="2" t="s">
        <v>155</v>
      </c>
      <c r="B1455" s="2" t="s">
        <v>104</v>
      </c>
      <c r="C1455" t="s">
        <v>105</v>
      </c>
      <c r="D1455" t="s">
        <v>26</v>
      </c>
      <c r="E1455" s="2">
        <v>2</v>
      </c>
      <c r="F1455" s="2" t="s">
        <v>106</v>
      </c>
      <c r="G1455" t="s">
        <v>158</v>
      </c>
      <c r="H1455" t="s">
        <v>159</v>
      </c>
      <c r="I1455" s="2" t="str">
        <f>_xlfn.XLOOKUP(F1455,DeparaIMG!D:D,DeparaIMG!F:F,,0)</f>
        <v>BEATSLT.png</v>
      </c>
    </row>
    <row r="1456" spans="1:9" x14ac:dyDescent="0.25">
      <c r="A1456" s="2" t="s">
        <v>155</v>
      </c>
      <c r="B1456" s="2" t="s">
        <v>104</v>
      </c>
      <c r="C1456" t="s">
        <v>105</v>
      </c>
      <c r="D1456" t="s">
        <v>25</v>
      </c>
      <c r="E1456" s="2">
        <v>2</v>
      </c>
      <c r="F1456" s="2" t="s">
        <v>107</v>
      </c>
      <c r="G1456" t="s">
        <v>158</v>
      </c>
      <c r="H1456" t="s">
        <v>159</v>
      </c>
      <c r="I1456" s="2" t="str">
        <f>_xlfn.XLOOKUP(F1456,DeparaIMG!D:D,DeparaIMG!F:F,,0)</f>
        <v>BEATSLN.png</v>
      </c>
    </row>
    <row r="1457" spans="1:9" x14ac:dyDescent="0.25">
      <c r="A1457" s="2" t="s">
        <v>155</v>
      </c>
      <c r="B1457" s="2" t="s">
        <v>104</v>
      </c>
      <c r="C1457" t="s">
        <v>105</v>
      </c>
      <c r="D1457" t="s">
        <v>26</v>
      </c>
      <c r="E1457" s="2">
        <v>2</v>
      </c>
      <c r="F1457" s="2" t="s">
        <v>107</v>
      </c>
      <c r="G1457" t="s">
        <v>158</v>
      </c>
      <c r="H1457" t="s">
        <v>159</v>
      </c>
      <c r="I1457" s="2" t="str">
        <f>_xlfn.XLOOKUP(F1457,DeparaIMG!D:D,DeparaIMG!F:F,,0)</f>
        <v>BEATSLN.png</v>
      </c>
    </row>
    <row r="1458" spans="1:9" x14ac:dyDescent="0.25">
      <c r="A1458" s="2" t="s">
        <v>155</v>
      </c>
      <c r="B1458" s="2" t="s">
        <v>104</v>
      </c>
      <c r="C1458" t="s">
        <v>105</v>
      </c>
      <c r="D1458" t="s">
        <v>25</v>
      </c>
      <c r="E1458" s="2">
        <v>1</v>
      </c>
      <c r="F1458" s="2" t="s">
        <v>108</v>
      </c>
      <c r="G1458">
        <v>5.19</v>
      </c>
      <c r="H1458">
        <v>4.8900000000000006</v>
      </c>
      <c r="I1458" s="2" t="str">
        <f>_xlfn.XLOOKUP(F1458,DeparaIMG!D:D,DeparaIMG!F:F,,0)</f>
        <v>FF350.png</v>
      </c>
    </row>
    <row r="1459" spans="1:9" x14ac:dyDescent="0.25">
      <c r="A1459" s="2" t="s">
        <v>155</v>
      </c>
      <c r="B1459" s="2" t="s">
        <v>104</v>
      </c>
      <c r="C1459" t="s">
        <v>105</v>
      </c>
      <c r="D1459" t="s">
        <v>25</v>
      </c>
      <c r="E1459" s="2">
        <v>1</v>
      </c>
      <c r="F1459" s="2" t="s">
        <v>109</v>
      </c>
      <c r="G1459">
        <v>6.29</v>
      </c>
      <c r="H1459">
        <v>5.99</v>
      </c>
      <c r="I1459" s="2" t="str">
        <f>_xlfn.XLOOKUP(F1459,DeparaIMG!D:D,DeparaIMG!F:F,,0)</f>
        <v>FFLN.png</v>
      </c>
    </row>
    <row r="1460" spans="1:9" x14ac:dyDescent="0.25">
      <c r="A1460" s="2" t="s">
        <v>155</v>
      </c>
      <c r="B1460" s="2" t="s">
        <v>104</v>
      </c>
      <c r="C1460" t="s">
        <v>105</v>
      </c>
      <c r="D1460" t="s">
        <v>26</v>
      </c>
      <c r="E1460" s="2">
        <v>1</v>
      </c>
      <c r="F1460" s="2" t="s">
        <v>108</v>
      </c>
      <c r="G1460">
        <v>5.19</v>
      </c>
      <c r="H1460">
        <v>4.8900000000000006</v>
      </c>
      <c r="I1460" s="2" t="str">
        <f>_xlfn.XLOOKUP(F1460,DeparaIMG!D:D,DeparaIMG!F:F,,0)</f>
        <v>FF350.png</v>
      </c>
    </row>
    <row r="1461" spans="1:9" x14ac:dyDescent="0.25">
      <c r="A1461" s="2" t="s">
        <v>155</v>
      </c>
      <c r="B1461" s="2" t="s">
        <v>104</v>
      </c>
      <c r="C1461" t="s">
        <v>105</v>
      </c>
      <c r="D1461" t="s">
        <v>26</v>
      </c>
      <c r="E1461" s="2">
        <v>1</v>
      </c>
      <c r="F1461" s="2" t="s">
        <v>109</v>
      </c>
      <c r="G1461">
        <v>6.29</v>
      </c>
      <c r="H1461">
        <v>5.99</v>
      </c>
      <c r="I1461" s="2" t="str">
        <f>_xlfn.XLOOKUP(F1461,DeparaIMG!D:D,DeparaIMG!F:F,,0)</f>
        <v>FFLN.png</v>
      </c>
    </row>
    <row r="1462" spans="1:9" x14ac:dyDescent="0.25">
      <c r="A1462" s="2" t="s">
        <v>155</v>
      </c>
      <c r="B1462" s="2" t="s">
        <v>104</v>
      </c>
      <c r="C1462" t="s">
        <v>105</v>
      </c>
      <c r="D1462" t="s">
        <v>25</v>
      </c>
      <c r="E1462" s="2">
        <v>2</v>
      </c>
      <c r="F1462" s="2" t="s">
        <v>108</v>
      </c>
      <c r="G1462">
        <v>5.19</v>
      </c>
      <c r="H1462">
        <v>4.8900000000000006</v>
      </c>
      <c r="I1462" s="2" t="str">
        <f>_xlfn.XLOOKUP(F1462,DeparaIMG!D:D,DeparaIMG!F:F,,0)</f>
        <v>FF350.png</v>
      </c>
    </row>
    <row r="1463" spans="1:9" x14ac:dyDescent="0.25">
      <c r="A1463" s="2" t="s">
        <v>155</v>
      </c>
      <c r="B1463" s="2" t="s">
        <v>104</v>
      </c>
      <c r="C1463" t="s">
        <v>105</v>
      </c>
      <c r="D1463" t="s">
        <v>25</v>
      </c>
      <c r="E1463" s="2">
        <v>2</v>
      </c>
      <c r="F1463" s="2" t="s">
        <v>109</v>
      </c>
      <c r="G1463">
        <v>6.29</v>
      </c>
      <c r="H1463">
        <v>5.99</v>
      </c>
      <c r="I1463" s="2" t="str">
        <f>_xlfn.XLOOKUP(F1463,DeparaIMG!D:D,DeparaIMG!F:F,,0)</f>
        <v>FFLN.png</v>
      </c>
    </row>
    <row r="1464" spans="1:9" x14ac:dyDescent="0.25">
      <c r="A1464" s="2" t="s">
        <v>155</v>
      </c>
      <c r="B1464" s="2" t="s">
        <v>104</v>
      </c>
      <c r="C1464" t="s">
        <v>105</v>
      </c>
      <c r="D1464" t="s">
        <v>26</v>
      </c>
      <c r="E1464" s="2">
        <v>2</v>
      </c>
      <c r="F1464" s="2" t="s">
        <v>108</v>
      </c>
      <c r="G1464">
        <v>5.19</v>
      </c>
      <c r="H1464">
        <v>4.8900000000000006</v>
      </c>
      <c r="I1464" s="2" t="str">
        <f>_xlfn.XLOOKUP(F1464,DeparaIMG!D:D,DeparaIMG!F:F,,0)</f>
        <v>FF350.png</v>
      </c>
    </row>
    <row r="1465" spans="1:9" x14ac:dyDescent="0.25">
      <c r="A1465" s="2" t="s">
        <v>155</v>
      </c>
      <c r="B1465" s="2" t="s">
        <v>104</v>
      </c>
      <c r="C1465" t="s">
        <v>105</v>
      </c>
      <c r="D1465" t="s">
        <v>26</v>
      </c>
      <c r="E1465" s="2">
        <v>2</v>
      </c>
      <c r="F1465" s="2" t="s">
        <v>109</v>
      </c>
      <c r="G1465">
        <v>6.29</v>
      </c>
      <c r="H1465">
        <v>5.99</v>
      </c>
      <c r="I1465" s="2" t="str">
        <f>_xlfn.XLOOKUP(F1465,DeparaIMG!D:D,DeparaIMG!F:F,,0)</f>
        <v>FFLN.png</v>
      </c>
    </row>
    <row r="1466" spans="1:9" x14ac:dyDescent="0.25">
      <c r="A1466" s="2" t="s">
        <v>155</v>
      </c>
      <c r="B1466" s="2" t="s">
        <v>62</v>
      </c>
      <c r="C1466" t="s">
        <v>113</v>
      </c>
      <c r="D1466" t="s">
        <v>25</v>
      </c>
      <c r="E1466" t="s">
        <v>161</v>
      </c>
      <c r="F1466" t="s">
        <v>66</v>
      </c>
      <c r="G1466">
        <v>3.39</v>
      </c>
      <c r="H1466">
        <v>3.09</v>
      </c>
      <c r="I1466" s="2" t="str">
        <f>_xlfn.XLOOKUP(F1466,DeparaIMG!D:D,DeparaIMG!F:F,,0)</f>
        <v>SK269.png</v>
      </c>
    </row>
    <row r="1467" spans="1:9" x14ac:dyDescent="0.25">
      <c r="A1467" s="2" t="s">
        <v>155</v>
      </c>
      <c r="B1467" t="s">
        <v>62</v>
      </c>
      <c r="C1467" t="s">
        <v>113</v>
      </c>
      <c r="D1467" t="s">
        <v>25</v>
      </c>
      <c r="E1467" t="s">
        <v>161</v>
      </c>
      <c r="F1467" t="s">
        <v>151</v>
      </c>
      <c r="G1467">
        <v>3.49</v>
      </c>
      <c r="H1467">
        <v>2.5900000000000003</v>
      </c>
      <c r="I1467" s="2" t="str">
        <f>_xlfn.XLOOKUP(F1467,DeparaIMG!D:D,DeparaIMG!F:F,,0)</f>
        <v>BDM269.png</v>
      </c>
    </row>
    <row r="1468" spans="1:9" x14ac:dyDescent="0.25">
      <c r="A1468" s="2" t="s">
        <v>155</v>
      </c>
      <c r="B1468" t="s">
        <v>62</v>
      </c>
      <c r="C1468" t="s">
        <v>113</v>
      </c>
      <c r="D1468" t="s">
        <v>25</v>
      </c>
      <c r="E1468" t="s">
        <v>161</v>
      </c>
      <c r="F1468" t="s">
        <v>100</v>
      </c>
      <c r="G1468">
        <v>3.99</v>
      </c>
      <c r="H1468">
        <v>3.49</v>
      </c>
      <c r="I1468" s="2" t="str">
        <f>_xlfn.XLOOKUP(F1468,DeparaIMG!D:D,DeparaIMG!F:F,,0)</f>
        <v>SPT269.png</v>
      </c>
    </row>
    <row r="1469" spans="1:9" x14ac:dyDescent="0.25">
      <c r="A1469" s="2" t="s">
        <v>155</v>
      </c>
      <c r="B1469" t="s">
        <v>62</v>
      </c>
      <c r="C1469" t="s">
        <v>113</v>
      </c>
      <c r="D1469" t="s">
        <v>25</v>
      </c>
      <c r="E1469" t="s">
        <v>161</v>
      </c>
      <c r="F1469" t="s">
        <v>75</v>
      </c>
      <c r="G1469">
        <v>4.29</v>
      </c>
      <c r="H1469">
        <v>3.49</v>
      </c>
      <c r="I1469" s="2" t="str">
        <f>_xlfn.XLOOKUP(F1469,DeparaIMG!D:D,DeparaIMG!F:F,,0)</f>
        <v>STE269.png</v>
      </c>
    </row>
    <row r="1470" spans="1:9" x14ac:dyDescent="0.25">
      <c r="A1470" s="2" t="s">
        <v>155</v>
      </c>
      <c r="B1470" t="s">
        <v>62</v>
      </c>
      <c r="C1470" t="s">
        <v>113</v>
      </c>
      <c r="D1470" t="s">
        <v>25</v>
      </c>
      <c r="E1470" t="s">
        <v>161</v>
      </c>
      <c r="F1470" t="s">
        <v>77</v>
      </c>
      <c r="G1470">
        <v>4.79</v>
      </c>
      <c r="H1470">
        <v>4.09</v>
      </c>
      <c r="I1470" s="2" t="str">
        <f>_xlfn.XLOOKUP(F1470,DeparaIMG!D:D,DeparaIMG!F:F,,0)</f>
        <v>COR269.png</v>
      </c>
    </row>
    <row r="1471" spans="1:9" x14ac:dyDescent="0.25">
      <c r="A1471" s="2" t="s">
        <v>155</v>
      </c>
      <c r="B1471" t="s">
        <v>62</v>
      </c>
      <c r="C1471" t="s">
        <v>113</v>
      </c>
      <c r="D1471" t="s">
        <v>25</v>
      </c>
      <c r="E1471" t="s">
        <v>161</v>
      </c>
      <c r="F1471" t="s">
        <v>71</v>
      </c>
      <c r="G1471">
        <v>3.79</v>
      </c>
      <c r="H1471">
        <v>3.39</v>
      </c>
      <c r="I1471" s="2" t="str">
        <f>_xlfn.XLOOKUP(F1471,DeparaIMG!D:D,DeparaIMG!F:F,,0)</f>
        <v>BC350.png</v>
      </c>
    </row>
    <row r="1472" spans="1:9" x14ac:dyDescent="0.25">
      <c r="A1472" s="2" t="s">
        <v>155</v>
      </c>
      <c r="B1472" t="s">
        <v>62</v>
      </c>
      <c r="C1472" t="s">
        <v>113</v>
      </c>
      <c r="D1472" t="s">
        <v>25</v>
      </c>
      <c r="E1472" t="s">
        <v>161</v>
      </c>
      <c r="F1472" t="s">
        <v>139</v>
      </c>
      <c r="G1472">
        <v>6.59</v>
      </c>
      <c r="H1472">
        <v>6.09</v>
      </c>
      <c r="I1472" s="2" t="str">
        <f>_xlfn.XLOOKUP(F1472,DeparaIMG!D:D,DeparaIMG!F:F,,0)</f>
        <v>SPTLN.png</v>
      </c>
    </row>
    <row r="1473" spans="1:9" x14ac:dyDescent="0.25">
      <c r="A1473" s="2" t="s">
        <v>155</v>
      </c>
      <c r="B1473" t="s">
        <v>62</v>
      </c>
      <c r="C1473" t="s">
        <v>88</v>
      </c>
      <c r="D1473" t="s">
        <v>25</v>
      </c>
      <c r="E1473" t="s">
        <v>161</v>
      </c>
      <c r="F1473" t="s">
        <v>66</v>
      </c>
      <c r="G1473">
        <v>3.19</v>
      </c>
      <c r="H1473">
        <v>2.99</v>
      </c>
      <c r="I1473" s="2" t="str">
        <f>_xlfn.XLOOKUP(F1473,DeparaIMG!D:D,DeparaIMG!F:F,,0)</f>
        <v>SK269.png</v>
      </c>
    </row>
    <row r="1474" spans="1:9" x14ac:dyDescent="0.25">
      <c r="A1474" s="2" t="s">
        <v>155</v>
      </c>
      <c r="B1474" t="s">
        <v>62</v>
      </c>
      <c r="C1474" t="s">
        <v>88</v>
      </c>
      <c r="D1474" t="s">
        <v>25</v>
      </c>
      <c r="E1474" t="s">
        <v>161</v>
      </c>
      <c r="F1474" t="s">
        <v>69</v>
      </c>
      <c r="G1474">
        <v>3.6900000000000004</v>
      </c>
      <c r="H1474">
        <v>3.1900000000000004</v>
      </c>
      <c r="I1474" s="2" t="str">
        <f>_xlfn.XLOOKUP(F1474,DeparaIMG!D:D,DeparaIMG!F:F,,0)</f>
        <v>BUD269.png</v>
      </c>
    </row>
    <row r="1475" spans="1:9" x14ac:dyDescent="0.25">
      <c r="A1475" s="2" t="s">
        <v>155</v>
      </c>
      <c r="B1475" t="s">
        <v>62</v>
      </c>
      <c r="C1475" t="s">
        <v>88</v>
      </c>
      <c r="D1475" t="s">
        <v>25</v>
      </c>
      <c r="E1475" t="s">
        <v>161</v>
      </c>
      <c r="F1475" t="s">
        <v>151</v>
      </c>
      <c r="G1475">
        <v>3.69</v>
      </c>
      <c r="H1475">
        <v>3.19</v>
      </c>
      <c r="I1475" s="2" t="str">
        <f>_xlfn.XLOOKUP(F1475,DeparaIMG!D:D,DeparaIMG!F:F,,0)</f>
        <v>BDM269.png</v>
      </c>
    </row>
    <row r="1476" spans="1:9" x14ac:dyDescent="0.25">
      <c r="A1476" s="2" t="s">
        <v>155</v>
      </c>
      <c r="B1476" t="s">
        <v>62</v>
      </c>
      <c r="C1476" t="s">
        <v>88</v>
      </c>
      <c r="D1476" t="s">
        <v>25</v>
      </c>
      <c r="E1476" t="s">
        <v>161</v>
      </c>
      <c r="F1476" t="s">
        <v>100</v>
      </c>
      <c r="G1476">
        <v>3.99</v>
      </c>
      <c r="H1476">
        <v>3.49</v>
      </c>
      <c r="I1476" s="2" t="str">
        <f>_xlfn.XLOOKUP(F1476,DeparaIMG!D:D,DeparaIMG!F:F,,0)</f>
        <v>SPT269.png</v>
      </c>
    </row>
    <row r="1477" spans="1:9" x14ac:dyDescent="0.25">
      <c r="A1477" s="2" t="s">
        <v>155</v>
      </c>
      <c r="B1477" t="s">
        <v>62</v>
      </c>
      <c r="C1477" t="s">
        <v>88</v>
      </c>
      <c r="D1477" t="s">
        <v>25</v>
      </c>
      <c r="E1477" t="s">
        <v>161</v>
      </c>
      <c r="F1477" t="s">
        <v>75</v>
      </c>
      <c r="G1477">
        <v>4.29</v>
      </c>
      <c r="H1477">
        <v>3.49</v>
      </c>
      <c r="I1477" s="2" t="str">
        <f>_xlfn.XLOOKUP(F1477,DeparaIMG!D:D,DeparaIMG!F:F,,0)</f>
        <v>STE269.png</v>
      </c>
    </row>
    <row r="1478" spans="1:9" x14ac:dyDescent="0.25">
      <c r="A1478" s="2" t="s">
        <v>155</v>
      </c>
      <c r="B1478" t="s">
        <v>62</v>
      </c>
      <c r="C1478" t="s">
        <v>88</v>
      </c>
      <c r="D1478" t="s">
        <v>25</v>
      </c>
      <c r="E1478" t="s">
        <v>161</v>
      </c>
      <c r="F1478" t="s">
        <v>77</v>
      </c>
      <c r="G1478">
        <v>4.79</v>
      </c>
      <c r="H1478">
        <v>4.09</v>
      </c>
      <c r="I1478" s="2" t="str">
        <f>_xlfn.XLOOKUP(F1478,DeparaIMG!D:D,DeparaIMG!F:F,,0)</f>
        <v>COR269.png</v>
      </c>
    </row>
    <row r="1479" spans="1:9" x14ac:dyDescent="0.25">
      <c r="A1479" s="2" t="s">
        <v>155</v>
      </c>
      <c r="B1479" t="s">
        <v>62</v>
      </c>
      <c r="C1479" t="s">
        <v>88</v>
      </c>
      <c r="D1479" t="s">
        <v>25</v>
      </c>
      <c r="E1479" t="s">
        <v>161</v>
      </c>
      <c r="F1479" t="s">
        <v>71</v>
      </c>
      <c r="G1479">
        <v>3.99</v>
      </c>
      <c r="H1479">
        <v>3.69</v>
      </c>
      <c r="I1479" s="2" t="str">
        <f>_xlfn.XLOOKUP(F1479,DeparaIMG!D:D,DeparaIMG!F:F,,0)</f>
        <v>BC350.png</v>
      </c>
    </row>
    <row r="1480" spans="1:9" x14ac:dyDescent="0.25">
      <c r="A1480" s="2" t="s">
        <v>155</v>
      </c>
      <c r="B1480" t="s">
        <v>62</v>
      </c>
      <c r="C1480" t="s">
        <v>88</v>
      </c>
      <c r="D1480" t="s">
        <v>25</v>
      </c>
      <c r="E1480" t="s">
        <v>161</v>
      </c>
      <c r="F1480" t="s">
        <v>139</v>
      </c>
      <c r="G1480">
        <v>6.59</v>
      </c>
      <c r="H1480">
        <v>6.09</v>
      </c>
      <c r="I1480" s="2" t="str">
        <f>_xlfn.XLOOKUP(F1480,DeparaIMG!D:D,DeparaIMG!F:F,,0)</f>
        <v>SPTLN.png</v>
      </c>
    </row>
    <row r="1481" spans="1:9" x14ac:dyDescent="0.25">
      <c r="A1481" s="2" t="s">
        <v>155</v>
      </c>
      <c r="B1481" t="s">
        <v>62</v>
      </c>
      <c r="C1481" t="s">
        <v>29</v>
      </c>
      <c r="D1481" t="s">
        <v>25</v>
      </c>
      <c r="E1481" t="s">
        <v>161</v>
      </c>
      <c r="F1481" t="s">
        <v>66</v>
      </c>
      <c r="G1481">
        <v>3.19</v>
      </c>
      <c r="H1481">
        <v>2.99</v>
      </c>
      <c r="I1481" s="2" t="str">
        <f>_xlfn.XLOOKUP(F1481,DeparaIMG!D:D,DeparaIMG!F:F,,0)</f>
        <v>SK269.png</v>
      </c>
    </row>
    <row r="1482" spans="1:9" x14ac:dyDescent="0.25">
      <c r="A1482" s="2" t="s">
        <v>155</v>
      </c>
      <c r="B1482" t="s">
        <v>62</v>
      </c>
      <c r="C1482" t="s">
        <v>29</v>
      </c>
      <c r="D1482" t="s">
        <v>25</v>
      </c>
      <c r="E1482" t="s">
        <v>161</v>
      </c>
      <c r="F1482" t="s">
        <v>151</v>
      </c>
      <c r="G1482">
        <v>3.5900000000000003</v>
      </c>
      <c r="H1482">
        <v>3.0900000000000003</v>
      </c>
      <c r="I1482" s="2" t="str">
        <f>_xlfn.XLOOKUP(F1482,DeparaIMG!D:D,DeparaIMG!F:F,,0)</f>
        <v>BDM269.png</v>
      </c>
    </row>
    <row r="1483" spans="1:9" x14ac:dyDescent="0.25">
      <c r="A1483" s="2" t="s">
        <v>155</v>
      </c>
      <c r="B1483" t="s">
        <v>62</v>
      </c>
      <c r="C1483" t="s">
        <v>29</v>
      </c>
      <c r="D1483" t="s">
        <v>25</v>
      </c>
      <c r="E1483" t="s">
        <v>161</v>
      </c>
      <c r="F1483" t="s">
        <v>100</v>
      </c>
      <c r="G1483">
        <v>3.99</v>
      </c>
      <c r="H1483">
        <v>3.49</v>
      </c>
      <c r="I1483" s="2" t="str">
        <f>_xlfn.XLOOKUP(F1483,DeparaIMG!D:D,DeparaIMG!F:F,,0)</f>
        <v>SPT269.png</v>
      </c>
    </row>
    <row r="1484" spans="1:9" x14ac:dyDescent="0.25">
      <c r="A1484" s="2" t="s">
        <v>155</v>
      </c>
      <c r="B1484" t="s">
        <v>62</v>
      </c>
      <c r="C1484" t="s">
        <v>29</v>
      </c>
      <c r="D1484" t="s">
        <v>25</v>
      </c>
      <c r="E1484" t="s">
        <v>161</v>
      </c>
      <c r="F1484" t="s">
        <v>75</v>
      </c>
      <c r="G1484">
        <v>4.29</v>
      </c>
      <c r="H1484">
        <v>3.49</v>
      </c>
      <c r="I1484" s="2" t="str">
        <f>_xlfn.XLOOKUP(F1484,DeparaIMG!D:D,DeparaIMG!F:F,,0)</f>
        <v>STE269.png</v>
      </c>
    </row>
    <row r="1485" spans="1:9" x14ac:dyDescent="0.25">
      <c r="A1485" s="2" t="s">
        <v>155</v>
      </c>
      <c r="B1485" t="s">
        <v>62</v>
      </c>
      <c r="C1485" t="s">
        <v>29</v>
      </c>
      <c r="D1485" t="s">
        <v>25</v>
      </c>
      <c r="E1485" t="s">
        <v>161</v>
      </c>
      <c r="F1485" t="s">
        <v>77</v>
      </c>
      <c r="G1485">
        <v>4.79</v>
      </c>
      <c r="H1485">
        <v>4.09</v>
      </c>
      <c r="I1485" s="2" t="str">
        <f>_xlfn.XLOOKUP(F1485,DeparaIMG!D:D,DeparaIMG!F:F,,0)</f>
        <v>COR269.png</v>
      </c>
    </row>
    <row r="1486" spans="1:9" x14ac:dyDescent="0.25">
      <c r="A1486" s="2" t="s">
        <v>155</v>
      </c>
      <c r="B1486" t="s">
        <v>62</v>
      </c>
      <c r="C1486" t="s">
        <v>29</v>
      </c>
      <c r="D1486" t="s">
        <v>25</v>
      </c>
      <c r="E1486" t="s">
        <v>161</v>
      </c>
      <c r="F1486" t="s">
        <v>71</v>
      </c>
      <c r="G1486">
        <v>3.89</v>
      </c>
      <c r="H1486">
        <v>3.59</v>
      </c>
      <c r="I1486" s="2" t="str">
        <f>_xlfn.XLOOKUP(F1486,DeparaIMG!D:D,DeparaIMG!F:F,,0)</f>
        <v>BC350.png</v>
      </c>
    </row>
    <row r="1487" spans="1:9" x14ac:dyDescent="0.25">
      <c r="A1487" s="2" t="s">
        <v>155</v>
      </c>
      <c r="B1487" t="s">
        <v>62</v>
      </c>
      <c r="C1487" t="s">
        <v>29</v>
      </c>
      <c r="D1487" t="s">
        <v>26</v>
      </c>
      <c r="E1487" t="s">
        <v>161</v>
      </c>
      <c r="F1487" t="s">
        <v>76</v>
      </c>
      <c r="G1487">
        <v>4.59</v>
      </c>
      <c r="H1487">
        <v>3.99</v>
      </c>
      <c r="I1487" s="2" t="str">
        <f>_xlfn.XLOOKUP(F1487,DeparaIMG!D:D,DeparaIMG!F:F,,0)</f>
        <v>BUD350.png</v>
      </c>
    </row>
    <row r="1488" spans="1:9" x14ac:dyDescent="0.25">
      <c r="A1488" s="2" t="s">
        <v>155</v>
      </c>
      <c r="B1488" t="s">
        <v>62</v>
      </c>
      <c r="C1488" t="s">
        <v>29</v>
      </c>
      <c r="D1488" t="s">
        <v>25</v>
      </c>
      <c r="E1488" t="s">
        <v>161</v>
      </c>
      <c r="F1488" t="s">
        <v>139</v>
      </c>
      <c r="G1488">
        <v>6.59</v>
      </c>
      <c r="H1488">
        <v>6.09</v>
      </c>
      <c r="I1488" s="2" t="str">
        <f>_xlfn.XLOOKUP(F1488,DeparaIMG!D:D,DeparaIMG!F:F,,0)</f>
        <v>SPTLN.png</v>
      </c>
    </row>
    <row r="1489" spans="1:9" x14ac:dyDescent="0.25">
      <c r="A1489" s="2" t="s">
        <v>155</v>
      </c>
      <c r="B1489" t="s">
        <v>62</v>
      </c>
      <c r="C1489" t="s">
        <v>112</v>
      </c>
      <c r="D1489" t="s">
        <v>25</v>
      </c>
      <c r="E1489" t="s">
        <v>161</v>
      </c>
      <c r="F1489" t="s">
        <v>66</v>
      </c>
      <c r="G1489">
        <v>3.19</v>
      </c>
      <c r="H1489">
        <v>2.99</v>
      </c>
      <c r="I1489" s="2" t="str">
        <f>_xlfn.XLOOKUP(F1489,DeparaIMG!D:D,DeparaIMG!F:F,,0)</f>
        <v>SK269.png</v>
      </c>
    </row>
    <row r="1490" spans="1:9" x14ac:dyDescent="0.25">
      <c r="A1490" s="2" t="s">
        <v>155</v>
      </c>
      <c r="B1490" t="s">
        <v>62</v>
      </c>
      <c r="C1490" t="s">
        <v>112</v>
      </c>
      <c r="D1490" t="s">
        <v>25</v>
      </c>
      <c r="E1490" t="s">
        <v>161</v>
      </c>
      <c r="F1490" t="s">
        <v>151</v>
      </c>
      <c r="G1490">
        <v>3.5900000000000003</v>
      </c>
      <c r="H1490">
        <v>3.0900000000000003</v>
      </c>
      <c r="I1490" s="2" t="str">
        <f>_xlfn.XLOOKUP(F1490,DeparaIMG!D:D,DeparaIMG!F:F,,0)</f>
        <v>BDM269.png</v>
      </c>
    </row>
    <row r="1491" spans="1:9" x14ac:dyDescent="0.25">
      <c r="A1491" s="2" t="s">
        <v>155</v>
      </c>
      <c r="B1491" t="s">
        <v>62</v>
      </c>
      <c r="C1491" t="s">
        <v>112</v>
      </c>
      <c r="D1491" t="s">
        <v>25</v>
      </c>
      <c r="E1491" t="s">
        <v>161</v>
      </c>
      <c r="F1491" t="s">
        <v>100</v>
      </c>
      <c r="G1491">
        <v>3.99</v>
      </c>
      <c r="H1491">
        <v>3.49</v>
      </c>
      <c r="I1491" s="2" t="str">
        <f>_xlfn.XLOOKUP(F1491,DeparaIMG!D:D,DeparaIMG!F:F,,0)</f>
        <v>SPT269.png</v>
      </c>
    </row>
    <row r="1492" spans="1:9" x14ac:dyDescent="0.25">
      <c r="A1492" s="2" t="s">
        <v>155</v>
      </c>
      <c r="B1492" t="s">
        <v>62</v>
      </c>
      <c r="C1492" t="s">
        <v>112</v>
      </c>
      <c r="D1492" t="s">
        <v>25</v>
      </c>
      <c r="E1492" t="s">
        <v>161</v>
      </c>
      <c r="F1492" t="s">
        <v>75</v>
      </c>
      <c r="G1492">
        <v>4.29</v>
      </c>
      <c r="H1492">
        <v>3.49</v>
      </c>
      <c r="I1492" s="2" t="str">
        <f>_xlfn.XLOOKUP(F1492,DeparaIMG!D:D,DeparaIMG!F:F,,0)</f>
        <v>STE269.png</v>
      </c>
    </row>
    <row r="1493" spans="1:9" x14ac:dyDescent="0.25">
      <c r="A1493" s="2" t="s">
        <v>155</v>
      </c>
      <c r="B1493" t="s">
        <v>62</v>
      </c>
      <c r="C1493" t="s">
        <v>112</v>
      </c>
      <c r="D1493" t="s">
        <v>25</v>
      </c>
      <c r="E1493" t="s">
        <v>161</v>
      </c>
      <c r="F1493" t="s">
        <v>77</v>
      </c>
      <c r="G1493">
        <v>4.6900000000000004</v>
      </c>
      <c r="H1493">
        <v>4.09</v>
      </c>
      <c r="I1493" s="2" t="str">
        <f>_xlfn.XLOOKUP(F1493,DeparaIMG!D:D,DeparaIMG!F:F,,0)</f>
        <v>COR269.png</v>
      </c>
    </row>
    <row r="1494" spans="1:9" x14ac:dyDescent="0.25">
      <c r="A1494" s="2" t="s">
        <v>155</v>
      </c>
      <c r="B1494" t="s">
        <v>62</v>
      </c>
      <c r="C1494" t="s">
        <v>112</v>
      </c>
      <c r="D1494" t="s">
        <v>25</v>
      </c>
      <c r="E1494" t="s">
        <v>161</v>
      </c>
      <c r="F1494" t="s">
        <v>71</v>
      </c>
      <c r="G1494">
        <v>3.89</v>
      </c>
      <c r="H1494">
        <v>3.59</v>
      </c>
      <c r="I1494" s="2" t="str">
        <f>_xlfn.XLOOKUP(F1494,DeparaIMG!D:D,DeparaIMG!F:F,,0)</f>
        <v>BC350.png</v>
      </c>
    </row>
    <row r="1495" spans="1:9" x14ac:dyDescent="0.25">
      <c r="A1495" s="2" t="s">
        <v>155</v>
      </c>
      <c r="B1495" t="s">
        <v>62</v>
      </c>
      <c r="C1495" t="s">
        <v>112</v>
      </c>
      <c r="D1495" t="s">
        <v>26</v>
      </c>
      <c r="E1495" t="s">
        <v>161</v>
      </c>
      <c r="F1495" t="s">
        <v>101</v>
      </c>
      <c r="G1495">
        <v>5.29</v>
      </c>
      <c r="H1495">
        <v>4.79</v>
      </c>
      <c r="I1495" s="2" t="str">
        <f>_xlfn.XLOOKUP(F1495,DeparaIMG!D:D,DeparaIMG!F:F,,0)</f>
        <v>SPT350.png</v>
      </c>
    </row>
    <row r="1496" spans="1:9" x14ac:dyDescent="0.25">
      <c r="A1496" s="2" t="s">
        <v>155</v>
      </c>
      <c r="B1496" t="s">
        <v>62</v>
      </c>
      <c r="C1496" t="s">
        <v>112</v>
      </c>
      <c r="D1496" t="s">
        <v>26</v>
      </c>
      <c r="E1496" t="s">
        <v>161</v>
      </c>
      <c r="F1496" t="s">
        <v>65</v>
      </c>
      <c r="G1496">
        <v>5.59</v>
      </c>
      <c r="H1496">
        <v>4.59</v>
      </c>
      <c r="I1496" s="2" t="str">
        <f>_xlfn.XLOOKUP(F1496,DeparaIMG!D:D,DeparaIMG!F:F,,0)</f>
        <v>STE350.png</v>
      </c>
    </row>
    <row r="1497" spans="1:9" x14ac:dyDescent="0.25">
      <c r="A1497" s="2" t="s">
        <v>155</v>
      </c>
      <c r="B1497" t="s">
        <v>62</v>
      </c>
      <c r="C1497" t="s">
        <v>112</v>
      </c>
      <c r="D1497" t="s">
        <v>25</v>
      </c>
      <c r="E1497" t="s">
        <v>161</v>
      </c>
      <c r="F1497" t="s">
        <v>139</v>
      </c>
      <c r="G1497">
        <v>6.59</v>
      </c>
      <c r="H1497">
        <v>6.09</v>
      </c>
      <c r="I1497" s="2" t="str">
        <f>_xlfn.XLOOKUP(F1497,DeparaIMG!D:D,DeparaIMG!F:F,,0)</f>
        <v>SPTLN.png</v>
      </c>
    </row>
    <row r="1498" spans="1:9" x14ac:dyDescent="0.25">
      <c r="A1498" s="2" t="s">
        <v>155</v>
      </c>
      <c r="B1498" t="s">
        <v>62</v>
      </c>
      <c r="C1498" t="s">
        <v>87</v>
      </c>
      <c r="D1498" t="s">
        <v>25</v>
      </c>
      <c r="E1498" t="s">
        <v>161</v>
      </c>
      <c r="F1498" t="s">
        <v>66</v>
      </c>
      <c r="G1498">
        <v>3.19</v>
      </c>
      <c r="H1498">
        <v>2.99</v>
      </c>
      <c r="I1498" s="2" t="str">
        <f>_xlfn.XLOOKUP(F1498,DeparaIMG!D:D,DeparaIMG!F:F,,0)</f>
        <v>SK269.png</v>
      </c>
    </row>
    <row r="1499" spans="1:9" x14ac:dyDescent="0.25">
      <c r="A1499" s="2" t="s">
        <v>155</v>
      </c>
      <c r="B1499" t="s">
        <v>62</v>
      </c>
      <c r="C1499" t="s">
        <v>87</v>
      </c>
      <c r="D1499" t="s">
        <v>25</v>
      </c>
      <c r="E1499" t="s">
        <v>161</v>
      </c>
      <c r="F1499" t="s">
        <v>69</v>
      </c>
      <c r="G1499">
        <v>3.6900000000000004</v>
      </c>
      <c r="H1499">
        <v>3.29</v>
      </c>
      <c r="I1499" s="2" t="str">
        <f>_xlfn.XLOOKUP(F1499,DeparaIMG!D:D,DeparaIMG!F:F,,0)</f>
        <v>BUD269.png</v>
      </c>
    </row>
    <row r="1500" spans="1:9" x14ac:dyDescent="0.25">
      <c r="A1500" s="2" t="s">
        <v>155</v>
      </c>
      <c r="B1500" t="s">
        <v>62</v>
      </c>
      <c r="C1500" t="s">
        <v>87</v>
      </c>
      <c r="D1500" t="s">
        <v>25</v>
      </c>
      <c r="E1500" t="s">
        <v>161</v>
      </c>
      <c r="F1500" t="s">
        <v>151</v>
      </c>
      <c r="G1500">
        <v>3.5900000000000003</v>
      </c>
      <c r="H1500">
        <v>3.0900000000000003</v>
      </c>
      <c r="I1500" s="2" t="str">
        <f>_xlfn.XLOOKUP(F1500,DeparaIMG!D:D,DeparaIMG!F:F,,0)</f>
        <v>BDM269.png</v>
      </c>
    </row>
    <row r="1501" spans="1:9" x14ac:dyDescent="0.25">
      <c r="A1501" s="2" t="s">
        <v>155</v>
      </c>
      <c r="B1501" t="s">
        <v>62</v>
      </c>
      <c r="C1501" t="s">
        <v>87</v>
      </c>
      <c r="D1501" t="s">
        <v>25</v>
      </c>
      <c r="E1501" t="s">
        <v>161</v>
      </c>
      <c r="F1501" t="s">
        <v>100</v>
      </c>
      <c r="G1501">
        <v>3.99</v>
      </c>
      <c r="H1501">
        <v>3.49</v>
      </c>
      <c r="I1501" s="2" t="str">
        <f>_xlfn.XLOOKUP(F1501,DeparaIMG!D:D,DeparaIMG!F:F,,0)</f>
        <v>SPT269.png</v>
      </c>
    </row>
    <row r="1502" spans="1:9" x14ac:dyDescent="0.25">
      <c r="A1502" s="2" t="s">
        <v>155</v>
      </c>
      <c r="B1502" t="s">
        <v>62</v>
      </c>
      <c r="C1502" t="s">
        <v>87</v>
      </c>
      <c r="D1502" t="s">
        <v>25</v>
      </c>
      <c r="E1502" t="s">
        <v>161</v>
      </c>
      <c r="F1502" t="s">
        <v>75</v>
      </c>
      <c r="G1502">
        <v>4.29</v>
      </c>
      <c r="H1502">
        <v>3.49</v>
      </c>
      <c r="I1502" s="2" t="str">
        <f>_xlfn.XLOOKUP(F1502,DeparaIMG!D:D,DeparaIMG!F:F,,0)</f>
        <v>STE269.png</v>
      </c>
    </row>
    <row r="1503" spans="1:9" x14ac:dyDescent="0.25">
      <c r="A1503" s="2" t="s">
        <v>155</v>
      </c>
      <c r="B1503" t="s">
        <v>62</v>
      </c>
      <c r="C1503" t="s">
        <v>87</v>
      </c>
      <c r="D1503" t="s">
        <v>25</v>
      </c>
      <c r="E1503" t="s">
        <v>161</v>
      </c>
      <c r="F1503" t="s">
        <v>77</v>
      </c>
      <c r="G1503">
        <v>4.79</v>
      </c>
      <c r="H1503">
        <v>4.09</v>
      </c>
      <c r="I1503" s="2" t="str">
        <f>_xlfn.XLOOKUP(F1503,DeparaIMG!D:D,DeparaIMG!F:F,,0)</f>
        <v>COR269.png</v>
      </c>
    </row>
    <row r="1504" spans="1:9" x14ac:dyDescent="0.25">
      <c r="A1504" s="2" t="s">
        <v>155</v>
      </c>
      <c r="B1504" t="s">
        <v>62</v>
      </c>
      <c r="C1504" t="s">
        <v>87</v>
      </c>
      <c r="D1504" t="s">
        <v>25</v>
      </c>
      <c r="E1504" t="s">
        <v>161</v>
      </c>
      <c r="F1504" t="s">
        <v>71</v>
      </c>
      <c r="G1504">
        <v>3.99</v>
      </c>
      <c r="H1504">
        <v>3.69</v>
      </c>
      <c r="I1504" s="2" t="str">
        <f>_xlfn.XLOOKUP(F1504,DeparaIMG!D:D,DeparaIMG!F:F,,0)</f>
        <v>BC350.png</v>
      </c>
    </row>
    <row r="1505" spans="1:9" x14ac:dyDescent="0.25">
      <c r="A1505" s="2" t="s">
        <v>155</v>
      </c>
      <c r="B1505" t="s">
        <v>62</v>
      </c>
      <c r="C1505" t="s">
        <v>87</v>
      </c>
      <c r="D1505" t="s">
        <v>25</v>
      </c>
      <c r="E1505" t="s">
        <v>161</v>
      </c>
      <c r="F1505" t="s">
        <v>139</v>
      </c>
      <c r="G1505">
        <v>6.59</v>
      </c>
      <c r="H1505">
        <v>6.09</v>
      </c>
      <c r="I1505" s="2" t="str">
        <f>_xlfn.XLOOKUP(F1505,DeparaIMG!D:D,DeparaIMG!F:F,,0)</f>
        <v>SPTLN.png</v>
      </c>
    </row>
    <row r="1506" spans="1:9" x14ac:dyDescent="0.25">
      <c r="A1506" s="2" t="s">
        <v>155</v>
      </c>
      <c r="B1506" t="s">
        <v>62</v>
      </c>
      <c r="C1506" t="s">
        <v>173</v>
      </c>
      <c r="D1506" t="s">
        <v>25</v>
      </c>
      <c r="E1506" t="s">
        <v>161</v>
      </c>
      <c r="F1506" t="s">
        <v>66</v>
      </c>
      <c r="G1506">
        <v>3.39</v>
      </c>
      <c r="H1506">
        <v>3.09</v>
      </c>
      <c r="I1506" s="2" t="str">
        <f>_xlfn.XLOOKUP(F1506,DeparaIMG!D:D,DeparaIMG!F:F,,0)</f>
        <v>SK269.png</v>
      </c>
    </row>
    <row r="1507" spans="1:9" x14ac:dyDescent="0.25">
      <c r="A1507" s="2" t="s">
        <v>155</v>
      </c>
      <c r="B1507" t="s">
        <v>62</v>
      </c>
      <c r="C1507" t="s">
        <v>173</v>
      </c>
      <c r="D1507" t="s">
        <v>25</v>
      </c>
      <c r="E1507" t="s">
        <v>161</v>
      </c>
      <c r="F1507" t="s">
        <v>69</v>
      </c>
      <c r="G1507">
        <v>3.6900000000000004</v>
      </c>
      <c r="H1507">
        <v>3.29</v>
      </c>
      <c r="I1507" s="2" t="str">
        <f>_xlfn.XLOOKUP(F1507,DeparaIMG!D:D,DeparaIMG!F:F,,0)</f>
        <v>BUD269.png</v>
      </c>
    </row>
    <row r="1508" spans="1:9" x14ac:dyDescent="0.25">
      <c r="A1508" s="2" t="s">
        <v>155</v>
      </c>
      <c r="B1508" t="s">
        <v>62</v>
      </c>
      <c r="C1508" t="s">
        <v>173</v>
      </c>
      <c r="D1508" t="s">
        <v>25</v>
      </c>
      <c r="E1508" t="s">
        <v>161</v>
      </c>
      <c r="F1508" t="s">
        <v>151</v>
      </c>
      <c r="G1508">
        <v>3.5900000000000003</v>
      </c>
      <c r="H1508">
        <v>3.0900000000000003</v>
      </c>
      <c r="I1508" s="2" t="str">
        <f>_xlfn.XLOOKUP(F1508,DeparaIMG!D:D,DeparaIMG!F:F,,0)</f>
        <v>BDM269.png</v>
      </c>
    </row>
    <row r="1509" spans="1:9" x14ac:dyDescent="0.25">
      <c r="A1509" s="2" t="s">
        <v>155</v>
      </c>
      <c r="B1509" t="s">
        <v>62</v>
      </c>
      <c r="C1509" t="s">
        <v>173</v>
      </c>
      <c r="D1509" t="s">
        <v>25</v>
      </c>
      <c r="E1509" t="s">
        <v>161</v>
      </c>
      <c r="F1509" t="s">
        <v>100</v>
      </c>
      <c r="G1509">
        <v>3.99</v>
      </c>
      <c r="H1509">
        <v>3.49</v>
      </c>
      <c r="I1509" s="2" t="str">
        <f>_xlfn.XLOOKUP(F1509,DeparaIMG!D:D,DeparaIMG!F:F,,0)</f>
        <v>SPT269.png</v>
      </c>
    </row>
    <row r="1510" spans="1:9" x14ac:dyDescent="0.25">
      <c r="A1510" s="2" t="s">
        <v>155</v>
      </c>
      <c r="B1510" t="s">
        <v>62</v>
      </c>
      <c r="C1510" t="s">
        <v>173</v>
      </c>
      <c r="D1510" t="s">
        <v>25</v>
      </c>
      <c r="E1510" t="s">
        <v>161</v>
      </c>
      <c r="F1510" t="s">
        <v>75</v>
      </c>
      <c r="G1510">
        <v>4.29</v>
      </c>
      <c r="H1510">
        <v>3.49</v>
      </c>
      <c r="I1510" s="2" t="str">
        <f>_xlfn.XLOOKUP(F1510,DeparaIMG!D:D,DeparaIMG!F:F,,0)</f>
        <v>STE269.png</v>
      </c>
    </row>
    <row r="1511" spans="1:9" x14ac:dyDescent="0.25">
      <c r="A1511" s="2" t="s">
        <v>155</v>
      </c>
      <c r="B1511" t="s">
        <v>62</v>
      </c>
      <c r="C1511" t="s">
        <v>173</v>
      </c>
      <c r="D1511" t="s">
        <v>25</v>
      </c>
      <c r="E1511" t="s">
        <v>161</v>
      </c>
      <c r="F1511" t="s">
        <v>77</v>
      </c>
      <c r="G1511">
        <v>4.79</v>
      </c>
      <c r="H1511">
        <v>4.09</v>
      </c>
      <c r="I1511" s="2" t="str">
        <f>_xlfn.XLOOKUP(F1511,DeparaIMG!D:D,DeparaIMG!F:F,,0)</f>
        <v>COR269.png</v>
      </c>
    </row>
    <row r="1512" spans="1:9" x14ac:dyDescent="0.25">
      <c r="A1512" s="2" t="s">
        <v>155</v>
      </c>
      <c r="B1512" t="s">
        <v>62</v>
      </c>
      <c r="C1512" t="s">
        <v>173</v>
      </c>
      <c r="D1512" t="s">
        <v>25</v>
      </c>
      <c r="E1512" t="s">
        <v>161</v>
      </c>
      <c r="F1512" t="s">
        <v>71</v>
      </c>
      <c r="G1512">
        <v>3.89</v>
      </c>
      <c r="H1512">
        <v>3.59</v>
      </c>
      <c r="I1512" s="2" t="str">
        <f>_xlfn.XLOOKUP(F1512,DeparaIMG!D:D,DeparaIMG!F:F,,0)</f>
        <v>BC350.png</v>
      </c>
    </row>
    <row r="1513" spans="1:9" x14ac:dyDescent="0.25">
      <c r="A1513" s="2" t="s">
        <v>155</v>
      </c>
      <c r="B1513" t="s">
        <v>62</v>
      </c>
      <c r="C1513" t="s">
        <v>173</v>
      </c>
      <c r="D1513" t="s">
        <v>25</v>
      </c>
      <c r="E1513" t="s">
        <v>161</v>
      </c>
      <c r="F1513" t="s">
        <v>139</v>
      </c>
      <c r="G1513">
        <v>6.59</v>
      </c>
      <c r="H1513">
        <v>6.09</v>
      </c>
      <c r="I1513" s="2" t="str">
        <f>_xlfn.XLOOKUP(F1513,DeparaIMG!D:D,DeparaIMG!F:F,,0)</f>
        <v>SPTLN.png</v>
      </c>
    </row>
    <row r="1514" spans="1:9" x14ac:dyDescent="0.25">
      <c r="A1514" s="2" t="s">
        <v>155</v>
      </c>
      <c r="B1514" t="s">
        <v>62</v>
      </c>
      <c r="C1514" t="s">
        <v>89</v>
      </c>
      <c r="D1514" t="s">
        <v>25</v>
      </c>
      <c r="E1514" t="s">
        <v>161</v>
      </c>
      <c r="F1514" t="s">
        <v>66</v>
      </c>
      <c r="G1514">
        <v>3.39</v>
      </c>
      <c r="H1514">
        <v>3.09</v>
      </c>
      <c r="I1514" s="2" t="str">
        <f>_xlfn.XLOOKUP(F1514,DeparaIMG!D:D,DeparaIMG!F:F,,0)</f>
        <v>SK269.png</v>
      </c>
    </row>
    <row r="1515" spans="1:9" x14ac:dyDescent="0.25">
      <c r="A1515" s="2" t="s">
        <v>155</v>
      </c>
      <c r="B1515" t="s">
        <v>62</v>
      </c>
      <c r="C1515" t="s">
        <v>89</v>
      </c>
      <c r="D1515" t="s">
        <v>25</v>
      </c>
      <c r="E1515" t="s">
        <v>161</v>
      </c>
      <c r="F1515" t="s">
        <v>69</v>
      </c>
      <c r="G1515">
        <v>3.6900000000000004</v>
      </c>
      <c r="H1515">
        <v>3.29</v>
      </c>
      <c r="I1515" s="2" t="str">
        <f>_xlfn.XLOOKUP(F1515,DeparaIMG!D:D,DeparaIMG!F:F,,0)</f>
        <v>BUD269.png</v>
      </c>
    </row>
    <row r="1516" spans="1:9" x14ac:dyDescent="0.25">
      <c r="A1516" s="2" t="s">
        <v>155</v>
      </c>
      <c r="B1516" t="s">
        <v>62</v>
      </c>
      <c r="C1516" t="s">
        <v>89</v>
      </c>
      <c r="D1516" t="s">
        <v>25</v>
      </c>
      <c r="E1516" t="s">
        <v>161</v>
      </c>
      <c r="F1516" t="s">
        <v>151</v>
      </c>
      <c r="G1516">
        <v>3.5900000000000003</v>
      </c>
      <c r="H1516">
        <v>3.0900000000000003</v>
      </c>
      <c r="I1516" s="2" t="str">
        <f>_xlfn.XLOOKUP(F1516,DeparaIMG!D:D,DeparaIMG!F:F,,0)</f>
        <v>BDM269.png</v>
      </c>
    </row>
    <row r="1517" spans="1:9" x14ac:dyDescent="0.25">
      <c r="A1517" s="2" t="s">
        <v>155</v>
      </c>
      <c r="B1517" t="s">
        <v>62</v>
      </c>
      <c r="C1517" t="s">
        <v>89</v>
      </c>
      <c r="D1517" t="s">
        <v>25</v>
      </c>
      <c r="E1517" t="s">
        <v>161</v>
      </c>
      <c r="F1517" t="s">
        <v>100</v>
      </c>
      <c r="G1517">
        <v>3.99</v>
      </c>
      <c r="H1517">
        <v>3.49</v>
      </c>
      <c r="I1517" s="2" t="str">
        <f>_xlfn.XLOOKUP(F1517,DeparaIMG!D:D,DeparaIMG!F:F,,0)</f>
        <v>SPT269.png</v>
      </c>
    </row>
    <row r="1518" spans="1:9" x14ac:dyDescent="0.25">
      <c r="A1518" s="2" t="s">
        <v>155</v>
      </c>
      <c r="B1518" t="s">
        <v>62</v>
      </c>
      <c r="C1518" t="s">
        <v>89</v>
      </c>
      <c r="D1518" t="s">
        <v>25</v>
      </c>
      <c r="E1518" t="s">
        <v>161</v>
      </c>
      <c r="F1518" t="s">
        <v>75</v>
      </c>
      <c r="G1518">
        <v>4.29</v>
      </c>
      <c r="H1518">
        <v>3.49</v>
      </c>
      <c r="I1518" s="2" t="str">
        <f>_xlfn.XLOOKUP(F1518,DeparaIMG!D:D,DeparaIMG!F:F,,0)</f>
        <v>STE269.png</v>
      </c>
    </row>
    <row r="1519" spans="1:9" x14ac:dyDescent="0.25">
      <c r="A1519" s="2" t="s">
        <v>155</v>
      </c>
      <c r="B1519" t="s">
        <v>62</v>
      </c>
      <c r="C1519" t="s">
        <v>89</v>
      </c>
      <c r="D1519" t="s">
        <v>25</v>
      </c>
      <c r="E1519" t="s">
        <v>161</v>
      </c>
      <c r="F1519" t="s">
        <v>77</v>
      </c>
      <c r="G1519">
        <v>4.79</v>
      </c>
      <c r="H1519">
        <v>4.09</v>
      </c>
      <c r="I1519" s="2" t="str">
        <f>_xlfn.XLOOKUP(F1519,DeparaIMG!D:D,DeparaIMG!F:F,,0)</f>
        <v>COR269.png</v>
      </c>
    </row>
    <row r="1520" spans="1:9" x14ac:dyDescent="0.25">
      <c r="A1520" s="2" t="s">
        <v>155</v>
      </c>
      <c r="B1520" t="s">
        <v>62</v>
      </c>
      <c r="C1520" t="s">
        <v>89</v>
      </c>
      <c r="D1520" t="s">
        <v>25</v>
      </c>
      <c r="E1520" t="s">
        <v>161</v>
      </c>
      <c r="F1520" t="s">
        <v>71</v>
      </c>
      <c r="G1520">
        <v>3.89</v>
      </c>
      <c r="H1520">
        <v>3.59</v>
      </c>
      <c r="I1520" s="2" t="str">
        <f>_xlfn.XLOOKUP(F1520,DeparaIMG!D:D,DeparaIMG!F:F,,0)</f>
        <v>BC350.png</v>
      </c>
    </row>
    <row r="1521" spans="1:9" x14ac:dyDescent="0.25">
      <c r="A1521" s="2" t="s">
        <v>155</v>
      </c>
      <c r="B1521" t="s">
        <v>62</v>
      </c>
      <c r="C1521" t="s">
        <v>89</v>
      </c>
      <c r="D1521" t="s">
        <v>25</v>
      </c>
      <c r="E1521" t="s">
        <v>161</v>
      </c>
      <c r="F1521" t="s">
        <v>139</v>
      </c>
      <c r="G1521">
        <v>6.59</v>
      </c>
      <c r="H1521">
        <v>6.09</v>
      </c>
      <c r="I1521" s="2" t="str">
        <f>_xlfn.XLOOKUP(F1521,DeparaIMG!D:D,DeparaIMG!F:F,,0)</f>
        <v>SPTLN.png</v>
      </c>
    </row>
    <row r="1522" spans="1:9" x14ac:dyDescent="0.25">
      <c r="A1522" t="s">
        <v>155</v>
      </c>
      <c r="B1522" t="s">
        <v>62</v>
      </c>
      <c r="C1522" t="s">
        <v>87</v>
      </c>
      <c r="D1522" t="s">
        <v>25</v>
      </c>
      <c r="E1522">
        <v>2</v>
      </c>
      <c r="F1522" t="s">
        <v>66</v>
      </c>
      <c r="G1522">
        <v>3.19</v>
      </c>
      <c r="H1522">
        <v>2.99</v>
      </c>
      <c r="I1522" s="2" t="str">
        <f>_xlfn.XLOOKUP(F1522,DeparaIMG!D:D,DeparaIMG!F:F,,0)</f>
        <v>SK269.png</v>
      </c>
    </row>
    <row r="1523" spans="1:9" x14ac:dyDescent="0.25">
      <c r="A1523" t="s">
        <v>155</v>
      </c>
      <c r="B1523" t="s">
        <v>62</v>
      </c>
      <c r="C1523" t="s">
        <v>87</v>
      </c>
      <c r="D1523" t="s">
        <v>26</v>
      </c>
      <c r="E1523">
        <v>2</v>
      </c>
      <c r="F1523" t="s">
        <v>66</v>
      </c>
      <c r="G1523">
        <v>3.19</v>
      </c>
      <c r="H1523">
        <v>2.99</v>
      </c>
      <c r="I1523" s="2" t="str">
        <f>_xlfn.XLOOKUP(F1523,DeparaIMG!D:D,DeparaIMG!F:F,,0)</f>
        <v>SK269.png</v>
      </c>
    </row>
    <row r="1524" spans="1:9" x14ac:dyDescent="0.25">
      <c r="A1524" t="s">
        <v>155</v>
      </c>
      <c r="B1524" t="s">
        <v>62</v>
      </c>
      <c r="C1524" t="s">
        <v>88</v>
      </c>
      <c r="D1524" t="s">
        <v>26</v>
      </c>
      <c r="E1524">
        <v>2</v>
      </c>
      <c r="F1524" t="s">
        <v>116</v>
      </c>
      <c r="G1524">
        <v>2.99</v>
      </c>
      <c r="H1524">
        <v>2.79</v>
      </c>
      <c r="I1524" s="2" t="str">
        <f>_xlfn.XLOOKUP(F1524,DeparaIMG!D:D,DeparaIMG!F:F,,0)</f>
        <v>SK269MP.png</v>
      </c>
    </row>
    <row r="1525" spans="1:9" x14ac:dyDescent="0.25">
      <c r="A1525" t="s">
        <v>155</v>
      </c>
      <c r="B1525" t="s">
        <v>62</v>
      </c>
      <c r="C1525" t="s">
        <v>88</v>
      </c>
      <c r="D1525" t="s">
        <v>25</v>
      </c>
      <c r="E1525">
        <v>1</v>
      </c>
      <c r="F1525" t="s">
        <v>67</v>
      </c>
      <c r="G1525">
        <v>3.29</v>
      </c>
      <c r="H1525">
        <v>2.99</v>
      </c>
      <c r="I1525" s="2" t="str">
        <f>_xlfn.XLOOKUP(F1525,DeparaIMG!D:D,DeparaIMG!F:F,,0)</f>
        <v>AP269.png</v>
      </c>
    </row>
    <row r="1526" spans="1:9" x14ac:dyDescent="0.25">
      <c r="A1526" t="s">
        <v>155</v>
      </c>
      <c r="B1526" t="s">
        <v>62</v>
      </c>
      <c r="C1526" t="s">
        <v>88</v>
      </c>
      <c r="D1526" t="s">
        <v>26</v>
      </c>
      <c r="E1526">
        <v>1</v>
      </c>
      <c r="F1526" t="s">
        <v>67</v>
      </c>
      <c r="G1526">
        <v>3.29</v>
      </c>
      <c r="H1526">
        <v>2.99</v>
      </c>
      <c r="I1526" s="2" t="str">
        <f>_xlfn.XLOOKUP(F1526,DeparaIMG!D:D,DeparaIMG!F:F,,0)</f>
        <v>AP269.png</v>
      </c>
    </row>
    <row r="1527" spans="1:9" x14ac:dyDescent="0.25">
      <c r="A1527" t="s">
        <v>155</v>
      </c>
      <c r="B1527" t="s">
        <v>62</v>
      </c>
      <c r="C1527" t="s">
        <v>88</v>
      </c>
      <c r="D1527" t="s">
        <v>26</v>
      </c>
      <c r="E1527">
        <v>1</v>
      </c>
      <c r="F1527" t="s">
        <v>119</v>
      </c>
      <c r="G1527">
        <v>3.09</v>
      </c>
      <c r="H1527">
        <v>2.79</v>
      </c>
      <c r="I1527" s="2" t="str">
        <f>_xlfn.XLOOKUP(F1527,DeparaIMG!D:D,DeparaIMG!F:F,,0)</f>
        <v>BC269MP.png</v>
      </c>
    </row>
    <row r="1528" spans="1:9" x14ac:dyDescent="0.25">
      <c r="A1528" t="s">
        <v>155</v>
      </c>
      <c r="B1528" t="s">
        <v>62</v>
      </c>
      <c r="C1528" t="s">
        <v>112</v>
      </c>
      <c r="D1528" t="s">
        <v>25</v>
      </c>
      <c r="E1528">
        <v>2</v>
      </c>
      <c r="F1528" t="s">
        <v>67</v>
      </c>
      <c r="G1528">
        <v>3.19</v>
      </c>
      <c r="H1528">
        <v>2.99</v>
      </c>
      <c r="I1528" s="2" t="str">
        <f>_xlfn.XLOOKUP(F1528,DeparaIMG!D:D,DeparaIMG!F:F,,0)</f>
        <v>AP269.png</v>
      </c>
    </row>
    <row r="1529" spans="1:9" x14ac:dyDescent="0.25">
      <c r="A1529" t="s">
        <v>155</v>
      </c>
      <c r="B1529" t="s">
        <v>62</v>
      </c>
      <c r="C1529" t="s">
        <v>29</v>
      </c>
      <c r="D1529" t="s">
        <v>25</v>
      </c>
      <c r="E1529">
        <v>2</v>
      </c>
      <c r="F1529" t="s">
        <v>67</v>
      </c>
      <c r="G1529">
        <v>3.19</v>
      </c>
      <c r="H1529">
        <v>2.99</v>
      </c>
      <c r="I1529" s="2" t="str">
        <f>_xlfn.XLOOKUP(F1529,DeparaIMG!D:D,DeparaIMG!F:F,,0)</f>
        <v>AP269.png</v>
      </c>
    </row>
    <row r="1530" spans="1:9" x14ac:dyDescent="0.25">
      <c r="A1530" t="s">
        <v>155</v>
      </c>
      <c r="B1530" t="s">
        <v>62</v>
      </c>
      <c r="C1530" t="s">
        <v>87</v>
      </c>
      <c r="D1530" t="s">
        <v>26</v>
      </c>
      <c r="E1530">
        <v>2</v>
      </c>
      <c r="F1530" t="s">
        <v>63</v>
      </c>
      <c r="G1530">
        <v>3.29</v>
      </c>
      <c r="H1530">
        <v>3.09</v>
      </c>
      <c r="I1530" s="2" t="str">
        <f>_xlfn.XLOOKUP(F1530,DeparaIMG!D:D,DeparaIMG!F:F,,0)</f>
        <v>SKZERO269.png</v>
      </c>
    </row>
    <row r="1531" spans="1:9" x14ac:dyDescent="0.25">
      <c r="A1531" t="s">
        <v>155</v>
      </c>
      <c r="B1531" t="s">
        <v>62</v>
      </c>
      <c r="C1531" t="s">
        <v>87</v>
      </c>
      <c r="D1531" t="s">
        <v>25</v>
      </c>
      <c r="E1531">
        <v>2</v>
      </c>
      <c r="F1531" t="s">
        <v>63</v>
      </c>
      <c r="G1531">
        <v>3.29</v>
      </c>
      <c r="H1531">
        <v>3.09</v>
      </c>
      <c r="I1531" s="2" t="str">
        <f>_xlfn.XLOOKUP(F1531,DeparaIMG!D:D,DeparaIMG!F:F,,0)</f>
        <v>SKZERO269.png</v>
      </c>
    </row>
    <row r="1532" spans="1:9" x14ac:dyDescent="0.25">
      <c r="A1532" t="s">
        <v>155</v>
      </c>
      <c r="B1532" t="s">
        <v>62</v>
      </c>
      <c r="C1532" t="s">
        <v>88</v>
      </c>
      <c r="D1532" t="s">
        <v>26</v>
      </c>
      <c r="E1532">
        <v>2</v>
      </c>
      <c r="F1532" t="s">
        <v>63</v>
      </c>
      <c r="G1532">
        <v>3.09</v>
      </c>
      <c r="H1532">
        <v>2.89</v>
      </c>
      <c r="I1532" s="2" t="str">
        <f>_xlfn.XLOOKUP(F1532,DeparaIMG!D:D,DeparaIMG!F:F,,0)</f>
        <v>SKZERO269.png</v>
      </c>
    </row>
    <row r="1533" spans="1:9" x14ac:dyDescent="0.25">
      <c r="A1533" t="s">
        <v>155</v>
      </c>
      <c r="B1533" t="s">
        <v>62</v>
      </c>
      <c r="C1533" t="s">
        <v>88</v>
      </c>
      <c r="D1533" t="s">
        <v>25</v>
      </c>
      <c r="E1533">
        <v>2</v>
      </c>
      <c r="F1533" t="s">
        <v>63</v>
      </c>
      <c r="G1533">
        <v>3.09</v>
      </c>
      <c r="H1533">
        <v>2.89</v>
      </c>
      <c r="I1533" s="2" t="str">
        <f>_xlfn.XLOOKUP(F1533,DeparaIMG!D:D,DeparaIMG!F:F,,0)</f>
        <v>SKZERO269.png</v>
      </c>
    </row>
    <row r="1534" spans="1:9" x14ac:dyDescent="0.25">
      <c r="A1534" t="s">
        <v>155</v>
      </c>
      <c r="B1534" t="s">
        <v>62</v>
      </c>
      <c r="C1534" t="s">
        <v>29</v>
      </c>
      <c r="D1534" t="s">
        <v>25</v>
      </c>
      <c r="E1534">
        <v>1</v>
      </c>
      <c r="F1534" t="s">
        <v>68</v>
      </c>
      <c r="G1534">
        <v>3.19</v>
      </c>
      <c r="H1534">
        <v>2.99</v>
      </c>
      <c r="I1534" s="2" t="str">
        <f>_xlfn.XLOOKUP(F1534,DeparaIMG!D:D,DeparaIMG!F:F,,0)</f>
        <v>BC269.png</v>
      </c>
    </row>
    <row r="1535" spans="1:9" x14ac:dyDescent="0.25">
      <c r="A1535" t="s">
        <v>155</v>
      </c>
      <c r="B1535" t="s">
        <v>62</v>
      </c>
      <c r="C1535" t="s">
        <v>112</v>
      </c>
      <c r="D1535" t="s">
        <v>25</v>
      </c>
      <c r="E1535">
        <v>1</v>
      </c>
      <c r="F1535" t="s">
        <v>68</v>
      </c>
      <c r="G1535">
        <v>3.19</v>
      </c>
      <c r="H1535">
        <v>2.99</v>
      </c>
      <c r="I1535" s="2" t="str">
        <f>_xlfn.XLOOKUP(F1535,DeparaIMG!D:D,DeparaIMG!F:F,,0)</f>
        <v>BC269.png</v>
      </c>
    </row>
    <row r="1536" spans="1:9" x14ac:dyDescent="0.25">
      <c r="A1536" t="s">
        <v>155</v>
      </c>
      <c r="B1536" t="s">
        <v>62</v>
      </c>
      <c r="C1536" t="s">
        <v>112</v>
      </c>
      <c r="D1536" t="s">
        <v>26</v>
      </c>
      <c r="E1536">
        <v>1</v>
      </c>
      <c r="F1536" t="s">
        <v>68</v>
      </c>
      <c r="G1536">
        <v>3.19</v>
      </c>
      <c r="H1536">
        <v>2.99</v>
      </c>
      <c r="I1536" s="2" t="str">
        <f>_xlfn.XLOOKUP(F1536,DeparaIMG!D:D,DeparaIMG!F:F,,0)</f>
        <v>BC269.png</v>
      </c>
    </row>
    <row r="1537" spans="1:9" x14ac:dyDescent="0.25">
      <c r="A1537" t="s">
        <v>155</v>
      </c>
      <c r="B1537" t="s">
        <v>62</v>
      </c>
      <c r="C1537" t="s">
        <v>87</v>
      </c>
      <c r="D1537" t="s">
        <v>25</v>
      </c>
      <c r="E1537">
        <v>1</v>
      </c>
      <c r="F1537" t="s">
        <v>68</v>
      </c>
      <c r="G1537">
        <v>3.19</v>
      </c>
      <c r="H1537">
        <v>2.99</v>
      </c>
      <c r="I1537" s="2" t="str">
        <f>_xlfn.XLOOKUP(F1537,DeparaIMG!D:D,DeparaIMG!F:F,,0)</f>
        <v>BC269.png</v>
      </c>
    </row>
    <row r="1538" spans="1:9" x14ac:dyDescent="0.25">
      <c r="A1538" t="s">
        <v>155</v>
      </c>
      <c r="B1538" t="s">
        <v>62</v>
      </c>
      <c r="C1538" t="s">
        <v>87</v>
      </c>
      <c r="D1538" t="s">
        <v>26</v>
      </c>
      <c r="E1538">
        <v>1</v>
      </c>
      <c r="F1538" t="s">
        <v>68</v>
      </c>
      <c r="G1538">
        <v>3.19</v>
      </c>
      <c r="H1538">
        <v>2.99</v>
      </c>
      <c r="I1538" s="2" t="str">
        <f>_xlfn.XLOOKUP(F1538,DeparaIMG!D:D,DeparaIMG!F:F,,0)</f>
        <v>BC269.png</v>
      </c>
    </row>
    <row r="1539" spans="1:9" x14ac:dyDescent="0.25">
      <c r="A1539" t="s">
        <v>155</v>
      </c>
      <c r="B1539" t="s">
        <v>62</v>
      </c>
      <c r="C1539" t="s">
        <v>113</v>
      </c>
      <c r="D1539" t="s">
        <v>25</v>
      </c>
      <c r="E1539">
        <v>1</v>
      </c>
      <c r="F1539" t="s">
        <v>68</v>
      </c>
      <c r="G1539">
        <v>3.19</v>
      </c>
      <c r="H1539">
        <v>2.99</v>
      </c>
      <c r="I1539" s="2" t="str">
        <f>_xlfn.XLOOKUP(F1539,DeparaIMG!D:D,DeparaIMG!F:F,,0)</f>
        <v>BC269.png</v>
      </c>
    </row>
    <row r="1540" spans="1:9" x14ac:dyDescent="0.25">
      <c r="A1540" t="s">
        <v>155</v>
      </c>
      <c r="B1540" t="s">
        <v>62</v>
      </c>
      <c r="C1540" t="s">
        <v>113</v>
      </c>
      <c r="D1540" t="s">
        <v>25</v>
      </c>
      <c r="E1540">
        <v>2</v>
      </c>
      <c r="F1540" t="s">
        <v>66</v>
      </c>
      <c r="G1540">
        <v>3.39</v>
      </c>
      <c r="H1540">
        <v>3.19</v>
      </c>
      <c r="I1540" s="2" t="str">
        <f>_xlfn.XLOOKUP(F1540,DeparaIMG!D:D,DeparaIMG!F:F,,0)</f>
        <v>SK269.png</v>
      </c>
    </row>
    <row r="1541" spans="1:9" x14ac:dyDescent="0.25">
      <c r="A1541" t="s">
        <v>155</v>
      </c>
      <c r="B1541" t="s">
        <v>62</v>
      </c>
      <c r="C1541" t="s">
        <v>113</v>
      </c>
      <c r="D1541" t="s">
        <v>26</v>
      </c>
      <c r="E1541">
        <v>2</v>
      </c>
      <c r="F1541" t="s">
        <v>66</v>
      </c>
      <c r="G1541">
        <v>3.39</v>
      </c>
      <c r="H1541">
        <v>3.19</v>
      </c>
      <c r="I1541" s="2" t="str">
        <f>_xlfn.XLOOKUP(F1541,DeparaIMG!D:D,DeparaIMG!F:F,,0)</f>
        <v>SK269.png</v>
      </c>
    </row>
    <row r="1542" spans="1:9" x14ac:dyDescent="0.25">
      <c r="A1542" t="s">
        <v>155</v>
      </c>
      <c r="B1542" t="s">
        <v>62</v>
      </c>
      <c r="C1542" t="s">
        <v>88</v>
      </c>
      <c r="D1542" t="s">
        <v>26</v>
      </c>
      <c r="E1542">
        <v>1</v>
      </c>
      <c r="F1542" t="s">
        <v>117</v>
      </c>
      <c r="G1542">
        <v>3.29</v>
      </c>
      <c r="H1542">
        <v>2.89</v>
      </c>
      <c r="I1542" s="2" t="str">
        <f>_xlfn.XLOOKUP(F1542,DeparaIMG!D:D,DeparaIMG!F:F,,0)</f>
        <v>BUD269MP.png</v>
      </c>
    </row>
    <row r="1543" spans="1:9" x14ac:dyDescent="0.25">
      <c r="A1543" t="s">
        <v>155</v>
      </c>
      <c r="B1543" t="s">
        <v>62</v>
      </c>
      <c r="C1543" t="s">
        <v>88</v>
      </c>
      <c r="D1543" t="s">
        <v>25</v>
      </c>
      <c r="E1543">
        <v>2</v>
      </c>
      <c r="F1543" t="s">
        <v>66</v>
      </c>
      <c r="G1543">
        <v>3.19</v>
      </c>
      <c r="H1543">
        <v>2.99</v>
      </c>
      <c r="I1543" s="2" t="str">
        <f>_xlfn.XLOOKUP(F1543,DeparaIMG!D:D,DeparaIMG!F:F,,0)</f>
        <v>SK269.png</v>
      </c>
    </row>
    <row r="1544" spans="1:9" x14ac:dyDescent="0.25">
      <c r="A1544" t="s">
        <v>155</v>
      </c>
      <c r="B1544" t="s">
        <v>62</v>
      </c>
      <c r="C1544" t="s">
        <v>89</v>
      </c>
      <c r="D1544" t="s">
        <v>25</v>
      </c>
      <c r="E1544">
        <v>1</v>
      </c>
      <c r="F1544" t="s">
        <v>68</v>
      </c>
      <c r="G1544">
        <v>3.09</v>
      </c>
      <c r="H1544">
        <v>2.79</v>
      </c>
      <c r="I1544" s="2" t="str">
        <f>_xlfn.XLOOKUP(F1544,DeparaIMG!D:D,DeparaIMG!F:F,,0)</f>
        <v>BC269.png</v>
      </c>
    </row>
    <row r="1545" spans="1:9" x14ac:dyDescent="0.25">
      <c r="A1545" t="s">
        <v>155</v>
      </c>
      <c r="B1545" t="s">
        <v>62</v>
      </c>
      <c r="C1545" t="s">
        <v>89</v>
      </c>
      <c r="D1545" t="s">
        <v>26</v>
      </c>
      <c r="E1545">
        <v>1</v>
      </c>
      <c r="F1545" t="s">
        <v>68</v>
      </c>
      <c r="G1545">
        <v>3.09</v>
      </c>
      <c r="H1545">
        <v>2.79</v>
      </c>
      <c r="I1545" s="2" t="str">
        <f>_xlfn.XLOOKUP(F1545,DeparaIMG!D:D,DeparaIMG!F:F,,0)</f>
        <v>BC269.png</v>
      </c>
    </row>
    <row r="1546" spans="1:9" x14ac:dyDescent="0.25">
      <c r="A1546" t="s">
        <v>155</v>
      </c>
      <c r="B1546" t="s">
        <v>62</v>
      </c>
      <c r="C1546" t="s">
        <v>88</v>
      </c>
      <c r="D1546" t="s">
        <v>25</v>
      </c>
      <c r="E1546">
        <v>1</v>
      </c>
      <c r="F1546" t="s">
        <v>68</v>
      </c>
      <c r="G1546">
        <v>3.29</v>
      </c>
      <c r="H1546">
        <v>2.99</v>
      </c>
      <c r="I1546" s="2" t="str">
        <f>_xlfn.XLOOKUP(F1546,DeparaIMG!D:D,DeparaIMG!F:F,,0)</f>
        <v>BC269.png</v>
      </c>
    </row>
    <row r="1547" spans="1:9" x14ac:dyDescent="0.25">
      <c r="A1547" t="s">
        <v>155</v>
      </c>
      <c r="B1547" t="s">
        <v>62</v>
      </c>
      <c r="C1547" t="s">
        <v>88</v>
      </c>
      <c r="D1547" t="s">
        <v>26</v>
      </c>
      <c r="E1547">
        <v>1</v>
      </c>
      <c r="F1547" t="s">
        <v>68</v>
      </c>
      <c r="G1547">
        <v>3.29</v>
      </c>
      <c r="H1547">
        <v>2.99</v>
      </c>
      <c r="I1547" s="2" t="str">
        <f>_xlfn.XLOOKUP(F1547,DeparaIMG!D:D,DeparaIMG!F:F,,0)</f>
        <v>BC269.png</v>
      </c>
    </row>
    <row r="1548" spans="1:9" x14ac:dyDescent="0.25">
      <c r="A1548" t="s">
        <v>155</v>
      </c>
      <c r="B1548" t="s">
        <v>62</v>
      </c>
      <c r="C1548" t="s">
        <v>173</v>
      </c>
      <c r="D1548" t="s">
        <v>25</v>
      </c>
      <c r="E1548">
        <v>1</v>
      </c>
      <c r="F1548" t="s">
        <v>68</v>
      </c>
      <c r="G1548">
        <v>3.09</v>
      </c>
      <c r="H1548">
        <v>2.79</v>
      </c>
      <c r="I1548" s="2" t="str">
        <f>_xlfn.XLOOKUP(F1548,DeparaIMG!D:D,DeparaIMG!F:F,,0)</f>
        <v>BC269.png</v>
      </c>
    </row>
    <row r="1549" spans="1:9" x14ac:dyDescent="0.25">
      <c r="A1549" t="s">
        <v>155</v>
      </c>
      <c r="B1549" t="s">
        <v>62</v>
      </c>
      <c r="C1549" t="s">
        <v>173</v>
      </c>
      <c r="D1549" t="s">
        <v>26</v>
      </c>
      <c r="E1549">
        <v>1</v>
      </c>
      <c r="F1549" t="s">
        <v>68</v>
      </c>
      <c r="G1549">
        <v>3.09</v>
      </c>
      <c r="H1549">
        <v>2.79</v>
      </c>
      <c r="I1549" s="2" t="str">
        <f>_xlfn.XLOOKUP(F1549,DeparaIMG!D:D,DeparaIMG!F:F,,0)</f>
        <v>BC269.png</v>
      </c>
    </row>
    <row r="1550" spans="1:9" x14ac:dyDescent="0.25">
      <c r="A1550" t="s">
        <v>155</v>
      </c>
      <c r="B1550" t="s">
        <v>62</v>
      </c>
      <c r="C1550" t="s">
        <v>88</v>
      </c>
      <c r="D1550" t="s">
        <v>26</v>
      </c>
      <c r="E1550">
        <v>2</v>
      </c>
      <c r="F1550" t="s">
        <v>66</v>
      </c>
      <c r="G1550">
        <v>3.19</v>
      </c>
      <c r="H1550">
        <v>2.99</v>
      </c>
      <c r="I1550" s="2" t="str">
        <f>_xlfn.XLOOKUP(F1550,DeparaIMG!D:D,DeparaIMG!F:F,,0)</f>
        <v>SK269.png</v>
      </c>
    </row>
    <row r="1551" spans="1:9" x14ac:dyDescent="0.25">
      <c r="A1551" t="s">
        <v>155</v>
      </c>
      <c r="B1551" t="s">
        <v>62</v>
      </c>
      <c r="C1551" t="s">
        <v>113</v>
      </c>
      <c r="D1551" t="s">
        <v>25</v>
      </c>
      <c r="E1551">
        <v>1</v>
      </c>
      <c r="F1551" t="s">
        <v>69</v>
      </c>
      <c r="G1551">
        <v>3.39</v>
      </c>
      <c r="H1551">
        <v>2.99</v>
      </c>
      <c r="I1551" s="2" t="str">
        <f>_xlfn.XLOOKUP(F1551,DeparaIMG!D:D,DeparaIMG!F:F,,0)</f>
        <v>BUD269.png</v>
      </c>
    </row>
    <row r="1552" spans="1:9" x14ac:dyDescent="0.25">
      <c r="A1552" t="s">
        <v>155</v>
      </c>
      <c r="B1552" t="s">
        <v>62</v>
      </c>
      <c r="C1552" t="s">
        <v>88</v>
      </c>
      <c r="D1552" t="s">
        <v>25</v>
      </c>
      <c r="E1552">
        <v>1</v>
      </c>
      <c r="F1552" t="s">
        <v>69</v>
      </c>
      <c r="G1552">
        <v>3.49</v>
      </c>
      <c r="H1552">
        <v>3.09</v>
      </c>
      <c r="I1552" s="2" t="str">
        <f>_xlfn.XLOOKUP(F1552,DeparaIMG!D:D,DeparaIMG!F:F,,0)</f>
        <v>BUD269.png</v>
      </c>
    </row>
    <row r="1553" spans="1:9" x14ac:dyDescent="0.25">
      <c r="A1553" t="s">
        <v>155</v>
      </c>
      <c r="B1553" t="s">
        <v>62</v>
      </c>
      <c r="C1553" t="s">
        <v>88</v>
      </c>
      <c r="D1553" t="s">
        <v>26</v>
      </c>
      <c r="E1553">
        <v>1</v>
      </c>
      <c r="F1553" t="s">
        <v>69</v>
      </c>
      <c r="G1553">
        <v>3.49</v>
      </c>
      <c r="H1553">
        <v>3.09</v>
      </c>
      <c r="I1553" s="2" t="str">
        <f>_xlfn.XLOOKUP(F1553,DeparaIMG!D:D,DeparaIMG!F:F,,0)</f>
        <v>BUD269.png</v>
      </c>
    </row>
    <row r="1554" spans="1:9" x14ac:dyDescent="0.25">
      <c r="A1554" t="s">
        <v>155</v>
      </c>
      <c r="B1554" t="s">
        <v>62</v>
      </c>
      <c r="C1554" t="s">
        <v>89</v>
      </c>
      <c r="D1554" t="s">
        <v>25</v>
      </c>
      <c r="E1554">
        <v>1</v>
      </c>
      <c r="F1554" t="s">
        <v>69</v>
      </c>
      <c r="G1554">
        <v>3.49</v>
      </c>
      <c r="H1554">
        <v>3.09</v>
      </c>
      <c r="I1554" s="2" t="str">
        <f>_xlfn.XLOOKUP(F1554,DeparaIMG!D:D,DeparaIMG!F:F,,0)</f>
        <v>BUD269.png</v>
      </c>
    </row>
    <row r="1555" spans="1:9" x14ac:dyDescent="0.25">
      <c r="A1555" t="s">
        <v>155</v>
      </c>
      <c r="B1555" t="s">
        <v>62</v>
      </c>
      <c r="C1555" t="s">
        <v>89</v>
      </c>
      <c r="D1555" t="s">
        <v>26</v>
      </c>
      <c r="E1555">
        <v>1</v>
      </c>
      <c r="F1555" t="s">
        <v>69</v>
      </c>
      <c r="G1555">
        <v>3.49</v>
      </c>
      <c r="H1555">
        <v>3.09</v>
      </c>
      <c r="I1555" s="2" t="str">
        <f>_xlfn.XLOOKUP(F1555,DeparaIMG!D:D,DeparaIMG!F:F,,0)</f>
        <v>BUD269.png</v>
      </c>
    </row>
    <row r="1556" spans="1:9" x14ac:dyDescent="0.25">
      <c r="A1556" t="s">
        <v>155</v>
      </c>
      <c r="B1556" t="s">
        <v>62</v>
      </c>
      <c r="C1556" t="s">
        <v>173</v>
      </c>
      <c r="D1556" t="s">
        <v>26</v>
      </c>
      <c r="E1556">
        <v>1</v>
      </c>
      <c r="F1556" t="s">
        <v>69</v>
      </c>
      <c r="G1556">
        <v>3.49</v>
      </c>
      <c r="H1556">
        <v>3.09</v>
      </c>
      <c r="I1556" s="2" t="str">
        <f>_xlfn.XLOOKUP(F1556,DeparaIMG!D:D,DeparaIMG!F:F,,0)</f>
        <v>BUD269.png</v>
      </c>
    </row>
    <row r="1557" spans="1:9" x14ac:dyDescent="0.25">
      <c r="A1557" t="s">
        <v>155</v>
      </c>
      <c r="B1557" t="s">
        <v>62</v>
      </c>
      <c r="C1557" t="s">
        <v>173</v>
      </c>
      <c r="D1557" t="s">
        <v>25</v>
      </c>
      <c r="E1557">
        <v>1</v>
      </c>
      <c r="F1557" t="s">
        <v>69</v>
      </c>
      <c r="G1557">
        <v>3.49</v>
      </c>
      <c r="H1557">
        <v>3.09</v>
      </c>
      <c r="I1557" s="2" t="str">
        <f>_xlfn.XLOOKUP(F1557,DeparaIMG!D:D,DeparaIMG!F:F,,0)</f>
        <v>BUD269.png</v>
      </c>
    </row>
    <row r="1558" spans="1:9" x14ac:dyDescent="0.25">
      <c r="A1558" t="s">
        <v>155</v>
      </c>
      <c r="B1558" t="s">
        <v>62</v>
      </c>
      <c r="C1558" t="s">
        <v>112</v>
      </c>
      <c r="D1558" t="s">
        <v>25</v>
      </c>
      <c r="E1558">
        <v>1</v>
      </c>
      <c r="F1558" t="s">
        <v>69</v>
      </c>
      <c r="G1558">
        <v>3.49</v>
      </c>
      <c r="H1558">
        <v>3.09</v>
      </c>
      <c r="I1558" s="2" t="str">
        <f>_xlfn.XLOOKUP(F1558,DeparaIMG!D:D,DeparaIMG!F:F,,0)</f>
        <v>BUD269.png</v>
      </c>
    </row>
    <row r="1559" spans="1:9" x14ac:dyDescent="0.25">
      <c r="A1559" t="s">
        <v>155</v>
      </c>
      <c r="B1559" t="s">
        <v>62</v>
      </c>
      <c r="C1559" t="s">
        <v>29</v>
      </c>
      <c r="D1559" t="s">
        <v>25</v>
      </c>
      <c r="E1559">
        <v>1</v>
      </c>
      <c r="F1559" t="s">
        <v>69</v>
      </c>
      <c r="G1559">
        <v>3.49</v>
      </c>
      <c r="H1559">
        <v>3.09</v>
      </c>
      <c r="I1559" s="2" t="str">
        <f>_xlfn.XLOOKUP(F1559,DeparaIMG!D:D,DeparaIMG!F:F,,0)</f>
        <v>BUD269.png</v>
      </c>
    </row>
    <row r="1560" spans="1:9" x14ac:dyDescent="0.25">
      <c r="A1560" t="s">
        <v>155</v>
      </c>
      <c r="B1560" t="s">
        <v>62</v>
      </c>
      <c r="C1560" t="s">
        <v>87</v>
      </c>
      <c r="D1560" t="s">
        <v>25</v>
      </c>
      <c r="E1560">
        <v>1</v>
      </c>
      <c r="F1560" t="s">
        <v>69</v>
      </c>
      <c r="G1560">
        <v>3.49</v>
      </c>
      <c r="H1560">
        <v>3.09</v>
      </c>
      <c r="I1560" s="2" t="str">
        <f>_xlfn.XLOOKUP(F1560,DeparaIMG!D:D,DeparaIMG!F:F,,0)</f>
        <v>BUD269.png</v>
      </c>
    </row>
    <row r="1561" spans="1:9" x14ac:dyDescent="0.25">
      <c r="A1561" t="s">
        <v>155</v>
      </c>
      <c r="B1561" t="s">
        <v>62</v>
      </c>
      <c r="C1561" t="s">
        <v>87</v>
      </c>
      <c r="D1561" t="s">
        <v>26</v>
      </c>
      <c r="E1561">
        <v>1</v>
      </c>
      <c r="F1561" t="s">
        <v>69</v>
      </c>
      <c r="G1561">
        <v>3.49</v>
      </c>
      <c r="H1561">
        <v>3.09</v>
      </c>
      <c r="I1561" s="2" t="str">
        <f>_xlfn.XLOOKUP(F1561,DeparaIMG!D:D,DeparaIMG!F:F,,0)</f>
        <v>BUD269.png</v>
      </c>
    </row>
    <row r="1562" spans="1:9" x14ac:dyDescent="0.25">
      <c r="A1562" t="s">
        <v>155</v>
      </c>
      <c r="B1562" t="s">
        <v>62</v>
      </c>
      <c r="C1562" t="s">
        <v>112</v>
      </c>
      <c r="D1562" t="s">
        <v>25</v>
      </c>
      <c r="E1562">
        <v>1</v>
      </c>
      <c r="F1562" t="s">
        <v>70</v>
      </c>
      <c r="G1562">
        <v>3.69</v>
      </c>
      <c r="H1562">
        <v>3.19</v>
      </c>
      <c r="I1562" s="2" t="str">
        <f>_xlfn.XLOOKUP(F1562,DeparaIMG!D:D,DeparaIMG!F:F,,0)</f>
        <v>BC0350.png</v>
      </c>
    </row>
    <row r="1563" spans="1:9" x14ac:dyDescent="0.25">
      <c r="A1563" t="s">
        <v>155</v>
      </c>
      <c r="B1563" t="s">
        <v>62</v>
      </c>
      <c r="C1563" t="s">
        <v>112</v>
      </c>
      <c r="D1563" t="s">
        <v>25</v>
      </c>
      <c r="E1563">
        <v>2</v>
      </c>
      <c r="F1563" t="s">
        <v>70</v>
      </c>
      <c r="G1563">
        <v>3.69</v>
      </c>
      <c r="H1563">
        <v>3.19</v>
      </c>
      <c r="I1563" s="2" t="str">
        <f>_xlfn.XLOOKUP(F1563,DeparaIMG!D:D,DeparaIMG!F:F,,0)</f>
        <v>BC0350.png</v>
      </c>
    </row>
    <row r="1564" spans="1:9" x14ac:dyDescent="0.25">
      <c r="A1564" t="s">
        <v>155</v>
      </c>
      <c r="B1564" t="s">
        <v>62</v>
      </c>
      <c r="C1564" t="s">
        <v>29</v>
      </c>
      <c r="D1564" t="s">
        <v>25</v>
      </c>
      <c r="E1564">
        <v>1</v>
      </c>
      <c r="F1564" t="s">
        <v>70</v>
      </c>
      <c r="G1564">
        <v>3.69</v>
      </c>
      <c r="H1564">
        <v>3.19</v>
      </c>
      <c r="I1564" s="2" t="str">
        <f>_xlfn.XLOOKUP(F1564,DeparaIMG!D:D,DeparaIMG!F:F,,0)</f>
        <v>BC0350.png</v>
      </c>
    </row>
    <row r="1565" spans="1:9" x14ac:dyDescent="0.25">
      <c r="A1565" t="s">
        <v>155</v>
      </c>
      <c r="B1565" t="s">
        <v>62</v>
      </c>
      <c r="C1565" t="s">
        <v>29</v>
      </c>
      <c r="D1565" t="s">
        <v>25</v>
      </c>
      <c r="E1565">
        <v>2</v>
      </c>
      <c r="F1565" t="s">
        <v>70</v>
      </c>
      <c r="G1565">
        <v>3.69</v>
      </c>
      <c r="H1565">
        <v>3.19</v>
      </c>
      <c r="I1565" s="2" t="str">
        <f>_xlfn.XLOOKUP(F1565,DeparaIMG!D:D,DeparaIMG!F:F,,0)</f>
        <v>BC0350.png</v>
      </c>
    </row>
    <row r="1566" spans="1:9" x14ac:dyDescent="0.25">
      <c r="A1566" t="s">
        <v>155</v>
      </c>
      <c r="B1566" t="s">
        <v>62</v>
      </c>
      <c r="C1566" t="s">
        <v>88</v>
      </c>
      <c r="D1566" t="s">
        <v>25</v>
      </c>
      <c r="E1566">
        <v>1</v>
      </c>
      <c r="F1566" t="s">
        <v>70</v>
      </c>
      <c r="G1566">
        <v>3.69</v>
      </c>
      <c r="H1566">
        <v>3.19</v>
      </c>
      <c r="I1566" s="2" t="str">
        <f>_xlfn.XLOOKUP(F1566,DeparaIMG!D:D,DeparaIMG!F:F,,0)</f>
        <v>BC0350.png</v>
      </c>
    </row>
    <row r="1567" spans="1:9" x14ac:dyDescent="0.25">
      <c r="A1567" t="s">
        <v>155</v>
      </c>
      <c r="B1567" t="s">
        <v>62</v>
      </c>
      <c r="C1567" t="s">
        <v>88</v>
      </c>
      <c r="D1567" t="s">
        <v>25</v>
      </c>
      <c r="E1567">
        <v>2</v>
      </c>
      <c r="F1567" t="s">
        <v>70</v>
      </c>
      <c r="G1567">
        <v>3.79</v>
      </c>
      <c r="H1567">
        <v>3.29</v>
      </c>
      <c r="I1567" s="2" t="str">
        <f>_xlfn.XLOOKUP(F1567,DeparaIMG!D:D,DeparaIMG!F:F,,0)</f>
        <v>BC0350.png</v>
      </c>
    </row>
    <row r="1568" spans="1:9" x14ac:dyDescent="0.25">
      <c r="A1568" t="s">
        <v>155</v>
      </c>
      <c r="B1568" t="s">
        <v>62</v>
      </c>
      <c r="C1568" t="s">
        <v>113</v>
      </c>
      <c r="D1568" t="s">
        <v>25</v>
      </c>
      <c r="E1568">
        <v>1</v>
      </c>
      <c r="F1568" t="s">
        <v>70</v>
      </c>
      <c r="G1568">
        <v>3.69</v>
      </c>
      <c r="H1568">
        <v>3.19</v>
      </c>
      <c r="I1568" s="2" t="str">
        <f>_xlfn.XLOOKUP(F1568,DeparaIMG!D:D,DeparaIMG!F:F,,0)</f>
        <v>BC0350.png</v>
      </c>
    </row>
    <row r="1569" spans="1:9" x14ac:dyDescent="0.25">
      <c r="A1569" t="s">
        <v>155</v>
      </c>
      <c r="B1569" t="s">
        <v>62</v>
      </c>
      <c r="C1569" t="s">
        <v>113</v>
      </c>
      <c r="D1569" t="s">
        <v>25</v>
      </c>
      <c r="E1569">
        <v>2</v>
      </c>
      <c r="F1569" t="s">
        <v>70</v>
      </c>
      <c r="G1569">
        <v>3.69</v>
      </c>
      <c r="H1569">
        <v>3.19</v>
      </c>
      <c r="I1569" s="2" t="str">
        <f>_xlfn.XLOOKUP(F1569,DeparaIMG!D:D,DeparaIMG!F:F,,0)</f>
        <v>BC0350.png</v>
      </c>
    </row>
    <row r="1570" spans="1:9" x14ac:dyDescent="0.25">
      <c r="A1570" t="s">
        <v>155</v>
      </c>
      <c r="B1570" t="s">
        <v>62</v>
      </c>
      <c r="C1570" t="s">
        <v>89</v>
      </c>
      <c r="D1570" t="s">
        <v>25</v>
      </c>
      <c r="E1570">
        <v>1</v>
      </c>
      <c r="F1570" t="s">
        <v>70</v>
      </c>
      <c r="G1570">
        <v>3.69</v>
      </c>
      <c r="H1570">
        <v>3.19</v>
      </c>
      <c r="I1570" s="2" t="str">
        <f>_xlfn.XLOOKUP(F1570,DeparaIMG!D:D,DeparaIMG!F:F,,0)</f>
        <v>BC0350.png</v>
      </c>
    </row>
    <row r="1571" spans="1:9" x14ac:dyDescent="0.25">
      <c r="A1571" t="s">
        <v>155</v>
      </c>
      <c r="B1571" t="s">
        <v>62</v>
      </c>
      <c r="C1571" t="s">
        <v>173</v>
      </c>
      <c r="D1571" t="s">
        <v>25</v>
      </c>
      <c r="E1571">
        <v>1</v>
      </c>
      <c r="F1571" t="s">
        <v>70</v>
      </c>
      <c r="G1571">
        <v>3.69</v>
      </c>
      <c r="H1571">
        <v>3.19</v>
      </c>
      <c r="I1571" s="2" t="str">
        <f>_xlfn.XLOOKUP(F1571,DeparaIMG!D:D,DeparaIMG!F:F,,0)</f>
        <v>BC0350.png</v>
      </c>
    </row>
    <row r="1572" spans="1:9" x14ac:dyDescent="0.25">
      <c r="A1572" t="s">
        <v>155</v>
      </c>
      <c r="B1572" t="s">
        <v>62</v>
      </c>
      <c r="C1572" t="s">
        <v>87</v>
      </c>
      <c r="D1572" t="s">
        <v>25</v>
      </c>
      <c r="E1572">
        <v>1</v>
      </c>
      <c r="F1572" t="s">
        <v>70</v>
      </c>
      <c r="G1572">
        <v>3.69</v>
      </c>
      <c r="H1572">
        <v>3.19</v>
      </c>
      <c r="I1572" s="2" t="str">
        <f>_xlfn.XLOOKUP(F1572,DeparaIMG!D:D,DeparaIMG!F:F,,0)</f>
        <v>BC0350.png</v>
      </c>
    </row>
    <row r="1573" spans="1:9" x14ac:dyDescent="0.25">
      <c r="A1573" t="s">
        <v>155</v>
      </c>
      <c r="B1573" t="s">
        <v>62</v>
      </c>
      <c r="C1573" t="s">
        <v>87</v>
      </c>
      <c r="D1573" t="s">
        <v>25</v>
      </c>
      <c r="E1573">
        <v>2</v>
      </c>
      <c r="F1573" t="s">
        <v>70</v>
      </c>
      <c r="G1573">
        <v>3.69</v>
      </c>
      <c r="H1573">
        <v>3.19</v>
      </c>
      <c r="I1573" s="2" t="str">
        <f>_xlfn.XLOOKUP(F1573,DeparaIMG!D:D,DeparaIMG!F:F,,0)</f>
        <v>BC0350.png</v>
      </c>
    </row>
    <row r="1574" spans="1:9" x14ac:dyDescent="0.25">
      <c r="A1574" t="s">
        <v>155</v>
      </c>
      <c r="B1574" t="s">
        <v>62</v>
      </c>
      <c r="C1574" t="s">
        <v>88</v>
      </c>
      <c r="D1574" t="s">
        <v>26</v>
      </c>
      <c r="E1574">
        <v>2</v>
      </c>
      <c r="F1574" t="s">
        <v>118</v>
      </c>
      <c r="G1574">
        <v>3.79</v>
      </c>
      <c r="H1574">
        <v>3.49</v>
      </c>
      <c r="I1574" s="2" t="str">
        <f>_xlfn.XLOOKUP(F1574,DeparaIMG!D:D,DeparaIMG!F:F,,0)</f>
        <v>ORI269MP.png</v>
      </c>
    </row>
    <row r="1575" spans="1:9" x14ac:dyDescent="0.25">
      <c r="A1575" t="s">
        <v>155</v>
      </c>
      <c r="B1575" t="s">
        <v>62</v>
      </c>
      <c r="C1575" t="s">
        <v>113</v>
      </c>
      <c r="D1575" t="s">
        <v>26</v>
      </c>
      <c r="E1575">
        <v>1</v>
      </c>
      <c r="F1575" t="s">
        <v>71</v>
      </c>
      <c r="G1575">
        <v>3.79</v>
      </c>
      <c r="H1575">
        <v>3.49</v>
      </c>
      <c r="I1575" s="2" t="str">
        <f>_xlfn.XLOOKUP(F1575,DeparaIMG!D:D,DeparaIMG!F:F,,0)</f>
        <v>BC350.png</v>
      </c>
    </row>
    <row r="1576" spans="1:9" x14ac:dyDescent="0.25">
      <c r="A1576" t="s">
        <v>155</v>
      </c>
      <c r="B1576" t="s">
        <v>62</v>
      </c>
      <c r="C1576" t="s">
        <v>29</v>
      </c>
      <c r="D1576" t="s">
        <v>26</v>
      </c>
      <c r="E1576">
        <v>1</v>
      </c>
      <c r="F1576" t="s">
        <v>71</v>
      </c>
      <c r="G1576">
        <v>3.79</v>
      </c>
      <c r="H1576">
        <v>3.29</v>
      </c>
      <c r="I1576" s="2" t="str">
        <f>_xlfn.XLOOKUP(F1576,DeparaIMG!D:D,DeparaIMG!F:F,,0)</f>
        <v>BC350.png</v>
      </c>
    </row>
    <row r="1577" spans="1:9" x14ac:dyDescent="0.25">
      <c r="A1577" t="s">
        <v>155</v>
      </c>
      <c r="B1577" t="s">
        <v>62</v>
      </c>
      <c r="C1577" t="s">
        <v>113</v>
      </c>
      <c r="D1577" t="s">
        <v>25</v>
      </c>
      <c r="E1577">
        <v>2</v>
      </c>
      <c r="F1577" t="s">
        <v>64</v>
      </c>
      <c r="G1577">
        <v>3.79</v>
      </c>
      <c r="H1577">
        <v>3.59</v>
      </c>
      <c r="I1577" s="2" t="str">
        <f>_xlfn.XLOOKUP(F1577,DeparaIMG!D:D,DeparaIMG!F:F,,0)</f>
        <v>SKZERO350.png</v>
      </c>
    </row>
    <row r="1578" spans="1:9" x14ac:dyDescent="0.25">
      <c r="A1578" t="s">
        <v>155</v>
      </c>
      <c r="B1578" t="s">
        <v>62</v>
      </c>
      <c r="C1578" t="s">
        <v>112</v>
      </c>
      <c r="D1578" t="s">
        <v>25</v>
      </c>
      <c r="E1578">
        <v>2</v>
      </c>
      <c r="F1578" t="s">
        <v>64</v>
      </c>
      <c r="G1578">
        <v>3.89</v>
      </c>
      <c r="H1578">
        <v>3.69</v>
      </c>
      <c r="I1578" s="2" t="str">
        <f>_xlfn.XLOOKUP(F1578,DeparaIMG!D:D,DeparaIMG!F:F,,0)</f>
        <v>SKZERO350.png</v>
      </c>
    </row>
    <row r="1579" spans="1:9" x14ac:dyDescent="0.25">
      <c r="A1579" t="s">
        <v>155</v>
      </c>
      <c r="B1579" t="s">
        <v>62</v>
      </c>
      <c r="C1579" t="s">
        <v>29</v>
      </c>
      <c r="D1579" t="s">
        <v>25</v>
      </c>
      <c r="E1579">
        <v>2</v>
      </c>
      <c r="F1579" t="s">
        <v>64</v>
      </c>
      <c r="G1579">
        <v>3.89</v>
      </c>
      <c r="H1579">
        <v>3.69</v>
      </c>
      <c r="I1579" s="2" t="str">
        <f>_xlfn.XLOOKUP(F1579,DeparaIMG!D:D,DeparaIMG!F:F,,0)</f>
        <v>SKZERO350.png</v>
      </c>
    </row>
    <row r="1580" spans="1:9" x14ac:dyDescent="0.25">
      <c r="A1580" t="s">
        <v>155</v>
      </c>
      <c r="B1580" t="s">
        <v>62</v>
      </c>
      <c r="C1580" t="s">
        <v>88</v>
      </c>
      <c r="D1580" t="s">
        <v>25</v>
      </c>
      <c r="E1580">
        <v>2</v>
      </c>
      <c r="F1580" t="s">
        <v>72</v>
      </c>
      <c r="G1580">
        <v>3.99</v>
      </c>
      <c r="H1580">
        <v>3.69</v>
      </c>
      <c r="I1580" s="2" t="str">
        <f>_xlfn.XLOOKUP(F1580,DeparaIMG!D:D,DeparaIMG!F:F,,0)</f>
        <v>ORI269.png</v>
      </c>
    </row>
    <row r="1581" spans="1:9" x14ac:dyDescent="0.25">
      <c r="A1581" t="s">
        <v>155</v>
      </c>
      <c r="B1581" t="s">
        <v>62</v>
      </c>
      <c r="C1581" t="s">
        <v>88</v>
      </c>
      <c r="D1581" t="s">
        <v>26</v>
      </c>
      <c r="E1581">
        <v>2</v>
      </c>
      <c r="F1581" t="s">
        <v>72</v>
      </c>
      <c r="G1581">
        <v>3.99</v>
      </c>
      <c r="H1581">
        <v>3.69</v>
      </c>
      <c r="I1581" s="2" t="str">
        <f>_xlfn.XLOOKUP(F1581,DeparaIMG!D:D,DeparaIMG!F:F,,0)</f>
        <v>ORI269.png</v>
      </c>
    </row>
    <row r="1582" spans="1:9" x14ac:dyDescent="0.25">
      <c r="A1582" t="s">
        <v>155</v>
      </c>
      <c r="B1582" t="s">
        <v>62</v>
      </c>
      <c r="C1582" t="s">
        <v>112</v>
      </c>
      <c r="D1582" t="s">
        <v>25</v>
      </c>
      <c r="E1582">
        <v>2</v>
      </c>
      <c r="F1582" t="s">
        <v>72</v>
      </c>
      <c r="G1582">
        <v>3.99</v>
      </c>
      <c r="H1582">
        <v>3.69</v>
      </c>
      <c r="I1582" s="2" t="str">
        <f>_xlfn.XLOOKUP(F1582,DeparaIMG!D:D,DeparaIMG!F:F,,0)</f>
        <v>ORI269.png</v>
      </c>
    </row>
    <row r="1583" spans="1:9" x14ac:dyDescent="0.25">
      <c r="A1583" t="s">
        <v>155</v>
      </c>
      <c r="B1583" t="s">
        <v>62</v>
      </c>
      <c r="C1583" t="s">
        <v>29</v>
      </c>
      <c r="D1583" t="s">
        <v>25</v>
      </c>
      <c r="E1583">
        <v>2</v>
      </c>
      <c r="F1583" t="s">
        <v>72</v>
      </c>
      <c r="G1583">
        <v>3.99</v>
      </c>
      <c r="H1583">
        <v>3.69</v>
      </c>
      <c r="I1583" s="2" t="str">
        <f>_xlfn.XLOOKUP(F1583,DeparaIMG!D:D,DeparaIMG!F:F,,0)</f>
        <v>ORI269.png</v>
      </c>
    </row>
    <row r="1584" spans="1:9" x14ac:dyDescent="0.25">
      <c r="A1584" t="s">
        <v>155</v>
      </c>
      <c r="B1584" t="s">
        <v>62</v>
      </c>
      <c r="C1584" t="s">
        <v>112</v>
      </c>
      <c r="D1584" t="s">
        <v>26</v>
      </c>
      <c r="E1584">
        <v>2</v>
      </c>
      <c r="F1584" t="s">
        <v>72</v>
      </c>
      <c r="G1584">
        <v>3.99</v>
      </c>
      <c r="H1584">
        <v>3.69</v>
      </c>
      <c r="I1584" s="2" t="str">
        <f>_xlfn.XLOOKUP(F1584,DeparaIMG!D:D,DeparaIMG!F:F,,0)</f>
        <v>ORI269.png</v>
      </c>
    </row>
    <row r="1585" spans="1:9" x14ac:dyDescent="0.25">
      <c r="A1585" t="s">
        <v>155</v>
      </c>
      <c r="B1585" t="s">
        <v>62</v>
      </c>
      <c r="C1585" t="s">
        <v>29</v>
      </c>
      <c r="D1585" t="s">
        <v>26</v>
      </c>
      <c r="E1585">
        <v>2</v>
      </c>
      <c r="F1585" t="s">
        <v>72</v>
      </c>
      <c r="G1585">
        <v>3.99</v>
      </c>
      <c r="H1585">
        <v>3.69</v>
      </c>
      <c r="I1585" s="2" t="str">
        <f>_xlfn.XLOOKUP(F1585,DeparaIMG!D:D,DeparaIMG!F:F,,0)</f>
        <v>ORI269.png</v>
      </c>
    </row>
    <row r="1586" spans="1:9" x14ac:dyDescent="0.25">
      <c r="A1586" t="s">
        <v>155</v>
      </c>
      <c r="B1586" t="s">
        <v>62</v>
      </c>
      <c r="C1586" t="s">
        <v>87</v>
      </c>
      <c r="D1586" t="s">
        <v>25</v>
      </c>
      <c r="E1586">
        <v>2</v>
      </c>
      <c r="F1586" t="s">
        <v>72</v>
      </c>
      <c r="G1586">
        <v>3.99</v>
      </c>
      <c r="H1586">
        <v>3.69</v>
      </c>
      <c r="I1586" s="2" t="str">
        <f>_xlfn.XLOOKUP(F1586,DeparaIMG!D:D,DeparaIMG!F:F,,0)</f>
        <v>ORI269.png</v>
      </c>
    </row>
    <row r="1587" spans="1:9" x14ac:dyDescent="0.25">
      <c r="A1587" t="s">
        <v>155</v>
      </c>
      <c r="B1587" t="s">
        <v>62</v>
      </c>
      <c r="C1587" t="s">
        <v>87</v>
      </c>
      <c r="D1587" t="s">
        <v>26</v>
      </c>
      <c r="E1587">
        <v>2</v>
      </c>
      <c r="F1587" t="s">
        <v>72</v>
      </c>
      <c r="G1587">
        <v>3.99</v>
      </c>
      <c r="H1587">
        <v>3.69</v>
      </c>
      <c r="I1587" s="2" t="str">
        <f>_xlfn.XLOOKUP(F1587,DeparaIMG!D:D,DeparaIMG!F:F,,0)</f>
        <v>ORI269.png</v>
      </c>
    </row>
    <row r="1588" spans="1:9" x14ac:dyDescent="0.25">
      <c r="A1588" t="s">
        <v>155</v>
      </c>
      <c r="B1588" t="s">
        <v>62</v>
      </c>
      <c r="C1588" t="s">
        <v>113</v>
      </c>
      <c r="D1588" t="s">
        <v>25</v>
      </c>
      <c r="E1588">
        <v>2</v>
      </c>
      <c r="F1588" t="s">
        <v>72</v>
      </c>
      <c r="G1588">
        <v>3.99</v>
      </c>
      <c r="H1588">
        <v>3.69</v>
      </c>
      <c r="I1588" s="2" t="str">
        <f>_xlfn.XLOOKUP(F1588,DeparaIMG!D:D,DeparaIMG!F:F,,0)</f>
        <v>ORI269.png</v>
      </c>
    </row>
    <row r="1589" spans="1:9" x14ac:dyDescent="0.25">
      <c r="A1589" t="s">
        <v>155</v>
      </c>
      <c r="B1589" t="s">
        <v>62</v>
      </c>
      <c r="C1589" t="s">
        <v>113</v>
      </c>
      <c r="D1589" t="s">
        <v>26</v>
      </c>
      <c r="E1589">
        <v>2</v>
      </c>
      <c r="F1589" t="s">
        <v>72</v>
      </c>
      <c r="G1589">
        <v>3.99</v>
      </c>
      <c r="H1589">
        <v>3.69</v>
      </c>
      <c r="I1589" s="2" t="str">
        <f>_xlfn.XLOOKUP(F1589,DeparaIMG!D:D,DeparaIMG!F:F,,0)</f>
        <v>ORI269.png</v>
      </c>
    </row>
    <row r="1590" spans="1:9" x14ac:dyDescent="0.25">
      <c r="A1590" t="s">
        <v>155</v>
      </c>
      <c r="B1590" t="s">
        <v>62</v>
      </c>
      <c r="C1590" t="s">
        <v>112</v>
      </c>
      <c r="D1590" t="s">
        <v>26</v>
      </c>
      <c r="E1590">
        <v>2</v>
      </c>
      <c r="F1590" t="s">
        <v>73</v>
      </c>
      <c r="G1590">
        <v>3.99</v>
      </c>
      <c r="H1590">
        <v>3.69</v>
      </c>
      <c r="I1590" s="2" t="str">
        <f>_xlfn.XLOOKUP(F1590,DeparaIMG!D:D,DeparaIMG!F:F,,0)</f>
        <v>AP350.png</v>
      </c>
    </row>
    <row r="1591" spans="1:9" x14ac:dyDescent="0.25">
      <c r="A1591" t="s">
        <v>155</v>
      </c>
      <c r="B1591" t="s">
        <v>62</v>
      </c>
      <c r="C1591" t="s">
        <v>29</v>
      </c>
      <c r="D1591" t="s">
        <v>26</v>
      </c>
      <c r="E1591">
        <v>2</v>
      </c>
      <c r="F1591" t="s">
        <v>73</v>
      </c>
      <c r="G1591">
        <v>3.99</v>
      </c>
      <c r="H1591">
        <v>3.49</v>
      </c>
      <c r="I1591" s="2" t="str">
        <f>_xlfn.XLOOKUP(F1591,DeparaIMG!D:D,DeparaIMG!F:F,,0)</f>
        <v>AP350.png</v>
      </c>
    </row>
    <row r="1592" spans="1:9" x14ac:dyDescent="0.25">
      <c r="A1592" t="s">
        <v>155</v>
      </c>
      <c r="B1592" t="s">
        <v>62</v>
      </c>
      <c r="C1592" t="s">
        <v>112</v>
      </c>
      <c r="D1592" t="s">
        <v>26</v>
      </c>
      <c r="E1592">
        <v>1</v>
      </c>
      <c r="F1592" t="s">
        <v>70</v>
      </c>
      <c r="G1592">
        <v>3.99</v>
      </c>
      <c r="H1592">
        <v>3.49</v>
      </c>
      <c r="I1592" s="2" t="str">
        <f>_xlfn.XLOOKUP(F1592,DeparaIMG!D:D,DeparaIMG!F:F,,0)</f>
        <v>BC0350.png</v>
      </c>
    </row>
    <row r="1593" spans="1:9" x14ac:dyDescent="0.25">
      <c r="A1593" t="s">
        <v>155</v>
      </c>
      <c r="B1593" t="s">
        <v>62</v>
      </c>
      <c r="C1593" t="s">
        <v>112</v>
      </c>
      <c r="D1593" t="s">
        <v>26</v>
      </c>
      <c r="E1593">
        <v>2</v>
      </c>
      <c r="F1593" t="s">
        <v>70</v>
      </c>
      <c r="G1593">
        <v>3.99</v>
      </c>
      <c r="H1593">
        <v>3.49</v>
      </c>
      <c r="I1593" s="2" t="str">
        <f>_xlfn.XLOOKUP(F1593,DeparaIMG!D:D,DeparaIMG!F:F,,0)</f>
        <v>BC0350.png</v>
      </c>
    </row>
    <row r="1594" spans="1:9" x14ac:dyDescent="0.25">
      <c r="A1594" t="s">
        <v>155</v>
      </c>
      <c r="B1594" t="s">
        <v>62</v>
      </c>
      <c r="C1594" t="s">
        <v>87</v>
      </c>
      <c r="D1594" t="s">
        <v>26</v>
      </c>
      <c r="E1594">
        <v>1</v>
      </c>
      <c r="F1594" t="s">
        <v>70</v>
      </c>
      <c r="G1594">
        <v>3.99</v>
      </c>
      <c r="H1594">
        <v>3.49</v>
      </c>
      <c r="I1594" s="2" t="str">
        <f>_xlfn.XLOOKUP(F1594,DeparaIMG!D:D,DeparaIMG!F:F,,0)</f>
        <v>BC0350.png</v>
      </c>
    </row>
    <row r="1595" spans="1:9" x14ac:dyDescent="0.25">
      <c r="A1595" t="s">
        <v>155</v>
      </c>
      <c r="B1595" t="s">
        <v>62</v>
      </c>
      <c r="C1595" t="s">
        <v>87</v>
      </c>
      <c r="D1595" t="s">
        <v>26</v>
      </c>
      <c r="E1595">
        <v>2</v>
      </c>
      <c r="F1595" t="s">
        <v>70</v>
      </c>
      <c r="G1595">
        <v>3.99</v>
      </c>
      <c r="H1595">
        <v>3.49</v>
      </c>
      <c r="I1595" s="2" t="str">
        <f>_xlfn.XLOOKUP(F1595,DeparaIMG!D:D,DeparaIMG!F:F,,0)</f>
        <v>BC0350.png</v>
      </c>
    </row>
    <row r="1596" spans="1:9" x14ac:dyDescent="0.25">
      <c r="A1596" t="s">
        <v>155</v>
      </c>
      <c r="B1596" t="s">
        <v>62</v>
      </c>
      <c r="C1596" t="s">
        <v>29</v>
      </c>
      <c r="D1596" t="s">
        <v>26</v>
      </c>
      <c r="E1596">
        <v>1</v>
      </c>
      <c r="F1596" t="s">
        <v>70</v>
      </c>
      <c r="G1596">
        <v>3.99</v>
      </c>
      <c r="H1596">
        <v>3.49</v>
      </c>
      <c r="I1596" s="2" t="str">
        <f>_xlfn.XLOOKUP(F1596,DeparaIMG!D:D,DeparaIMG!F:F,,0)</f>
        <v>BC0350.png</v>
      </c>
    </row>
    <row r="1597" spans="1:9" x14ac:dyDescent="0.25">
      <c r="A1597" t="s">
        <v>155</v>
      </c>
      <c r="B1597" t="s">
        <v>62</v>
      </c>
      <c r="C1597" t="s">
        <v>29</v>
      </c>
      <c r="D1597" t="s">
        <v>26</v>
      </c>
      <c r="E1597">
        <v>2</v>
      </c>
      <c r="F1597" t="s">
        <v>70</v>
      </c>
      <c r="G1597">
        <v>3.99</v>
      </c>
      <c r="H1597">
        <v>3.49</v>
      </c>
      <c r="I1597" s="2" t="str">
        <f>_xlfn.XLOOKUP(F1597,DeparaIMG!D:D,DeparaIMG!F:F,,0)</f>
        <v>BC0350.png</v>
      </c>
    </row>
    <row r="1598" spans="1:9" x14ac:dyDescent="0.25">
      <c r="A1598" t="s">
        <v>155</v>
      </c>
      <c r="B1598" t="s">
        <v>62</v>
      </c>
      <c r="C1598" t="s">
        <v>88</v>
      </c>
      <c r="D1598" t="s">
        <v>26</v>
      </c>
      <c r="E1598">
        <v>1</v>
      </c>
      <c r="F1598" t="s">
        <v>70</v>
      </c>
      <c r="G1598">
        <v>3.99</v>
      </c>
      <c r="H1598">
        <v>3.49</v>
      </c>
      <c r="I1598" s="2" t="str">
        <f>_xlfn.XLOOKUP(F1598,DeparaIMG!D:D,DeparaIMG!F:F,,0)</f>
        <v>BC0350.png</v>
      </c>
    </row>
    <row r="1599" spans="1:9" x14ac:dyDescent="0.25">
      <c r="A1599" t="s">
        <v>155</v>
      </c>
      <c r="B1599" t="s">
        <v>62</v>
      </c>
      <c r="C1599" t="s">
        <v>88</v>
      </c>
      <c r="D1599" t="s">
        <v>26</v>
      </c>
      <c r="E1599">
        <v>2</v>
      </c>
      <c r="F1599" t="s">
        <v>70</v>
      </c>
      <c r="G1599">
        <v>4.09</v>
      </c>
      <c r="H1599">
        <v>3.59</v>
      </c>
      <c r="I1599" s="2" t="str">
        <f>_xlfn.XLOOKUP(F1599,DeparaIMG!D:D,DeparaIMG!F:F,,0)</f>
        <v>BC0350.png</v>
      </c>
    </row>
    <row r="1600" spans="1:9" x14ac:dyDescent="0.25">
      <c r="A1600" t="s">
        <v>155</v>
      </c>
      <c r="B1600" t="s">
        <v>62</v>
      </c>
      <c r="C1600" t="s">
        <v>113</v>
      </c>
      <c r="D1600" t="s">
        <v>26</v>
      </c>
      <c r="E1600">
        <v>1</v>
      </c>
      <c r="F1600" t="s">
        <v>70</v>
      </c>
      <c r="G1600">
        <v>3.99</v>
      </c>
      <c r="H1600">
        <v>3.49</v>
      </c>
      <c r="I1600" s="2" t="str">
        <f>_xlfn.XLOOKUP(F1600,DeparaIMG!D:D,DeparaIMG!F:F,,0)</f>
        <v>BC0350.png</v>
      </c>
    </row>
    <row r="1601" spans="1:9" x14ac:dyDescent="0.25">
      <c r="A1601" t="s">
        <v>155</v>
      </c>
      <c r="B1601" t="s">
        <v>62</v>
      </c>
      <c r="C1601" t="s">
        <v>113</v>
      </c>
      <c r="D1601" t="s">
        <v>26</v>
      </c>
      <c r="E1601">
        <v>2</v>
      </c>
      <c r="F1601" t="s">
        <v>70</v>
      </c>
      <c r="G1601">
        <v>3.99</v>
      </c>
      <c r="H1601">
        <v>3.49</v>
      </c>
      <c r="I1601" s="2" t="str">
        <f>_xlfn.XLOOKUP(F1601,DeparaIMG!D:D,DeparaIMG!F:F,,0)</f>
        <v>BC0350.png</v>
      </c>
    </row>
    <row r="1602" spans="1:9" x14ac:dyDescent="0.25">
      <c r="A1602" t="s">
        <v>155</v>
      </c>
      <c r="B1602" t="s">
        <v>62</v>
      </c>
      <c r="C1602" t="s">
        <v>173</v>
      </c>
      <c r="D1602" t="s">
        <v>26</v>
      </c>
      <c r="E1602">
        <v>1</v>
      </c>
      <c r="F1602" t="s">
        <v>70</v>
      </c>
      <c r="G1602">
        <v>3.99</v>
      </c>
      <c r="H1602">
        <v>3.49</v>
      </c>
      <c r="I1602" s="2" t="str">
        <f>_xlfn.XLOOKUP(F1602,DeparaIMG!D:D,DeparaIMG!F:F,,0)</f>
        <v>BC0350.png</v>
      </c>
    </row>
    <row r="1603" spans="1:9" x14ac:dyDescent="0.25">
      <c r="A1603" t="s">
        <v>155</v>
      </c>
      <c r="B1603" t="s">
        <v>62</v>
      </c>
      <c r="C1603" t="s">
        <v>89</v>
      </c>
      <c r="D1603" t="s">
        <v>26</v>
      </c>
      <c r="E1603">
        <v>1</v>
      </c>
      <c r="F1603" t="s">
        <v>70</v>
      </c>
      <c r="G1603">
        <v>3.99</v>
      </c>
      <c r="H1603">
        <v>3.49</v>
      </c>
      <c r="I1603" s="2" t="str">
        <f>_xlfn.XLOOKUP(F1603,DeparaIMG!D:D,DeparaIMG!F:F,,0)</f>
        <v>BC0350.png</v>
      </c>
    </row>
    <row r="1604" spans="1:9" x14ac:dyDescent="0.25">
      <c r="A1604" t="s">
        <v>155</v>
      </c>
      <c r="B1604" t="s">
        <v>62</v>
      </c>
      <c r="C1604" t="s">
        <v>113</v>
      </c>
      <c r="D1604" t="s">
        <v>25</v>
      </c>
      <c r="E1604">
        <v>1</v>
      </c>
      <c r="F1604" t="s">
        <v>74</v>
      </c>
      <c r="G1604">
        <v>4.1900000000000004</v>
      </c>
      <c r="H1604">
        <v>3.19</v>
      </c>
      <c r="I1604" s="2" t="str">
        <f>_xlfn.XLOOKUP(F1604,DeparaIMG!D:D,DeparaIMG!F:F,,0)</f>
        <v>BUDZERO350.png</v>
      </c>
    </row>
    <row r="1605" spans="1:9" x14ac:dyDescent="0.25">
      <c r="A1605" t="s">
        <v>155</v>
      </c>
      <c r="B1605" t="s">
        <v>62</v>
      </c>
      <c r="C1605" t="s">
        <v>113</v>
      </c>
      <c r="D1605" t="s">
        <v>26</v>
      </c>
      <c r="E1605">
        <v>1</v>
      </c>
      <c r="F1605" t="s">
        <v>74</v>
      </c>
      <c r="G1605">
        <v>4.1900000000000004</v>
      </c>
      <c r="H1605">
        <v>3.19</v>
      </c>
      <c r="I1605" s="2" t="str">
        <f>_xlfn.XLOOKUP(F1605,DeparaIMG!D:D,DeparaIMG!F:F,,0)</f>
        <v>BUDZERO350.png</v>
      </c>
    </row>
    <row r="1606" spans="1:9" x14ac:dyDescent="0.25">
      <c r="A1606" t="s">
        <v>155</v>
      </c>
      <c r="B1606" t="s">
        <v>62</v>
      </c>
      <c r="C1606" t="s">
        <v>113</v>
      </c>
      <c r="D1606" t="s">
        <v>26</v>
      </c>
      <c r="E1606">
        <v>2</v>
      </c>
      <c r="F1606" t="s">
        <v>64</v>
      </c>
      <c r="G1606">
        <v>4.09</v>
      </c>
      <c r="H1606">
        <v>3.89</v>
      </c>
      <c r="I1606" s="2" t="str">
        <f>_xlfn.XLOOKUP(F1606,DeparaIMG!D:D,DeparaIMG!F:F,,0)</f>
        <v>SKZERO350.png</v>
      </c>
    </row>
    <row r="1607" spans="1:9" x14ac:dyDescent="0.25">
      <c r="A1607" t="s">
        <v>155</v>
      </c>
      <c r="B1607" t="s">
        <v>62</v>
      </c>
      <c r="C1607" t="s">
        <v>112</v>
      </c>
      <c r="D1607" t="s">
        <v>26</v>
      </c>
      <c r="E1607">
        <v>2</v>
      </c>
      <c r="F1607" t="s">
        <v>64</v>
      </c>
      <c r="G1607">
        <v>4.1900000000000004</v>
      </c>
      <c r="H1607">
        <v>3.99</v>
      </c>
      <c r="I1607" s="2" t="str">
        <f>_xlfn.XLOOKUP(F1607,DeparaIMG!D:D,DeparaIMG!F:F,,0)</f>
        <v>SKZERO350.png</v>
      </c>
    </row>
    <row r="1608" spans="1:9" x14ac:dyDescent="0.25">
      <c r="A1608" t="s">
        <v>155</v>
      </c>
      <c r="B1608" t="s">
        <v>62</v>
      </c>
      <c r="C1608" t="s">
        <v>29</v>
      </c>
      <c r="D1608" t="s">
        <v>26</v>
      </c>
      <c r="E1608">
        <v>2</v>
      </c>
      <c r="F1608" t="s">
        <v>64</v>
      </c>
      <c r="G1608">
        <v>4.1900000000000004</v>
      </c>
      <c r="H1608">
        <v>3.99</v>
      </c>
      <c r="I1608" s="2" t="str">
        <f>_xlfn.XLOOKUP(F1608,DeparaIMG!D:D,DeparaIMG!F:F,,0)</f>
        <v>SKZERO350.png</v>
      </c>
    </row>
    <row r="1609" spans="1:9" x14ac:dyDescent="0.25">
      <c r="A1609" t="s">
        <v>155</v>
      </c>
      <c r="B1609" t="s">
        <v>62</v>
      </c>
      <c r="C1609" t="s">
        <v>87</v>
      </c>
      <c r="D1609" t="s">
        <v>26</v>
      </c>
      <c r="E1609">
        <v>2</v>
      </c>
      <c r="F1609" t="s">
        <v>75</v>
      </c>
      <c r="G1609">
        <v>4.29</v>
      </c>
      <c r="H1609">
        <v>3.49</v>
      </c>
      <c r="I1609" s="2" t="str">
        <f>_xlfn.XLOOKUP(F1609,DeparaIMG!D:D,DeparaIMG!F:F,,0)</f>
        <v>STE269.png</v>
      </c>
    </row>
    <row r="1610" spans="1:9" x14ac:dyDescent="0.25">
      <c r="A1610" t="s">
        <v>155</v>
      </c>
      <c r="B1610" t="s">
        <v>62</v>
      </c>
      <c r="C1610" t="s">
        <v>87</v>
      </c>
      <c r="D1610" t="s">
        <v>25</v>
      </c>
      <c r="E1610">
        <v>2</v>
      </c>
      <c r="F1610" t="s">
        <v>75</v>
      </c>
      <c r="G1610">
        <v>4.29</v>
      </c>
      <c r="H1610">
        <v>3.49</v>
      </c>
      <c r="I1610" s="2" t="str">
        <f>_xlfn.XLOOKUP(F1610,DeparaIMG!D:D,DeparaIMG!F:F,,0)</f>
        <v>STE269.png</v>
      </c>
    </row>
    <row r="1611" spans="1:9" x14ac:dyDescent="0.25">
      <c r="A1611" t="s">
        <v>155</v>
      </c>
      <c r="B1611" t="s">
        <v>62</v>
      </c>
      <c r="C1611" t="s">
        <v>88</v>
      </c>
      <c r="D1611" t="s">
        <v>25</v>
      </c>
      <c r="E1611">
        <v>2</v>
      </c>
      <c r="F1611" t="s">
        <v>75</v>
      </c>
      <c r="G1611">
        <v>4.29</v>
      </c>
      <c r="H1611">
        <v>3.49</v>
      </c>
      <c r="I1611" s="2" t="str">
        <f>_xlfn.XLOOKUP(F1611,DeparaIMG!D:D,DeparaIMG!F:F,,0)</f>
        <v>STE269.png</v>
      </c>
    </row>
    <row r="1612" spans="1:9" x14ac:dyDescent="0.25">
      <c r="A1612" t="s">
        <v>155</v>
      </c>
      <c r="B1612" t="s">
        <v>62</v>
      </c>
      <c r="C1612" t="s">
        <v>88</v>
      </c>
      <c r="D1612" t="s">
        <v>26</v>
      </c>
      <c r="E1612">
        <v>2</v>
      </c>
      <c r="F1612" t="s">
        <v>75</v>
      </c>
      <c r="G1612">
        <v>4.29</v>
      </c>
      <c r="H1612">
        <v>3.49</v>
      </c>
      <c r="I1612" s="2" t="str">
        <f>_xlfn.XLOOKUP(F1612,DeparaIMG!D:D,DeparaIMG!F:F,,0)</f>
        <v>STE269.png</v>
      </c>
    </row>
    <row r="1613" spans="1:9" x14ac:dyDescent="0.25">
      <c r="A1613" t="s">
        <v>155</v>
      </c>
      <c r="B1613" t="s">
        <v>62</v>
      </c>
      <c r="C1613" t="s">
        <v>113</v>
      </c>
      <c r="D1613" t="s">
        <v>26</v>
      </c>
      <c r="E1613">
        <v>1</v>
      </c>
      <c r="F1613" t="s">
        <v>76</v>
      </c>
      <c r="G1613">
        <v>4.29</v>
      </c>
      <c r="H1613">
        <v>3.69</v>
      </c>
      <c r="I1613" s="2" t="str">
        <f>_xlfn.XLOOKUP(F1613,DeparaIMG!D:D,DeparaIMG!F:F,,0)</f>
        <v>BUD350.png</v>
      </c>
    </row>
    <row r="1614" spans="1:9" x14ac:dyDescent="0.25">
      <c r="A1614" t="s">
        <v>155</v>
      </c>
      <c r="B1614" t="s">
        <v>62</v>
      </c>
      <c r="C1614" t="s">
        <v>112</v>
      </c>
      <c r="D1614" t="s">
        <v>25</v>
      </c>
      <c r="E1614">
        <v>1</v>
      </c>
      <c r="F1614" t="s">
        <v>74</v>
      </c>
      <c r="G1614">
        <v>4.49</v>
      </c>
      <c r="H1614">
        <v>3.49</v>
      </c>
      <c r="I1614" s="2" t="str">
        <f>_xlfn.XLOOKUP(F1614,DeparaIMG!D:D,DeparaIMG!F:F,,0)</f>
        <v>BUDZERO350.png</v>
      </c>
    </row>
    <row r="1615" spans="1:9" x14ac:dyDescent="0.25">
      <c r="A1615" t="s">
        <v>155</v>
      </c>
      <c r="B1615" t="s">
        <v>62</v>
      </c>
      <c r="C1615" t="s">
        <v>112</v>
      </c>
      <c r="D1615" t="s">
        <v>26</v>
      </c>
      <c r="E1615">
        <v>1</v>
      </c>
      <c r="F1615" t="s">
        <v>76</v>
      </c>
      <c r="G1615">
        <v>4.49</v>
      </c>
      <c r="H1615">
        <v>3.89</v>
      </c>
      <c r="I1615" s="2" t="str">
        <f>_xlfn.XLOOKUP(F1615,DeparaIMG!D:D,DeparaIMG!F:F,,0)</f>
        <v>BUD350.png</v>
      </c>
    </row>
    <row r="1616" spans="1:9" x14ac:dyDescent="0.25">
      <c r="A1616" t="s">
        <v>155</v>
      </c>
      <c r="B1616" t="s">
        <v>62</v>
      </c>
      <c r="C1616" t="s">
        <v>112</v>
      </c>
      <c r="D1616" t="s">
        <v>26</v>
      </c>
      <c r="E1616">
        <v>1</v>
      </c>
      <c r="F1616" t="s">
        <v>74</v>
      </c>
      <c r="G1616">
        <v>4.49</v>
      </c>
      <c r="H1616">
        <v>3.49</v>
      </c>
      <c r="I1616" s="2" t="str">
        <f>_xlfn.XLOOKUP(F1616,DeparaIMG!D:D,DeparaIMG!F:F,,0)</f>
        <v>BUDZERO350.png</v>
      </c>
    </row>
    <row r="1617" spans="1:9" x14ac:dyDescent="0.25">
      <c r="A1617" t="s">
        <v>155</v>
      </c>
      <c r="B1617" t="s">
        <v>62</v>
      </c>
      <c r="C1617" t="s">
        <v>29</v>
      </c>
      <c r="D1617" t="s">
        <v>25</v>
      </c>
      <c r="E1617">
        <v>1</v>
      </c>
      <c r="F1617" t="s">
        <v>74</v>
      </c>
      <c r="G1617">
        <v>4.49</v>
      </c>
      <c r="H1617">
        <v>3.49</v>
      </c>
      <c r="I1617" s="2" t="str">
        <f>_xlfn.XLOOKUP(F1617,DeparaIMG!D:D,DeparaIMG!F:F,,0)</f>
        <v>BUDZERO350.png</v>
      </c>
    </row>
    <row r="1618" spans="1:9" x14ac:dyDescent="0.25">
      <c r="A1618" t="s">
        <v>155</v>
      </c>
      <c r="B1618" t="s">
        <v>62</v>
      </c>
      <c r="C1618" t="s">
        <v>29</v>
      </c>
      <c r="D1618" t="s">
        <v>26</v>
      </c>
      <c r="E1618">
        <v>1</v>
      </c>
      <c r="F1618" t="s">
        <v>76</v>
      </c>
      <c r="G1618">
        <v>4.49</v>
      </c>
      <c r="H1618">
        <v>3.89</v>
      </c>
      <c r="I1618" s="2" t="str">
        <f>_xlfn.XLOOKUP(F1618,DeparaIMG!D:D,DeparaIMG!F:F,,0)</f>
        <v>BUD350.png</v>
      </c>
    </row>
    <row r="1619" spans="1:9" x14ac:dyDescent="0.25">
      <c r="A1619" t="s">
        <v>155</v>
      </c>
      <c r="B1619" t="s">
        <v>62</v>
      </c>
      <c r="C1619" t="s">
        <v>29</v>
      </c>
      <c r="D1619" t="s">
        <v>26</v>
      </c>
      <c r="E1619">
        <v>1</v>
      </c>
      <c r="F1619" t="s">
        <v>74</v>
      </c>
      <c r="G1619">
        <v>4.49</v>
      </c>
      <c r="H1619">
        <v>3.49</v>
      </c>
      <c r="I1619" s="2" t="str">
        <f>_xlfn.XLOOKUP(F1619,DeparaIMG!D:D,DeparaIMG!F:F,,0)</f>
        <v>BUDZERO350.png</v>
      </c>
    </row>
    <row r="1620" spans="1:9" x14ac:dyDescent="0.25">
      <c r="A1620" t="s">
        <v>155</v>
      </c>
      <c r="B1620" t="s">
        <v>62</v>
      </c>
      <c r="C1620" t="s">
        <v>87</v>
      </c>
      <c r="D1620" t="s">
        <v>25</v>
      </c>
      <c r="E1620">
        <v>1</v>
      </c>
      <c r="F1620" t="s">
        <v>74</v>
      </c>
      <c r="G1620">
        <v>4.49</v>
      </c>
      <c r="H1620">
        <v>3.49</v>
      </c>
      <c r="I1620" s="2" t="str">
        <f>_xlfn.XLOOKUP(F1620,DeparaIMG!D:D,DeparaIMG!F:F,,0)</f>
        <v>BUDZERO350.png</v>
      </c>
    </row>
    <row r="1621" spans="1:9" x14ac:dyDescent="0.25">
      <c r="A1621" t="s">
        <v>155</v>
      </c>
      <c r="B1621" t="s">
        <v>62</v>
      </c>
      <c r="C1621" t="s">
        <v>87</v>
      </c>
      <c r="D1621" t="s">
        <v>26</v>
      </c>
      <c r="E1621">
        <v>1</v>
      </c>
      <c r="F1621" t="s">
        <v>74</v>
      </c>
      <c r="G1621">
        <v>4.49</v>
      </c>
      <c r="H1621">
        <v>3.49</v>
      </c>
      <c r="I1621" s="2" t="str">
        <f>_xlfn.XLOOKUP(F1621,DeparaIMG!D:D,DeparaIMG!F:F,,0)</f>
        <v>BUDZERO350.png</v>
      </c>
    </row>
    <row r="1622" spans="1:9" x14ac:dyDescent="0.25">
      <c r="A1622" t="s">
        <v>155</v>
      </c>
      <c r="B1622" t="s">
        <v>62</v>
      </c>
      <c r="C1622" t="s">
        <v>88</v>
      </c>
      <c r="D1622" t="s">
        <v>25</v>
      </c>
      <c r="E1622">
        <v>1</v>
      </c>
      <c r="F1622" t="s">
        <v>74</v>
      </c>
      <c r="G1622">
        <v>4.49</v>
      </c>
      <c r="H1622">
        <v>3.49</v>
      </c>
      <c r="I1622" s="2" t="str">
        <f>_xlfn.XLOOKUP(F1622,DeparaIMG!D:D,DeparaIMG!F:F,,0)</f>
        <v>BUDZERO350.png</v>
      </c>
    </row>
    <row r="1623" spans="1:9" x14ac:dyDescent="0.25">
      <c r="A1623" t="s">
        <v>155</v>
      </c>
      <c r="B1623" t="s">
        <v>62</v>
      </c>
      <c r="C1623" t="s">
        <v>88</v>
      </c>
      <c r="D1623" t="s">
        <v>26</v>
      </c>
      <c r="E1623">
        <v>1</v>
      </c>
      <c r="F1623" t="s">
        <v>74</v>
      </c>
      <c r="G1623">
        <v>4.49</v>
      </c>
      <c r="H1623">
        <v>3.49</v>
      </c>
      <c r="I1623" s="2" t="str">
        <f>_xlfn.XLOOKUP(F1623,DeparaIMG!D:D,DeparaIMG!F:F,,0)</f>
        <v>BUDZERO350.png</v>
      </c>
    </row>
    <row r="1624" spans="1:9" x14ac:dyDescent="0.25">
      <c r="A1624" t="s">
        <v>155</v>
      </c>
      <c r="B1624" t="s">
        <v>62</v>
      </c>
      <c r="C1624" t="s">
        <v>89</v>
      </c>
      <c r="D1624" t="s">
        <v>26</v>
      </c>
      <c r="E1624">
        <v>1</v>
      </c>
      <c r="F1624" t="s">
        <v>74</v>
      </c>
      <c r="G1624">
        <v>4.49</v>
      </c>
      <c r="H1624">
        <v>3.49</v>
      </c>
      <c r="I1624" s="2" t="str">
        <f>_xlfn.XLOOKUP(F1624,DeparaIMG!D:D,DeparaIMG!F:F,,0)</f>
        <v>BUDZERO350.png</v>
      </c>
    </row>
    <row r="1625" spans="1:9" x14ac:dyDescent="0.25">
      <c r="A1625" t="s">
        <v>155</v>
      </c>
      <c r="B1625" t="s">
        <v>62</v>
      </c>
      <c r="C1625" t="s">
        <v>89</v>
      </c>
      <c r="D1625" t="s">
        <v>25</v>
      </c>
      <c r="E1625">
        <v>1</v>
      </c>
      <c r="F1625" t="s">
        <v>74</v>
      </c>
      <c r="G1625">
        <v>4.49</v>
      </c>
      <c r="H1625">
        <v>3.49</v>
      </c>
      <c r="I1625" s="2" t="str">
        <f>_xlfn.XLOOKUP(F1625,DeparaIMG!D:D,DeparaIMG!F:F,,0)</f>
        <v>BUDZERO350.png</v>
      </c>
    </row>
    <row r="1626" spans="1:9" x14ac:dyDescent="0.25">
      <c r="A1626" t="s">
        <v>155</v>
      </c>
      <c r="B1626" t="s">
        <v>62</v>
      </c>
      <c r="C1626" t="s">
        <v>173</v>
      </c>
      <c r="D1626" t="s">
        <v>25</v>
      </c>
      <c r="E1626">
        <v>1</v>
      </c>
      <c r="F1626" t="s">
        <v>74</v>
      </c>
      <c r="G1626">
        <v>4.49</v>
      </c>
      <c r="H1626">
        <v>3.49</v>
      </c>
      <c r="I1626" s="2" t="str">
        <f>_xlfn.XLOOKUP(F1626,DeparaIMG!D:D,DeparaIMG!F:F,,0)</f>
        <v>BUDZERO350.png</v>
      </c>
    </row>
    <row r="1627" spans="1:9" x14ac:dyDescent="0.25">
      <c r="A1627" t="s">
        <v>155</v>
      </c>
      <c r="B1627" t="s">
        <v>62</v>
      </c>
      <c r="C1627" t="s">
        <v>173</v>
      </c>
      <c r="D1627" t="s">
        <v>26</v>
      </c>
      <c r="E1627">
        <v>1</v>
      </c>
      <c r="F1627" t="s">
        <v>74</v>
      </c>
      <c r="G1627">
        <v>4.49</v>
      </c>
      <c r="H1627">
        <v>3.49</v>
      </c>
      <c r="I1627" s="2" t="str">
        <f>_xlfn.XLOOKUP(F1627,DeparaIMG!D:D,DeparaIMG!F:F,,0)</f>
        <v>BUDZERO350.png</v>
      </c>
    </row>
    <row r="1628" spans="1:9" x14ac:dyDescent="0.25">
      <c r="A1628" t="s">
        <v>155</v>
      </c>
      <c r="B1628" t="s">
        <v>62</v>
      </c>
      <c r="C1628" t="s">
        <v>87</v>
      </c>
      <c r="D1628" t="s">
        <v>26</v>
      </c>
      <c r="E1628">
        <v>2</v>
      </c>
      <c r="F1628" t="s">
        <v>77</v>
      </c>
      <c r="G1628">
        <v>4.79</v>
      </c>
      <c r="H1628">
        <v>4.29</v>
      </c>
      <c r="I1628" s="2" t="str">
        <f>_xlfn.XLOOKUP(F1628,DeparaIMG!D:D,DeparaIMG!F:F,,0)</f>
        <v>COR269.png</v>
      </c>
    </row>
    <row r="1629" spans="1:9" x14ac:dyDescent="0.25">
      <c r="A1629" t="s">
        <v>155</v>
      </c>
      <c r="B1629" t="s">
        <v>62</v>
      </c>
      <c r="C1629" t="s">
        <v>88</v>
      </c>
      <c r="D1629" t="s">
        <v>26</v>
      </c>
      <c r="E1629">
        <v>2</v>
      </c>
      <c r="F1629" t="s">
        <v>77</v>
      </c>
      <c r="G1629">
        <v>4.79</v>
      </c>
      <c r="H1629">
        <v>4.29</v>
      </c>
      <c r="I1629" s="2" t="str">
        <f>_xlfn.XLOOKUP(F1629,DeparaIMG!D:D,DeparaIMG!F:F,,0)</f>
        <v>COR269.png</v>
      </c>
    </row>
    <row r="1630" spans="1:9" x14ac:dyDescent="0.25">
      <c r="A1630" t="s">
        <v>155</v>
      </c>
      <c r="B1630" t="s">
        <v>62</v>
      </c>
      <c r="C1630" t="s">
        <v>112</v>
      </c>
      <c r="D1630" t="s">
        <v>26</v>
      </c>
      <c r="E1630">
        <v>2</v>
      </c>
      <c r="F1630" t="s">
        <v>65</v>
      </c>
      <c r="G1630">
        <v>5.59</v>
      </c>
      <c r="H1630">
        <v>4.79</v>
      </c>
      <c r="I1630" s="2" t="str">
        <f>_xlfn.XLOOKUP(F1630,DeparaIMG!D:D,DeparaIMG!F:F,,0)</f>
        <v>STE350.png</v>
      </c>
    </row>
    <row r="1631" spans="1:9" x14ac:dyDescent="0.25">
      <c r="A1631" t="s">
        <v>155</v>
      </c>
      <c r="B1631" t="s">
        <v>62</v>
      </c>
      <c r="C1631" t="s">
        <v>29</v>
      </c>
      <c r="D1631" t="s">
        <v>26</v>
      </c>
      <c r="E1631">
        <v>2</v>
      </c>
      <c r="F1631" t="s">
        <v>65</v>
      </c>
      <c r="G1631">
        <v>5.59</v>
      </c>
      <c r="H1631">
        <v>4.79</v>
      </c>
      <c r="I1631" s="2" t="str">
        <f>_xlfn.XLOOKUP(F1631,DeparaIMG!D:D,DeparaIMG!F:F,,0)</f>
        <v>STE350.png</v>
      </c>
    </row>
    <row r="1632" spans="1:9" x14ac:dyDescent="0.25">
      <c r="A1632" t="s">
        <v>155</v>
      </c>
      <c r="B1632" t="s">
        <v>62</v>
      </c>
      <c r="C1632" t="s">
        <v>112</v>
      </c>
      <c r="D1632" t="s">
        <v>25</v>
      </c>
      <c r="E1632">
        <v>1</v>
      </c>
      <c r="F1632" t="s">
        <v>78</v>
      </c>
      <c r="G1632">
        <v>5.49</v>
      </c>
      <c r="H1632">
        <v>4.99</v>
      </c>
      <c r="I1632" s="2" t="str">
        <f>_xlfn.XLOOKUP(F1632,DeparaIMG!D:D,DeparaIMG!F:F,,0)</f>
        <v>MIC350.png</v>
      </c>
    </row>
    <row r="1633" spans="1:9" x14ac:dyDescent="0.25">
      <c r="A1633" t="s">
        <v>155</v>
      </c>
      <c r="B1633" t="s">
        <v>62</v>
      </c>
      <c r="C1633" t="s">
        <v>112</v>
      </c>
      <c r="D1633" t="s">
        <v>26</v>
      </c>
      <c r="E1633">
        <v>1</v>
      </c>
      <c r="F1633" t="s">
        <v>78</v>
      </c>
      <c r="G1633">
        <v>5.49</v>
      </c>
      <c r="H1633">
        <v>4.99</v>
      </c>
      <c r="I1633" s="2" t="str">
        <f>_xlfn.XLOOKUP(F1633,DeparaIMG!D:D,DeparaIMG!F:F,,0)</f>
        <v>MIC350.png</v>
      </c>
    </row>
    <row r="1634" spans="1:9" x14ac:dyDescent="0.25">
      <c r="A1634" t="s">
        <v>155</v>
      </c>
      <c r="B1634" t="s">
        <v>62</v>
      </c>
      <c r="C1634" t="s">
        <v>29</v>
      </c>
      <c r="D1634" t="s">
        <v>25</v>
      </c>
      <c r="E1634">
        <v>1</v>
      </c>
      <c r="F1634" t="s">
        <v>78</v>
      </c>
      <c r="G1634">
        <v>5.49</v>
      </c>
      <c r="H1634">
        <v>4.99</v>
      </c>
      <c r="I1634" s="2" t="str">
        <f>_xlfn.XLOOKUP(F1634,DeparaIMG!D:D,DeparaIMG!F:F,,0)</f>
        <v>MIC350.png</v>
      </c>
    </row>
    <row r="1635" spans="1:9" x14ac:dyDescent="0.25">
      <c r="A1635" t="s">
        <v>155</v>
      </c>
      <c r="B1635" t="s">
        <v>62</v>
      </c>
      <c r="C1635" t="s">
        <v>29</v>
      </c>
      <c r="D1635" t="s">
        <v>26</v>
      </c>
      <c r="E1635">
        <v>1</v>
      </c>
      <c r="F1635" t="s">
        <v>78</v>
      </c>
      <c r="G1635">
        <v>5.49</v>
      </c>
      <c r="H1635">
        <v>4.99</v>
      </c>
      <c r="I1635" s="2" t="str">
        <f>_xlfn.XLOOKUP(F1635,DeparaIMG!D:D,DeparaIMG!F:F,,0)</f>
        <v>MIC350.png</v>
      </c>
    </row>
    <row r="1636" spans="1:9" x14ac:dyDescent="0.25">
      <c r="A1636" t="s">
        <v>155</v>
      </c>
      <c r="B1636" t="s">
        <v>62</v>
      </c>
      <c r="C1636" t="s">
        <v>87</v>
      </c>
      <c r="D1636" t="s">
        <v>25</v>
      </c>
      <c r="E1636">
        <v>1</v>
      </c>
      <c r="F1636" t="s">
        <v>78</v>
      </c>
      <c r="G1636">
        <v>5.49</v>
      </c>
      <c r="H1636">
        <v>4.99</v>
      </c>
      <c r="I1636" s="2" t="str">
        <f>_xlfn.XLOOKUP(F1636,DeparaIMG!D:D,DeparaIMG!F:F,,0)</f>
        <v>MIC350.png</v>
      </c>
    </row>
    <row r="1637" spans="1:9" x14ac:dyDescent="0.25">
      <c r="A1637" t="s">
        <v>155</v>
      </c>
      <c r="B1637" t="s">
        <v>62</v>
      </c>
      <c r="C1637" t="s">
        <v>87</v>
      </c>
      <c r="D1637" t="s">
        <v>26</v>
      </c>
      <c r="E1637">
        <v>1</v>
      </c>
      <c r="F1637" t="s">
        <v>78</v>
      </c>
      <c r="G1637">
        <v>5.49</v>
      </c>
      <c r="H1637">
        <v>4.99</v>
      </c>
      <c r="I1637" s="2" t="str">
        <f>_xlfn.XLOOKUP(F1637,DeparaIMG!D:D,DeparaIMG!F:F,,0)</f>
        <v>MIC350.png</v>
      </c>
    </row>
    <row r="1638" spans="1:9" x14ac:dyDescent="0.25">
      <c r="A1638" t="s">
        <v>155</v>
      </c>
      <c r="B1638" t="s">
        <v>62</v>
      </c>
      <c r="C1638" t="s">
        <v>113</v>
      </c>
      <c r="D1638" t="s">
        <v>25</v>
      </c>
      <c r="E1638">
        <v>1</v>
      </c>
      <c r="F1638" t="s">
        <v>78</v>
      </c>
      <c r="G1638">
        <v>5.49</v>
      </c>
      <c r="H1638">
        <v>4.99</v>
      </c>
      <c r="I1638" s="2" t="str">
        <f>_xlfn.XLOOKUP(F1638,DeparaIMG!D:D,DeparaIMG!F:F,,0)</f>
        <v>MIC350.png</v>
      </c>
    </row>
    <row r="1639" spans="1:9" x14ac:dyDescent="0.25">
      <c r="A1639" t="s">
        <v>155</v>
      </c>
      <c r="B1639" t="s">
        <v>62</v>
      </c>
      <c r="C1639" t="s">
        <v>113</v>
      </c>
      <c r="D1639" t="s">
        <v>26</v>
      </c>
      <c r="E1639">
        <v>1</v>
      </c>
      <c r="F1639" t="s">
        <v>78</v>
      </c>
      <c r="G1639">
        <v>5.49</v>
      </c>
      <c r="H1639">
        <v>4.99</v>
      </c>
      <c r="I1639" s="2" t="str">
        <f>_xlfn.XLOOKUP(F1639,DeparaIMG!D:D,DeparaIMG!F:F,,0)</f>
        <v>MIC350.png</v>
      </c>
    </row>
    <row r="1640" spans="1:9" x14ac:dyDescent="0.25">
      <c r="A1640" t="s">
        <v>155</v>
      </c>
      <c r="B1640" t="s">
        <v>62</v>
      </c>
      <c r="C1640" t="s">
        <v>112</v>
      </c>
      <c r="D1640" t="s">
        <v>25</v>
      </c>
      <c r="E1640">
        <v>2</v>
      </c>
      <c r="F1640" t="s">
        <v>65</v>
      </c>
      <c r="G1640">
        <v>5.59</v>
      </c>
      <c r="H1640">
        <v>4.79</v>
      </c>
      <c r="I1640" s="2" t="str">
        <f>_xlfn.XLOOKUP(F1640,DeparaIMG!D:D,DeparaIMG!F:F,,0)</f>
        <v>STE350.png</v>
      </c>
    </row>
    <row r="1641" spans="1:9" x14ac:dyDescent="0.25">
      <c r="A1641" t="s">
        <v>155</v>
      </c>
      <c r="B1641" t="s">
        <v>62</v>
      </c>
      <c r="C1641" t="s">
        <v>29</v>
      </c>
      <c r="D1641" t="s">
        <v>25</v>
      </c>
      <c r="E1641">
        <v>2</v>
      </c>
      <c r="F1641" t="s">
        <v>65</v>
      </c>
      <c r="G1641">
        <v>5.59</v>
      </c>
      <c r="H1641">
        <v>4.79</v>
      </c>
      <c r="I1641" s="2" t="str">
        <f>_xlfn.XLOOKUP(F1641,DeparaIMG!D:D,DeparaIMG!F:F,,0)</f>
        <v>STE350.png</v>
      </c>
    </row>
    <row r="1642" spans="1:9" x14ac:dyDescent="0.25">
      <c r="A1642" t="s">
        <v>155</v>
      </c>
      <c r="B1642" t="s">
        <v>62</v>
      </c>
      <c r="C1642" t="s">
        <v>113</v>
      </c>
      <c r="D1642" t="s">
        <v>26</v>
      </c>
      <c r="E1642">
        <v>2</v>
      </c>
      <c r="F1642" t="s">
        <v>65</v>
      </c>
      <c r="G1642">
        <v>5.59</v>
      </c>
      <c r="H1642">
        <v>4.79</v>
      </c>
      <c r="I1642" s="2" t="str">
        <f>_xlfn.XLOOKUP(F1642,DeparaIMG!D:D,DeparaIMG!F:F,,0)</f>
        <v>STE350.png</v>
      </c>
    </row>
    <row r="1643" spans="1:9" x14ac:dyDescent="0.25">
      <c r="A1643" t="s">
        <v>155</v>
      </c>
      <c r="B1643" t="s">
        <v>62</v>
      </c>
      <c r="C1643" t="s">
        <v>88</v>
      </c>
      <c r="D1643" t="s">
        <v>25</v>
      </c>
      <c r="E1643">
        <v>1</v>
      </c>
      <c r="F1643" t="s">
        <v>78</v>
      </c>
      <c r="G1643">
        <v>5.49</v>
      </c>
      <c r="H1643">
        <v>4.99</v>
      </c>
      <c r="I1643" s="2" t="str">
        <f>_xlfn.XLOOKUP(F1643,DeparaIMG!D:D,DeparaIMG!F:F,,0)</f>
        <v>MIC350.png</v>
      </c>
    </row>
    <row r="1644" spans="1:9" x14ac:dyDescent="0.25">
      <c r="A1644" t="s">
        <v>155</v>
      </c>
      <c r="B1644" t="s">
        <v>62</v>
      </c>
      <c r="C1644" t="s">
        <v>88</v>
      </c>
      <c r="D1644" t="s">
        <v>26</v>
      </c>
      <c r="E1644">
        <v>1</v>
      </c>
      <c r="F1644" t="s">
        <v>78</v>
      </c>
      <c r="G1644">
        <v>5.49</v>
      </c>
      <c r="H1644">
        <v>4.99</v>
      </c>
      <c r="I1644" s="2" t="str">
        <f>_xlfn.XLOOKUP(F1644,DeparaIMG!D:D,DeparaIMG!F:F,,0)</f>
        <v>MIC350.png</v>
      </c>
    </row>
    <row r="1645" spans="1:9" x14ac:dyDescent="0.25">
      <c r="A1645" t="s">
        <v>155</v>
      </c>
      <c r="B1645" t="s">
        <v>62</v>
      </c>
      <c r="C1645" t="s">
        <v>89</v>
      </c>
      <c r="D1645" t="s">
        <v>25</v>
      </c>
      <c r="E1645">
        <v>1</v>
      </c>
      <c r="F1645" t="s">
        <v>78</v>
      </c>
      <c r="G1645">
        <v>5.49</v>
      </c>
      <c r="H1645">
        <v>4.99</v>
      </c>
      <c r="I1645" s="2" t="str">
        <f>_xlfn.XLOOKUP(F1645,DeparaIMG!D:D,DeparaIMG!F:F,,0)</f>
        <v>MIC350.png</v>
      </c>
    </row>
    <row r="1646" spans="1:9" x14ac:dyDescent="0.25">
      <c r="A1646" t="s">
        <v>155</v>
      </c>
      <c r="B1646" t="s">
        <v>62</v>
      </c>
      <c r="C1646" t="s">
        <v>173</v>
      </c>
      <c r="D1646" t="s">
        <v>25</v>
      </c>
      <c r="E1646">
        <v>1</v>
      </c>
      <c r="F1646" t="s">
        <v>78</v>
      </c>
      <c r="G1646">
        <v>5.49</v>
      </c>
      <c r="H1646">
        <v>4.99</v>
      </c>
      <c r="I1646" s="2" t="str">
        <f>_xlfn.XLOOKUP(F1646,DeparaIMG!D:D,DeparaIMG!F:F,,0)</f>
        <v>MIC350.png</v>
      </c>
    </row>
    <row r="1647" spans="1:9" x14ac:dyDescent="0.25">
      <c r="A1647" t="s">
        <v>155</v>
      </c>
      <c r="B1647" t="s">
        <v>62</v>
      </c>
      <c r="C1647" t="s">
        <v>89</v>
      </c>
      <c r="D1647" t="s">
        <v>26</v>
      </c>
      <c r="E1647">
        <v>1</v>
      </c>
      <c r="F1647" t="s">
        <v>78</v>
      </c>
      <c r="G1647">
        <v>5.49</v>
      </c>
      <c r="H1647">
        <v>4.99</v>
      </c>
      <c r="I1647" s="2" t="str">
        <f>_xlfn.XLOOKUP(F1647,DeparaIMG!D:D,DeparaIMG!F:F,,0)</f>
        <v>MIC350.png</v>
      </c>
    </row>
    <row r="1648" spans="1:9" x14ac:dyDescent="0.25">
      <c r="A1648" t="s">
        <v>155</v>
      </c>
      <c r="B1648" t="s">
        <v>62</v>
      </c>
      <c r="C1648" t="s">
        <v>173</v>
      </c>
      <c r="D1648" t="s">
        <v>26</v>
      </c>
      <c r="E1648">
        <v>1</v>
      </c>
      <c r="F1648" t="s">
        <v>78</v>
      </c>
      <c r="G1648">
        <v>5.49</v>
      </c>
      <c r="H1648">
        <v>4.99</v>
      </c>
      <c r="I1648" s="2" t="str">
        <f>_xlfn.XLOOKUP(F1648,DeparaIMG!D:D,DeparaIMG!F:F,,0)</f>
        <v>MIC350.png</v>
      </c>
    </row>
    <row r="1649" spans="1:9" x14ac:dyDescent="0.25">
      <c r="A1649" t="s">
        <v>155</v>
      </c>
      <c r="B1649" t="s">
        <v>62</v>
      </c>
      <c r="C1649" t="s">
        <v>113</v>
      </c>
      <c r="D1649" t="s">
        <v>25</v>
      </c>
      <c r="E1649">
        <v>2</v>
      </c>
      <c r="F1649" t="s">
        <v>65</v>
      </c>
      <c r="G1649">
        <v>5.59</v>
      </c>
      <c r="H1649">
        <v>4.79</v>
      </c>
      <c r="I1649" s="2" t="str">
        <f>_xlfn.XLOOKUP(F1649,DeparaIMG!D:D,DeparaIMG!F:F,,0)</f>
        <v>STE350.png</v>
      </c>
    </row>
    <row r="1650" spans="1:9" x14ac:dyDescent="0.25">
      <c r="A1650" t="s">
        <v>155</v>
      </c>
      <c r="B1650" t="s">
        <v>62</v>
      </c>
      <c r="C1650" t="s">
        <v>112</v>
      </c>
      <c r="D1650" t="s">
        <v>26</v>
      </c>
      <c r="E1650">
        <v>2</v>
      </c>
      <c r="F1650" t="s">
        <v>79</v>
      </c>
      <c r="G1650">
        <v>6.29</v>
      </c>
      <c r="H1650">
        <v>5.49</v>
      </c>
      <c r="I1650" s="2" t="str">
        <f>_xlfn.XLOOKUP(F1650,DeparaIMG!D:D,DeparaIMG!F:F,,0)</f>
        <v>COR350.png</v>
      </c>
    </row>
    <row r="1651" spans="1:9" x14ac:dyDescent="0.25">
      <c r="A1651" t="s">
        <v>155</v>
      </c>
      <c r="B1651" t="s">
        <v>62</v>
      </c>
      <c r="C1651" t="s">
        <v>112</v>
      </c>
      <c r="D1651" t="s">
        <v>26</v>
      </c>
      <c r="E1651">
        <v>2</v>
      </c>
      <c r="F1651" t="s">
        <v>80</v>
      </c>
      <c r="G1651">
        <v>6.29</v>
      </c>
      <c r="H1651">
        <v>5.49</v>
      </c>
      <c r="I1651" s="2" t="str">
        <f>_xlfn.XLOOKUP(F1651,DeparaIMG!D:D,DeparaIMG!F:F,,0)</f>
        <v>CORCERO350.png</v>
      </c>
    </row>
    <row r="1652" spans="1:9" x14ac:dyDescent="0.25">
      <c r="A1652" t="s">
        <v>155</v>
      </c>
      <c r="B1652" t="s">
        <v>62</v>
      </c>
      <c r="C1652" t="s">
        <v>112</v>
      </c>
      <c r="D1652" t="s">
        <v>25</v>
      </c>
      <c r="E1652">
        <v>2</v>
      </c>
      <c r="F1652" t="s">
        <v>80</v>
      </c>
      <c r="G1652">
        <v>6.29</v>
      </c>
      <c r="H1652">
        <v>5.49</v>
      </c>
      <c r="I1652" s="2" t="str">
        <f>_xlfn.XLOOKUP(F1652,DeparaIMG!D:D,DeparaIMG!F:F,,0)</f>
        <v>CORCERO350.png</v>
      </c>
    </row>
    <row r="1653" spans="1:9" x14ac:dyDescent="0.25">
      <c r="A1653" t="s">
        <v>155</v>
      </c>
      <c r="B1653" t="s">
        <v>62</v>
      </c>
      <c r="C1653" t="s">
        <v>29</v>
      </c>
      <c r="D1653" t="s">
        <v>26</v>
      </c>
      <c r="E1653">
        <v>2</v>
      </c>
      <c r="F1653" t="s">
        <v>79</v>
      </c>
      <c r="G1653">
        <v>6.39</v>
      </c>
      <c r="H1653">
        <v>5.59</v>
      </c>
      <c r="I1653" s="2" t="str">
        <f>_xlfn.XLOOKUP(F1653,DeparaIMG!D:D,DeparaIMG!F:F,,0)</f>
        <v>COR350.png</v>
      </c>
    </row>
    <row r="1654" spans="1:9" x14ac:dyDescent="0.25">
      <c r="A1654" t="s">
        <v>155</v>
      </c>
      <c r="B1654" t="s">
        <v>62</v>
      </c>
      <c r="C1654" t="s">
        <v>113</v>
      </c>
      <c r="D1654" t="s">
        <v>26</v>
      </c>
      <c r="E1654">
        <v>2</v>
      </c>
      <c r="F1654" t="s">
        <v>79</v>
      </c>
      <c r="G1654">
        <v>6.39</v>
      </c>
      <c r="H1654">
        <v>5.59</v>
      </c>
      <c r="I1654" s="2" t="str">
        <f>_xlfn.XLOOKUP(F1654,DeparaIMG!D:D,DeparaIMG!F:F,,0)</f>
        <v>COR350.png</v>
      </c>
    </row>
    <row r="1655" spans="1:9" x14ac:dyDescent="0.25">
      <c r="A1655" t="s">
        <v>155</v>
      </c>
      <c r="B1655" t="s">
        <v>62</v>
      </c>
      <c r="C1655" t="s">
        <v>29</v>
      </c>
      <c r="D1655" t="s">
        <v>26</v>
      </c>
      <c r="E1655">
        <v>2</v>
      </c>
      <c r="F1655" t="s">
        <v>80</v>
      </c>
      <c r="G1655">
        <v>6.39</v>
      </c>
      <c r="H1655">
        <v>5.59</v>
      </c>
      <c r="I1655" s="2" t="str">
        <f>_xlfn.XLOOKUP(F1655,DeparaIMG!D:D,DeparaIMG!F:F,,0)</f>
        <v>CORCERO350.png</v>
      </c>
    </row>
    <row r="1656" spans="1:9" x14ac:dyDescent="0.25">
      <c r="A1656" t="s">
        <v>155</v>
      </c>
      <c r="B1656" t="s">
        <v>62</v>
      </c>
      <c r="C1656" t="s">
        <v>87</v>
      </c>
      <c r="D1656" t="s">
        <v>26</v>
      </c>
      <c r="E1656">
        <v>2</v>
      </c>
      <c r="F1656" t="s">
        <v>80</v>
      </c>
      <c r="G1656">
        <v>6.39</v>
      </c>
      <c r="H1656">
        <v>5.59</v>
      </c>
      <c r="I1656" s="2" t="str">
        <f>_xlfn.XLOOKUP(F1656,DeparaIMG!D:D,DeparaIMG!F:F,,0)</f>
        <v>CORCERO350.png</v>
      </c>
    </row>
    <row r="1657" spans="1:9" x14ac:dyDescent="0.25">
      <c r="A1657" t="s">
        <v>155</v>
      </c>
      <c r="B1657" t="s">
        <v>62</v>
      </c>
      <c r="C1657" t="s">
        <v>88</v>
      </c>
      <c r="D1657" t="s">
        <v>26</v>
      </c>
      <c r="E1657">
        <v>2</v>
      </c>
      <c r="F1657" t="s">
        <v>80</v>
      </c>
      <c r="G1657">
        <v>6.39</v>
      </c>
      <c r="H1657">
        <v>5.59</v>
      </c>
      <c r="I1657" s="2" t="str">
        <f>_xlfn.XLOOKUP(F1657,DeparaIMG!D:D,DeparaIMG!F:F,,0)</f>
        <v>CORCERO350.png</v>
      </c>
    </row>
    <row r="1658" spans="1:9" x14ac:dyDescent="0.25">
      <c r="A1658" t="s">
        <v>155</v>
      </c>
      <c r="B1658" t="s">
        <v>62</v>
      </c>
      <c r="C1658" t="s">
        <v>113</v>
      </c>
      <c r="D1658" t="s">
        <v>26</v>
      </c>
      <c r="E1658">
        <v>2</v>
      </c>
      <c r="F1658" t="s">
        <v>80</v>
      </c>
      <c r="G1658">
        <v>6.39</v>
      </c>
      <c r="H1658">
        <v>5.59</v>
      </c>
      <c r="I1658" s="2" t="str">
        <f>_xlfn.XLOOKUP(F1658,DeparaIMG!D:D,DeparaIMG!F:F,,0)</f>
        <v>CORCERO350.png</v>
      </c>
    </row>
    <row r="1659" spans="1:9" x14ac:dyDescent="0.25">
      <c r="A1659" t="s">
        <v>155</v>
      </c>
      <c r="B1659" t="s">
        <v>62</v>
      </c>
      <c r="C1659" t="s">
        <v>87</v>
      </c>
      <c r="D1659" t="s">
        <v>25</v>
      </c>
      <c r="E1659">
        <v>2</v>
      </c>
      <c r="F1659" t="s">
        <v>80</v>
      </c>
      <c r="G1659">
        <v>6.39</v>
      </c>
      <c r="H1659">
        <v>5.59</v>
      </c>
      <c r="I1659" s="2" t="str">
        <f>_xlfn.XLOOKUP(F1659,DeparaIMG!D:D,DeparaIMG!F:F,,0)</f>
        <v>CORCERO350.png</v>
      </c>
    </row>
    <row r="1660" spans="1:9" x14ac:dyDescent="0.25">
      <c r="A1660" t="s">
        <v>155</v>
      </c>
      <c r="B1660" t="s">
        <v>62</v>
      </c>
      <c r="C1660" t="s">
        <v>88</v>
      </c>
      <c r="D1660" t="s">
        <v>25</v>
      </c>
      <c r="E1660">
        <v>2</v>
      </c>
      <c r="F1660" t="s">
        <v>80</v>
      </c>
      <c r="G1660">
        <v>6.39</v>
      </c>
      <c r="H1660">
        <v>5.59</v>
      </c>
      <c r="I1660" s="2" t="str">
        <f>_xlfn.XLOOKUP(F1660,DeparaIMG!D:D,DeparaIMG!F:F,,0)</f>
        <v>CORCERO350.png</v>
      </c>
    </row>
    <row r="1661" spans="1:9" x14ac:dyDescent="0.25">
      <c r="A1661" t="s">
        <v>155</v>
      </c>
      <c r="B1661" t="s">
        <v>62</v>
      </c>
      <c r="C1661" t="s">
        <v>29</v>
      </c>
      <c r="D1661" t="s">
        <v>25</v>
      </c>
      <c r="E1661">
        <v>2</v>
      </c>
      <c r="F1661" t="s">
        <v>80</v>
      </c>
      <c r="G1661">
        <v>6.39</v>
      </c>
      <c r="H1661">
        <v>5.59</v>
      </c>
      <c r="I1661" s="2" t="str">
        <f>_xlfn.XLOOKUP(F1661,DeparaIMG!D:D,DeparaIMG!F:F,,0)</f>
        <v>CORCERO350.png</v>
      </c>
    </row>
    <row r="1662" spans="1:9" x14ac:dyDescent="0.25">
      <c r="A1662" t="s">
        <v>155</v>
      </c>
      <c r="B1662" t="s">
        <v>62</v>
      </c>
      <c r="C1662" t="s">
        <v>113</v>
      </c>
      <c r="D1662" t="s">
        <v>25</v>
      </c>
      <c r="E1662">
        <v>2</v>
      </c>
      <c r="F1662" t="s">
        <v>80</v>
      </c>
      <c r="G1662">
        <v>6.39</v>
      </c>
      <c r="H1662">
        <v>5.59</v>
      </c>
      <c r="I1662" s="2" t="str">
        <f>_xlfn.XLOOKUP(F1662,DeparaIMG!D:D,DeparaIMG!F:F,,0)</f>
        <v>CORCERO350.png</v>
      </c>
    </row>
    <row r="1663" spans="1:9" x14ac:dyDescent="0.25">
      <c r="A1663" t="s">
        <v>155</v>
      </c>
      <c r="B1663" t="s">
        <v>62</v>
      </c>
      <c r="C1663" t="s">
        <v>112</v>
      </c>
      <c r="D1663" t="s">
        <v>26</v>
      </c>
      <c r="E1663">
        <v>1</v>
      </c>
      <c r="F1663" t="s">
        <v>81</v>
      </c>
      <c r="G1663">
        <v>6.39</v>
      </c>
      <c r="H1663">
        <v>5.69</v>
      </c>
      <c r="I1663" s="2" t="str">
        <f>_xlfn.XLOOKUP(F1663,DeparaIMG!D:D,DeparaIMG!F:F,,0)</f>
        <v>BUDZEROLN.png</v>
      </c>
    </row>
    <row r="1664" spans="1:9" x14ac:dyDescent="0.25">
      <c r="A1664" t="s">
        <v>155</v>
      </c>
      <c r="B1664" t="s">
        <v>62</v>
      </c>
      <c r="C1664" t="s">
        <v>29</v>
      </c>
      <c r="D1664" t="s">
        <v>26</v>
      </c>
      <c r="E1664">
        <v>1</v>
      </c>
      <c r="F1664" t="s">
        <v>81</v>
      </c>
      <c r="G1664">
        <v>6.39</v>
      </c>
      <c r="H1664">
        <v>5.69</v>
      </c>
      <c r="I1664" s="2" t="str">
        <f>_xlfn.XLOOKUP(F1664,DeparaIMG!D:D,DeparaIMG!F:F,,0)</f>
        <v>BUDZEROLN.png</v>
      </c>
    </row>
    <row r="1665" spans="1:9" x14ac:dyDescent="0.25">
      <c r="A1665" t="s">
        <v>155</v>
      </c>
      <c r="B1665" t="s">
        <v>62</v>
      </c>
      <c r="C1665" t="s">
        <v>87</v>
      </c>
      <c r="D1665" t="s">
        <v>26</v>
      </c>
      <c r="E1665">
        <v>1</v>
      </c>
      <c r="F1665" t="s">
        <v>81</v>
      </c>
      <c r="G1665">
        <v>6.39</v>
      </c>
      <c r="H1665">
        <v>5.69</v>
      </c>
      <c r="I1665" s="2" t="str">
        <f>_xlfn.XLOOKUP(F1665,DeparaIMG!D:D,DeparaIMG!F:F,,0)</f>
        <v>BUDZEROLN.png</v>
      </c>
    </row>
    <row r="1666" spans="1:9" x14ac:dyDescent="0.25">
      <c r="A1666" t="s">
        <v>155</v>
      </c>
      <c r="B1666" t="s">
        <v>62</v>
      </c>
      <c r="C1666" t="s">
        <v>88</v>
      </c>
      <c r="D1666" t="s">
        <v>26</v>
      </c>
      <c r="E1666">
        <v>1</v>
      </c>
      <c r="F1666" t="s">
        <v>81</v>
      </c>
      <c r="G1666">
        <v>6.39</v>
      </c>
      <c r="H1666">
        <v>5.69</v>
      </c>
      <c r="I1666" s="2" t="str">
        <f>_xlfn.XLOOKUP(F1666,DeparaIMG!D:D,DeparaIMG!F:F,,0)</f>
        <v>BUDZEROLN.png</v>
      </c>
    </row>
    <row r="1667" spans="1:9" x14ac:dyDescent="0.25">
      <c r="A1667" t="s">
        <v>155</v>
      </c>
      <c r="B1667" t="s">
        <v>62</v>
      </c>
      <c r="C1667" t="s">
        <v>113</v>
      </c>
      <c r="D1667" t="s">
        <v>25</v>
      </c>
      <c r="E1667">
        <v>1</v>
      </c>
      <c r="F1667" t="s">
        <v>81</v>
      </c>
      <c r="G1667">
        <v>6.39</v>
      </c>
      <c r="H1667">
        <v>5.69</v>
      </c>
      <c r="I1667" s="2" t="str">
        <f>_xlfn.XLOOKUP(F1667,DeparaIMG!D:D,DeparaIMG!F:F,,0)</f>
        <v>BUDZEROLN.png</v>
      </c>
    </row>
    <row r="1668" spans="1:9" x14ac:dyDescent="0.25">
      <c r="A1668" t="s">
        <v>155</v>
      </c>
      <c r="B1668" t="s">
        <v>62</v>
      </c>
      <c r="C1668" t="s">
        <v>113</v>
      </c>
      <c r="D1668" t="s">
        <v>26</v>
      </c>
      <c r="E1668">
        <v>1</v>
      </c>
      <c r="F1668" t="s">
        <v>81</v>
      </c>
      <c r="G1668">
        <v>6.39</v>
      </c>
      <c r="H1668">
        <v>5.69</v>
      </c>
      <c r="I1668" s="2" t="str">
        <f>_xlfn.XLOOKUP(F1668,DeparaIMG!D:D,DeparaIMG!F:F,,0)</f>
        <v>BUDZEROLN.png</v>
      </c>
    </row>
    <row r="1669" spans="1:9" x14ac:dyDescent="0.25">
      <c r="A1669" t="s">
        <v>155</v>
      </c>
      <c r="B1669" t="s">
        <v>62</v>
      </c>
      <c r="C1669" t="s">
        <v>173</v>
      </c>
      <c r="D1669" t="s">
        <v>26</v>
      </c>
      <c r="E1669">
        <v>1</v>
      </c>
      <c r="F1669" t="s">
        <v>81</v>
      </c>
      <c r="G1669">
        <v>6.39</v>
      </c>
      <c r="H1669">
        <v>5.69</v>
      </c>
      <c r="I1669" s="2" t="str">
        <f>_xlfn.XLOOKUP(F1669,DeparaIMG!D:D,DeparaIMG!F:F,,0)</f>
        <v>BUDZEROLN.png</v>
      </c>
    </row>
    <row r="1670" spans="1:9" x14ac:dyDescent="0.25">
      <c r="A1670" t="s">
        <v>155</v>
      </c>
      <c r="B1670" t="s">
        <v>62</v>
      </c>
      <c r="C1670" t="s">
        <v>89</v>
      </c>
      <c r="D1670" t="s">
        <v>26</v>
      </c>
      <c r="E1670">
        <v>1</v>
      </c>
      <c r="F1670" t="s">
        <v>81</v>
      </c>
      <c r="G1670">
        <v>6.39</v>
      </c>
      <c r="H1670">
        <v>5.69</v>
      </c>
      <c r="I1670" s="2" t="str">
        <f>_xlfn.XLOOKUP(F1670,DeparaIMG!D:D,DeparaIMG!F:F,,0)</f>
        <v>BUDZEROLN.png</v>
      </c>
    </row>
    <row r="1671" spans="1:9" x14ac:dyDescent="0.25">
      <c r="A1671" t="s">
        <v>155</v>
      </c>
      <c r="B1671" t="s">
        <v>62</v>
      </c>
      <c r="C1671" t="s">
        <v>112</v>
      </c>
      <c r="D1671" t="s">
        <v>25</v>
      </c>
      <c r="E1671">
        <v>2</v>
      </c>
      <c r="F1671" t="s">
        <v>83</v>
      </c>
      <c r="G1671">
        <v>6.79</v>
      </c>
      <c r="H1671">
        <v>6.09</v>
      </c>
      <c r="I1671" s="2" t="str">
        <f>_xlfn.XLOOKUP(F1671,DeparaIMG!D:D,DeparaIMG!F:F,,0)</f>
        <v>MICLN.png</v>
      </c>
    </row>
    <row r="1672" spans="1:9" x14ac:dyDescent="0.25">
      <c r="A1672" t="s">
        <v>155</v>
      </c>
      <c r="B1672" t="s">
        <v>62</v>
      </c>
      <c r="C1672" t="s">
        <v>112</v>
      </c>
      <c r="D1672" t="s">
        <v>26</v>
      </c>
      <c r="E1672">
        <v>2</v>
      </c>
      <c r="F1672" t="s">
        <v>83</v>
      </c>
      <c r="G1672">
        <v>6.79</v>
      </c>
      <c r="H1672">
        <v>6.09</v>
      </c>
      <c r="I1672" s="2" t="str">
        <f>_xlfn.XLOOKUP(F1672,DeparaIMG!D:D,DeparaIMG!F:F,,0)</f>
        <v>MICLN.png</v>
      </c>
    </row>
    <row r="1673" spans="1:9" x14ac:dyDescent="0.25">
      <c r="A1673" t="s">
        <v>155</v>
      </c>
      <c r="B1673" t="s">
        <v>62</v>
      </c>
      <c r="C1673" t="s">
        <v>29</v>
      </c>
      <c r="D1673" t="s">
        <v>25</v>
      </c>
      <c r="E1673">
        <v>2</v>
      </c>
      <c r="F1673" t="s">
        <v>83</v>
      </c>
      <c r="G1673">
        <v>6.79</v>
      </c>
      <c r="H1673">
        <v>6.09</v>
      </c>
      <c r="I1673" s="2" t="str">
        <f>_xlfn.XLOOKUP(F1673,DeparaIMG!D:D,DeparaIMG!F:F,,0)</f>
        <v>MICLN.png</v>
      </c>
    </row>
    <row r="1674" spans="1:9" x14ac:dyDescent="0.25">
      <c r="A1674" t="s">
        <v>155</v>
      </c>
      <c r="B1674" t="s">
        <v>62</v>
      </c>
      <c r="C1674" t="s">
        <v>29</v>
      </c>
      <c r="D1674" t="s">
        <v>26</v>
      </c>
      <c r="E1674">
        <v>2</v>
      </c>
      <c r="F1674" t="s">
        <v>83</v>
      </c>
      <c r="G1674">
        <v>6.79</v>
      </c>
      <c r="H1674">
        <v>6.09</v>
      </c>
      <c r="I1674" s="2" t="str">
        <f>_xlfn.XLOOKUP(F1674,DeparaIMG!D:D,DeparaIMG!F:F,,0)</f>
        <v>MICLN.png</v>
      </c>
    </row>
    <row r="1675" spans="1:9" x14ac:dyDescent="0.25">
      <c r="A1675" t="s">
        <v>155</v>
      </c>
      <c r="B1675" t="s">
        <v>62</v>
      </c>
      <c r="C1675" t="s">
        <v>87</v>
      </c>
      <c r="D1675" t="s">
        <v>25</v>
      </c>
      <c r="E1675">
        <v>2</v>
      </c>
      <c r="F1675" t="s">
        <v>83</v>
      </c>
      <c r="G1675">
        <v>6.79</v>
      </c>
      <c r="H1675">
        <v>6.09</v>
      </c>
      <c r="I1675" s="2" t="str">
        <f>_xlfn.XLOOKUP(F1675,DeparaIMG!D:D,DeparaIMG!F:F,,0)</f>
        <v>MICLN.png</v>
      </c>
    </row>
    <row r="1676" spans="1:9" x14ac:dyDescent="0.25">
      <c r="A1676" t="s">
        <v>155</v>
      </c>
      <c r="B1676" t="s">
        <v>62</v>
      </c>
      <c r="C1676" t="s">
        <v>87</v>
      </c>
      <c r="D1676" t="s">
        <v>26</v>
      </c>
      <c r="E1676">
        <v>2</v>
      </c>
      <c r="F1676" t="s">
        <v>83</v>
      </c>
      <c r="G1676">
        <v>6.79</v>
      </c>
      <c r="H1676">
        <v>6.09</v>
      </c>
      <c r="I1676" s="2" t="str">
        <f>_xlfn.XLOOKUP(F1676,DeparaIMG!D:D,DeparaIMG!F:F,,0)</f>
        <v>MICLN.png</v>
      </c>
    </row>
    <row r="1677" spans="1:9" x14ac:dyDescent="0.25">
      <c r="A1677" t="s">
        <v>155</v>
      </c>
      <c r="B1677" t="s">
        <v>62</v>
      </c>
      <c r="C1677" t="s">
        <v>88</v>
      </c>
      <c r="D1677" t="s">
        <v>25</v>
      </c>
      <c r="E1677">
        <v>2</v>
      </c>
      <c r="F1677" t="s">
        <v>83</v>
      </c>
      <c r="G1677">
        <v>6.79</v>
      </c>
      <c r="H1677">
        <v>6.09</v>
      </c>
      <c r="I1677" s="2" t="str">
        <f>_xlfn.XLOOKUP(F1677,DeparaIMG!D:D,DeparaIMG!F:F,,0)</f>
        <v>MICLN.png</v>
      </c>
    </row>
    <row r="1678" spans="1:9" x14ac:dyDescent="0.25">
      <c r="A1678" t="s">
        <v>155</v>
      </c>
      <c r="B1678" t="s">
        <v>62</v>
      </c>
      <c r="C1678" t="s">
        <v>88</v>
      </c>
      <c r="D1678" t="s">
        <v>26</v>
      </c>
      <c r="E1678">
        <v>2</v>
      </c>
      <c r="F1678" t="s">
        <v>83</v>
      </c>
      <c r="G1678">
        <v>6.79</v>
      </c>
      <c r="H1678">
        <v>6.09</v>
      </c>
      <c r="I1678" s="2" t="str">
        <f>_xlfn.XLOOKUP(F1678,DeparaIMG!D:D,DeparaIMG!F:F,,0)</f>
        <v>MICLN.png</v>
      </c>
    </row>
    <row r="1679" spans="1:9" x14ac:dyDescent="0.25">
      <c r="A1679" t="s">
        <v>155</v>
      </c>
      <c r="B1679" t="s">
        <v>62</v>
      </c>
      <c r="C1679" t="s">
        <v>113</v>
      </c>
      <c r="D1679" t="s">
        <v>25</v>
      </c>
      <c r="E1679">
        <v>2</v>
      </c>
      <c r="F1679" t="s">
        <v>83</v>
      </c>
      <c r="G1679">
        <v>6.79</v>
      </c>
      <c r="H1679">
        <v>6.09</v>
      </c>
      <c r="I1679" s="2" t="str">
        <f>_xlfn.XLOOKUP(F1679,DeparaIMG!D:D,DeparaIMG!F:F,,0)</f>
        <v>MICLN.png</v>
      </c>
    </row>
    <row r="1680" spans="1:9" x14ac:dyDescent="0.25">
      <c r="A1680" t="s">
        <v>155</v>
      </c>
      <c r="B1680" t="s">
        <v>62</v>
      </c>
      <c r="C1680" t="s">
        <v>113</v>
      </c>
      <c r="D1680" t="s">
        <v>26</v>
      </c>
      <c r="E1680">
        <v>2</v>
      </c>
      <c r="F1680" t="s">
        <v>83</v>
      </c>
      <c r="G1680">
        <v>6.79</v>
      </c>
      <c r="H1680">
        <v>6.09</v>
      </c>
      <c r="I1680" s="2" t="str">
        <f>_xlfn.XLOOKUP(F1680,DeparaIMG!D:D,DeparaIMG!F:F,,0)</f>
        <v>MICLN.png</v>
      </c>
    </row>
    <row r="1681" spans="1:9" x14ac:dyDescent="0.25">
      <c r="A1681" t="s">
        <v>155</v>
      </c>
      <c r="B1681" t="s">
        <v>62</v>
      </c>
      <c r="C1681" t="s">
        <v>113</v>
      </c>
      <c r="D1681" t="s">
        <v>25</v>
      </c>
      <c r="E1681">
        <v>1</v>
      </c>
      <c r="F1681" t="s">
        <v>84</v>
      </c>
      <c r="G1681">
        <v>6.99</v>
      </c>
      <c r="H1681">
        <v>6.19</v>
      </c>
      <c r="I1681" s="2" t="str">
        <f>_xlfn.XLOOKUP(F1681,DeparaIMG!D:D,DeparaIMG!F:F,,0)</f>
        <v>STELN.png</v>
      </c>
    </row>
    <row r="1682" spans="1:9" x14ac:dyDescent="0.25">
      <c r="A1682" t="s">
        <v>155</v>
      </c>
      <c r="B1682" t="s">
        <v>62</v>
      </c>
      <c r="C1682" t="s">
        <v>89</v>
      </c>
      <c r="D1682" t="s">
        <v>25</v>
      </c>
      <c r="E1682">
        <v>1</v>
      </c>
      <c r="F1682" t="s">
        <v>84</v>
      </c>
      <c r="G1682">
        <v>6.99</v>
      </c>
      <c r="H1682">
        <v>6.19</v>
      </c>
      <c r="I1682" s="2" t="str">
        <f>_xlfn.XLOOKUP(F1682,DeparaIMG!D:D,DeparaIMG!F:F,,0)</f>
        <v>STELN.png</v>
      </c>
    </row>
    <row r="1683" spans="1:9" x14ac:dyDescent="0.25">
      <c r="A1683" t="s">
        <v>155</v>
      </c>
      <c r="B1683" t="s">
        <v>62</v>
      </c>
      <c r="C1683" t="s">
        <v>112</v>
      </c>
      <c r="D1683" t="s">
        <v>25</v>
      </c>
      <c r="E1683">
        <v>1</v>
      </c>
      <c r="F1683" t="s">
        <v>84</v>
      </c>
      <c r="G1683">
        <v>6.99</v>
      </c>
      <c r="H1683">
        <v>6.19</v>
      </c>
      <c r="I1683" s="2" t="str">
        <f>_xlfn.XLOOKUP(F1683,DeparaIMG!D:D,DeparaIMG!F:F,,0)</f>
        <v>STELN.png</v>
      </c>
    </row>
    <row r="1684" spans="1:9" x14ac:dyDescent="0.25">
      <c r="A1684" t="s">
        <v>155</v>
      </c>
      <c r="B1684" t="s">
        <v>62</v>
      </c>
      <c r="C1684" t="s">
        <v>29</v>
      </c>
      <c r="D1684" t="s">
        <v>25</v>
      </c>
      <c r="E1684">
        <v>1</v>
      </c>
      <c r="F1684" t="s">
        <v>84</v>
      </c>
      <c r="G1684">
        <v>6.99</v>
      </c>
      <c r="H1684">
        <v>6.19</v>
      </c>
      <c r="I1684" s="2" t="str">
        <f>_xlfn.XLOOKUP(F1684,DeparaIMG!D:D,DeparaIMG!F:F,,0)</f>
        <v>STELN.png</v>
      </c>
    </row>
    <row r="1685" spans="1:9" x14ac:dyDescent="0.25">
      <c r="A1685" t="s">
        <v>155</v>
      </c>
      <c r="B1685" t="s">
        <v>62</v>
      </c>
      <c r="C1685" t="s">
        <v>88</v>
      </c>
      <c r="D1685" t="s">
        <v>25</v>
      </c>
      <c r="E1685">
        <v>1</v>
      </c>
      <c r="F1685" t="s">
        <v>84</v>
      </c>
      <c r="G1685">
        <v>6.99</v>
      </c>
      <c r="H1685">
        <v>6.19</v>
      </c>
      <c r="I1685" s="2" t="str">
        <f>_xlfn.XLOOKUP(F1685,DeparaIMG!D:D,DeparaIMG!F:F,,0)</f>
        <v>STELN.png</v>
      </c>
    </row>
    <row r="1686" spans="1:9" x14ac:dyDescent="0.25">
      <c r="A1686" t="s">
        <v>155</v>
      </c>
      <c r="B1686" t="s">
        <v>62</v>
      </c>
      <c r="C1686" t="s">
        <v>87</v>
      </c>
      <c r="D1686" t="s">
        <v>25</v>
      </c>
      <c r="E1686">
        <v>1</v>
      </c>
      <c r="F1686" t="s">
        <v>84</v>
      </c>
      <c r="G1686">
        <v>6.99</v>
      </c>
      <c r="H1686">
        <v>6.19</v>
      </c>
      <c r="I1686" s="2" t="str">
        <f>_xlfn.XLOOKUP(F1686,DeparaIMG!D:D,DeparaIMG!F:F,,0)</f>
        <v>STELN.png</v>
      </c>
    </row>
    <row r="1687" spans="1:9" x14ac:dyDescent="0.25">
      <c r="A1687" t="s">
        <v>155</v>
      </c>
      <c r="B1687" t="s">
        <v>62</v>
      </c>
      <c r="C1687" t="s">
        <v>173</v>
      </c>
      <c r="D1687" t="s">
        <v>25</v>
      </c>
      <c r="E1687">
        <v>1</v>
      </c>
      <c r="F1687" t="s">
        <v>84</v>
      </c>
      <c r="G1687">
        <v>6.99</v>
      </c>
      <c r="H1687">
        <v>6.19</v>
      </c>
      <c r="I1687" s="2" t="str">
        <f>_xlfn.XLOOKUP(F1687,DeparaIMG!D:D,DeparaIMG!F:F,,0)</f>
        <v>STELN.png</v>
      </c>
    </row>
    <row r="1688" spans="1:9" x14ac:dyDescent="0.25">
      <c r="A1688" t="s">
        <v>155</v>
      </c>
      <c r="B1688" t="s">
        <v>62</v>
      </c>
      <c r="C1688" t="s">
        <v>113</v>
      </c>
      <c r="D1688" t="s">
        <v>26</v>
      </c>
      <c r="E1688">
        <v>1</v>
      </c>
      <c r="F1688" t="s">
        <v>84</v>
      </c>
      <c r="G1688">
        <v>6.99</v>
      </c>
      <c r="H1688">
        <v>6.19</v>
      </c>
      <c r="I1688" s="2" t="str">
        <f>_xlfn.XLOOKUP(F1688,DeparaIMG!D:D,DeparaIMG!F:F,,0)</f>
        <v>STELN.png</v>
      </c>
    </row>
    <row r="1689" spans="1:9" x14ac:dyDescent="0.25">
      <c r="A1689" t="s">
        <v>155</v>
      </c>
      <c r="B1689" t="s">
        <v>62</v>
      </c>
      <c r="C1689" t="s">
        <v>89</v>
      </c>
      <c r="D1689" t="s">
        <v>26</v>
      </c>
      <c r="E1689">
        <v>1</v>
      </c>
      <c r="F1689" t="s">
        <v>84</v>
      </c>
      <c r="G1689">
        <v>6.99</v>
      </c>
      <c r="H1689">
        <v>6.19</v>
      </c>
      <c r="I1689" s="2" t="str">
        <f>_xlfn.XLOOKUP(F1689,DeparaIMG!D:D,DeparaIMG!F:F,,0)</f>
        <v>STELN.png</v>
      </c>
    </row>
    <row r="1690" spans="1:9" x14ac:dyDescent="0.25">
      <c r="A1690" t="s">
        <v>155</v>
      </c>
      <c r="B1690" t="s">
        <v>62</v>
      </c>
      <c r="C1690" t="s">
        <v>112</v>
      </c>
      <c r="D1690" t="s">
        <v>26</v>
      </c>
      <c r="E1690">
        <v>1</v>
      </c>
      <c r="F1690" t="s">
        <v>84</v>
      </c>
      <c r="G1690">
        <v>6.99</v>
      </c>
      <c r="H1690">
        <v>6.19</v>
      </c>
      <c r="I1690" s="2" t="str">
        <f>_xlfn.XLOOKUP(F1690,DeparaIMG!D:D,DeparaIMG!F:F,,0)</f>
        <v>STELN.png</v>
      </c>
    </row>
    <row r="1691" spans="1:9" x14ac:dyDescent="0.25">
      <c r="A1691" t="s">
        <v>155</v>
      </c>
      <c r="B1691" t="s">
        <v>62</v>
      </c>
      <c r="C1691" t="s">
        <v>29</v>
      </c>
      <c r="D1691" t="s">
        <v>26</v>
      </c>
      <c r="E1691">
        <v>1</v>
      </c>
      <c r="F1691" t="s">
        <v>84</v>
      </c>
      <c r="G1691">
        <v>6.99</v>
      </c>
      <c r="H1691">
        <v>6.19</v>
      </c>
      <c r="I1691" s="2" t="str">
        <f>_xlfn.XLOOKUP(F1691,DeparaIMG!D:D,DeparaIMG!F:F,,0)</f>
        <v>STELN.png</v>
      </c>
    </row>
    <row r="1692" spans="1:9" x14ac:dyDescent="0.25">
      <c r="A1692" t="s">
        <v>155</v>
      </c>
      <c r="B1692" t="s">
        <v>62</v>
      </c>
      <c r="C1692" t="s">
        <v>88</v>
      </c>
      <c r="D1692" t="s">
        <v>26</v>
      </c>
      <c r="E1692">
        <v>1</v>
      </c>
      <c r="F1692" t="s">
        <v>84</v>
      </c>
      <c r="G1692">
        <v>6.99</v>
      </c>
      <c r="H1692">
        <v>6.19</v>
      </c>
      <c r="I1692" s="2" t="str">
        <f>_xlfn.XLOOKUP(F1692,DeparaIMG!D:D,DeparaIMG!F:F,,0)</f>
        <v>STELN.png</v>
      </c>
    </row>
    <row r="1693" spans="1:9" x14ac:dyDescent="0.25">
      <c r="A1693" t="s">
        <v>155</v>
      </c>
      <c r="B1693" t="s">
        <v>62</v>
      </c>
      <c r="C1693" t="s">
        <v>87</v>
      </c>
      <c r="D1693" t="s">
        <v>26</v>
      </c>
      <c r="E1693">
        <v>1</v>
      </c>
      <c r="F1693" t="s">
        <v>84</v>
      </c>
      <c r="G1693">
        <v>6.99</v>
      </c>
      <c r="H1693">
        <v>6.19</v>
      </c>
      <c r="I1693" s="2" t="str">
        <f>_xlfn.XLOOKUP(F1693,DeparaIMG!D:D,DeparaIMG!F:F,,0)</f>
        <v>STELN.png</v>
      </c>
    </row>
    <row r="1694" spans="1:9" x14ac:dyDescent="0.25">
      <c r="A1694" t="s">
        <v>155</v>
      </c>
      <c r="B1694" t="s">
        <v>62</v>
      </c>
      <c r="C1694" t="s">
        <v>88</v>
      </c>
      <c r="D1694" t="s">
        <v>25</v>
      </c>
      <c r="E1694">
        <v>1</v>
      </c>
      <c r="F1694" t="s">
        <v>85</v>
      </c>
      <c r="G1694">
        <v>7.99</v>
      </c>
      <c r="H1694">
        <v>6.99</v>
      </c>
      <c r="I1694" s="2" t="str">
        <f>_xlfn.XLOOKUP(F1694,DeparaIMG!D:D,DeparaIMG!F:F,,0)</f>
        <v>CORLN.png</v>
      </c>
    </row>
    <row r="1695" spans="1:9" x14ac:dyDescent="0.25">
      <c r="A1695" t="s">
        <v>155</v>
      </c>
      <c r="B1695" t="s">
        <v>62</v>
      </c>
      <c r="C1695" t="s">
        <v>113</v>
      </c>
      <c r="D1695" t="s">
        <v>26</v>
      </c>
      <c r="E1695">
        <v>1</v>
      </c>
      <c r="F1695" t="s">
        <v>85</v>
      </c>
      <c r="G1695">
        <v>7.99</v>
      </c>
      <c r="H1695">
        <v>6.99</v>
      </c>
      <c r="I1695" s="2" t="str">
        <f>_xlfn.XLOOKUP(F1695,DeparaIMG!D:D,DeparaIMG!F:F,,0)</f>
        <v>CORLN.png</v>
      </c>
    </row>
    <row r="1696" spans="1:9" x14ac:dyDescent="0.25">
      <c r="A1696" t="s">
        <v>155</v>
      </c>
      <c r="B1696" t="s">
        <v>62</v>
      </c>
      <c r="C1696" t="s">
        <v>89</v>
      </c>
      <c r="D1696" t="s">
        <v>26</v>
      </c>
      <c r="E1696">
        <v>1</v>
      </c>
      <c r="F1696" t="s">
        <v>85</v>
      </c>
      <c r="G1696">
        <v>7.99</v>
      </c>
      <c r="H1696">
        <v>6.99</v>
      </c>
      <c r="I1696" s="2" t="str">
        <f>_xlfn.XLOOKUP(F1696,DeparaIMG!D:D,DeparaIMG!F:F,,0)</f>
        <v>CORLN.png</v>
      </c>
    </row>
    <row r="1697" spans="1:9" x14ac:dyDescent="0.25">
      <c r="A1697" t="s">
        <v>155</v>
      </c>
      <c r="B1697" t="s">
        <v>62</v>
      </c>
      <c r="C1697" t="s">
        <v>173</v>
      </c>
      <c r="D1697" t="s">
        <v>26</v>
      </c>
      <c r="E1697">
        <v>1</v>
      </c>
      <c r="F1697" t="s">
        <v>85</v>
      </c>
      <c r="G1697">
        <v>7.99</v>
      </c>
      <c r="H1697">
        <v>6.99</v>
      </c>
      <c r="I1697" s="2" t="str">
        <f>_xlfn.XLOOKUP(F1697,DeparaIMG!D:D,DeparaIMG!F:F,,0)</f>
        <v>CORLN.png</v>
      </c>
    </row>
    <row r="1698" spans="1:9" x14ac:dyDescent="0.25">
      <c r="A1698" t="s">
        <v>155</v>
      </c>
      <c r="B1698" t="s">
        <v>62</v>
      </c>
      <c r="C1698" t="s">
        <v>89</v>
      </c>
      <c r="D1698" t="s">
        <v>25</v>
      </c>
      <c r="E1698">
        <v>1</v>
      </c>
      <c r="F1698" t="s">
        <v>85</v>
      </c>
      <c r="G1698">
        <v>7.99</v>
      </c>
      <c r="H1698">
        <v>6.99</v>
      </c>
      <c r="I1698" s="2" t="str">
        <f>_xlfn.XLOOKUP(F1698,DeparaIMG!D:D,DeparaIMG!F:F,,0)</f>
        <v>CORLN.png</v>
      </c>
    </row>
    <row r="1699" spans="1:9" x14ac:dyDescent="0.25">
      <c r="A1699" t="s">
        <v>155</v>
      </c>
      <c r="B1699" t="s">
        <v>62</v>
      </c>
      <c r="C1699" t="s">
        <v>173</v>
      </c>
      <c r="D1699" t="s">
        <v>25</v>
      </c>
      <c r="E1699">
        <v>1</v>
      </c>
      <c r="F1699" t="s">
        <v>85</v>
      </c>
      <c r="G1699">
        <v>7.99</v>
      </c>
      <c r="H1699">
        <v>6.99</v>
      </c>
      <c r="I1699" s="2" t="str">
        <f>_xlfn.XLOOKUP(F1699,DeparaIMG!D:D,DeparaIMG!F:F,,0)</f>
        <v>CORLN.png</v>
      </c>
    </row>
    <row r="1700" spans="1:9" x14ac:dyDescent="0.25">
      <c r="A1700" t="s">
        <v>155</v>
      </c>
      <c r="B1700" t="s">
        <v>62</v>
      </c>
      <c r="C1700" t="s">
        <v>88</v>
      </c>
      <c r="D1700" t="s">
        <v>25</v>
      </c>
      <c r="E1700">
        <v>1</v>
      </c>
      <c r="F1700" t="s">
        <v>86</v>
      </c>
      <c r="G1700">
        <v>7.99</v>
      </c>
      <c r="H1700">
        <v>6.99</v>
      </c>
      <c r="I1700" s="2" t="str">
        <f>_xlfn.XLOOKUP(F1700,DeparaIMG!D:D,DeparaIMG!F:F,,0)</f>
        <v>CORCEROLN.png</v>
      </c>
    </row>
    <row r="1701" spans="1:9" x14ac:dyDescent="0.25">
      <c r="A1701" t="s">
        <v>155</v>
      </c>
      <c r="B1701" t="s">
        <v>62</v>
      </c>
      <c r="C1701" t="s">
        <v>113</v>
      </c>
      <c r="D1701" t="s">
        <v>26</v>
      </c>
      <c r="E1701">
        <v>1</v>
      </c>
      <c r="F1701" t="s">
        <v>86</v>
      </c>
      <c r="G1701">
        <v>7.99</v>
      </c>
      <c r="H1701">
        <v>6.99</v>
      </c>
      <c r="I1701" s="2" t="str">
        <f>_xlfn.XLOOKUP(F1701,DeparaIMG!D:D,DeparaIMG!F:F,,0)</f>
        <v>CORCEROLN.png</v>
      </c>
    </row>
    <row r="1702" spans="1:9" x14ac:dyDescent="0.25">
      <c r="A1702" t="s">
        <v>155</v>
      </c>
      <c r="B1702" t="s">
        <v>62</v>
      </c>
      <c r="C1702" t="s">
        <v>89</v>
      </c>
      <c r="D1702" t="s">
        <v>26</v>
      </c>
      <c r="E1702">
        <v>1</v>
      </c>
      <c r="F1702" t="s">
        <v>86</v>
      </c>
      <c r="G1702">
        <v>7.99</v>
      </c>
      <c r="H1702">
        <v>6.99</v>
      </c>
      <c r="I1702" s="2" t="str">
        <f>_xlfn.XLOOKUP(F1702,DeparaIMG!D:D,DeparaIMG!F:F,,0)</f>
        <v>CORCEROLN.png</v>
      </c>
    </row>
    <row r="1703" spans="1:9" x14ac:dyDescent="0.25">
      <c r="A1703" t="s">
        <v>155</v>
      </c>
      <c r="B1703" t="s">
        <v>62</v>
      </c>
      <c r="C1703" t="s">
        <v>173</v>
      </c>
      <c r="D1703" t="s">
        <v>26</v>
      </c>
      <c r="E1703">
        <v>1</v>
      </c>
      <c r="F1703" t="s">
        <v>86</v>
      </c>
      <c r="G1703">
        <v>7.99</v>
      </c>
      <c r="H1703">
        <v>6.99</v>
      </c>
      <c r="I1703" s="2" t="str">
        <f>_xlfn.XLOOKUP(F1703,DeparaIMG!D:D,DeparaIMG!F:F,,0)</f>
        <v>CORCEROLN.png</v>
      </c>
    </row>
    <row r="1704" spans="1:9" x14ac:dyDescent="0.25">
      <c r="A1704" t="s">
        <v>155</v>
      </c>
      <c r="B1704" t="s">
        <v>62</v>
      </c>
      <c r="C1704" t="s">
        <v>89</v>
      </c>
      <c r="D1704" t="s">
        <v>25</v>
      </c>
      <c r="E1704">
        <v>1</v>
      </c>
      <c r="F1704" t="s">
        <v>86</v>
      </c>
      <c r="G1704">
        <v>7.99</v>
      </c>
      <c r="H1704">
        <v>6.99</v>
      </c>
      <c r="I1704" s="2" t="str">
        <f>_xlfn.XLOOKUP(F1704,DeparaIMG!D:D,DeparaIMG!F:F,,0)</f>
        <v>CORCEROLN.png</v>
      </c>
    </row>
    <row r="1705" spans="1:9" x14ac:dyDescent="0.25">
      <c r="A1705" t="s">
        <v>155</v>
      </c>
      <c r="B1705" t="s">
        <v>62</v>
      </c>
      <c r="C1705" t="s">
        <v>173</v>
      </c>
      <c r="D1705" t="s">
        <v>25</v>
      </c>
      <c r="E1705">
        <v>1</v>
      </c>
      <c r="F1705" t="s">
        <v>86</v>
      </c>
      <c r="G1705">
        <v>7.99</v>
      </c>
      <c r="H1705">
        <v>6.99</v>
      </c>
      <c r="I1705" s="2" t="str">
        <f>_xlfn.XLOOKUP(F1705,DeparaIMG!D:D,DeparaIMG!F:F,,0)</f>
        <v>CORCEROLN.png</v>
      </c>
    </row>
    <row r="1706" spans="1:9" x14ac:dyDescent="0.25">
      <c r="A1706" t="s">
        <v>155</v>
      </c>
      <c r="B1706" t="s">
        <v>62</v>
      </c>
      <c r="C1706" t="s">
        <v>112</v>
      </c>
      <c r="D1706" t="s">
        <v>25</v>
      </c>
      <c r="E1706">
        <v>1</v>
      </c>
      <c r="F1706" t="s">
        <v>85</v>
      </c>
      <c r="G1706">
        <v>7.99</v>
      </c>
      <c r="H1706">
        <v>6.99</v>
      </c>
      <c r="I1706" s="2" t="str">
        <f>_xlfn.XLOOKUP(F1706,DeparaIMG!D:D,DeparaIMG!F:F,,0)</f>
        <v>CORLN.png</v>
      </c>
    </row>
    <row r="1707" spans="1:9" x14ac:dyDescent="0.25">
      <c r="A1707" t="s">
        <v>155</v>
      </c>
      <c r="B1707" t="s">
        <v>62</v>
      </c>
      <c r="C1707" t="s">
        <v>112</v>
      </c>
      <c r="D1707" t="s">
        <v>26</v>
      </c>
      <c r="E1707">
        <v>1</v>
      </c>
      <c r="F1707" t="s">
        <v>85</v>
      </c>
      <c r="G1707">
        <v>7.99</v>
      </c>
      <c r="H1707">
        <v>6.99</v>
      </c>
      <c r="I1707" s="2" t="str">
        <f>_xlfn.XLOOKUP(F1707,DeparaIMG!D:D,DeparaIMG!F:F,,0)</f>
        <v>CORLN.png</v>
      </c>
    </row>
    <row r="1708" spans="1:9" x14ac:dyDescent="0.25">
      <c r="A1708" t="s">
        <v>155</v>
      </c>
      <c r="B1708" t="s">
        <v>62</v>
      </c>
      <c r="C1708" t="s">
        <v>29</v>
      </c>
      <c r="D1708" t="s">
        <v>25</v>
      </c>
      <c r="E1708">
        <v>1</v>
      </c>
      <c r="F1708" t="s">
        <v>85</v>
      </c>
      <c r="G1708">
        <v>7.99</v>
      </c>
      <c r="H1708">
        <v>6.99</v>
      </c>
      <c r="I1708" s="2" t="str">
        <f>_xlfn.XLOOKUP(F1708,DeparaIMG!D:D,DeparaIMG!F:F,,0)</f>
        <v>CORLN.png</v>
      </c>
    </row>
    <row r="1709" spans="1:9" x14ac:dyDescent="0.25">
      <c r="A1709" t="s">
        <v>155</v>
      </c>
      <c r="B1709" t="s">
        <v>62</v>
      </c>
      <c r="C1709" t="s">
        <v>29</v>
      </c>
      <c r="D1709" t="s">
        <v>26</v>
      </c>
      <c r="E1709">
        <v>1</v>
      </c>
      <c r="F1709" t="s">
        <v>85</v>
      </c>
      <c r="G1709">
        <v>7.99</v>
      </c>
      <c r="H1709">
        <v>6.99</v>
      </c>
      <c r="I1709" s="2" t="str">
        <f>_xlfn.XLOOKUP(F1709,DeparaIMG!D:D,DeparaIMG!F:F,,0)</f>
        <v>CORLN.png</v>
      </c>
    </row>
    <row r="1710" spans="1:9" x14ac:dyDescent="0.25">
      <c r="A1710" t="s">
        <v>155</v>
      </c>
      <c r="B1710" t="s">
        <v>62</v>
      </c>
      <c r="C1710" t="s">
        <v>87</v>
      </c>
      <c r="D1710" t="s">
        <v>25</v>
      </c>
      <c r="E1710">
        <v>1</v>
      </c>
      <c r="F1710" t="s">
        <v>85</v>
      </c>
      <c r="G1710">
        <v>7.99</v>
      </c>
      <c r="H1710">
        <v>6.99</v>
      </c>
      <c r="I1710" s="2" t="str">
        <f>_xlfn.XLOOKUP(F1710,DeparaIMG!D:D,DeparaIMG!F:F,,0)</f>
        <v>CORLN.png</v>
      </c>
    </row>
    <row r="1711" spans="1:9" x14ac:dyDescent="0.25">
      <c r="A1711" t="s">
        <v>155</v>
      </c>
      <c r="B1711" t="s">
        <v>62</v>
      </c>
      <c r="C1711" t="s">
        <v>87</v>
      </c>
      <c r="D1711" t="s">
        <v>26</v>
      </c>
      <c r="E1711">
        <v>1</v>
      </c>
      <c r="F1711" t="s">
        <v>85</v>
      </c>
      <c r="G1711">
        <v>7.99</v>
      </c>
      <c r="H1711">
        <v>6.99</v>
      </c>
      <c r="I1711" s="2" t="str">
        <f>_xlfn.XLOOKUP(F1711,DeparaIMG!D:D,DeparaIMG!F:F,,0)</f>
        <v>CORLN.png</v>
      </c>
    </row>
    <row r="1712" spans="1:9" x14ac:dyDescent="0.25">
      <c r="A1712" t="s">
        <v>155</v>
      </c>
      <c r="B1712" t="s">
        <v>62</v>
      </c>
      <c r="C1712" t="s">
        <v>88</v>
      </c>
      <c r="D1712" t="s">
        <v>26</v>
      </c>
      <c r="E1712">
        <v>1</v>
      </c>
      <c r="F1712" t="s">
        <v>85</v>
      </c>
      <c r="G1712">
        <v>7.99</v>
      </c>
      <c r="H1712">
        <v>6.99</v>
      </c>
      <c r="I1712" s="2" t="str">
        <f>_xlfn.XLOOKUP(F1712,DeparaIMG!D:D,DeparaIMG!F:F,,0)</f>
        <v>CORLN.png</v>
      </c>
    </row>
    <row r="1713" spans="1:9" x14ac:dyDescent="0.25">
      <c r="A1713" t="s">
        <v>155</v>
      </c>
      <c r="B1713" t="s">
        <v>62</v>
      </c>
      <c r="C1713" t="s">
        <v>113</v>
      </c>
      <c r="D1713" t="s">
        <v>25</v>
      </c>
      <c r="E1713">
        <v>1</v>
      </c>
      <c r="F1713" t="s">
        <v>85</v>
      </c>
      <c r="G1713">
        <v>7.99</v>
      </c>
      <c r="H1713">
        <v>6.99</v>
      </c>
      <c r="I1713" s="2" t="str">
        <f>_xlfn.XLOOKUP(F1713,DeparaIMG!D:D,DeparaIMG!F:F,,0)</f>
        <v>CORLN.png</v>
      </c>
    </row>
    <row r="1714" spans="1:9" x14ac:dyDescent="0.25">
      <c r="A1714" t="s">
        <v>155</v>
      </c>
      <c r="B1714" t="s">
        <v>62</v>
      </c>
      <c r="C1714" t="s">
        <v>112</v>
      </c>
      <c r="D1714" t="s">
        <v>25</v>
      </c>
      <c r="E1714">
        <v>1</v>
      </c>
      <c r="F1714" t="s">
        <v>86</v>
      </c>
      <c r="G1714">
        <v>7.99</v>
      </c>
      <c r="H1714">
        <v>6.99</v>
      </c>
      <c r="I1714" s="2" t="str">
        <f>_xlfn.XLOOKUP(F1714,DeparaIMG!D:D,DeparaIMG!F:F,,0)</f>
        <v>CORCEROLN.png</v>
      </c>
    </row>
    <row r="1715" spans="1:9" x14ac:dyDescent="0.25">
      <c r="A1715" t="s">
        <v>155</v>
      </c>
      <c r="B1715" t="s">
        <v>62</v>
      </c>
      <c r="C1715" t="s">
        <v>112</v>
      </c>
      <c r="D1715" t="s">
        <v>26</v>
      </c>
      <c r="E1715">
        <v>1</v>
      </c>
      <c r="F1715" t="s">
        <v>86</v>
      </c>
      <c r="G1715">
        <v>7.99</v>
      </c>
      <c r="H1715">
        <v>6.99</v>
      </c>
      <c r="I1715" s="2" t="str">
        <f>_xlfn.XLOOKUP(F1715,DeparaIMG!D:D,DeparaIMG!F:F,,0)</f>
        <v>CORCEROLN.png</v>
      </c>
    </row>
    <row r="1716" spans="1:9" x14ac:dyDescent="0.25">
      <c r="A1716" t="s">
        <v>155</v>
      </c>
      <c r="B1716" t="s">
        <v>62</v>
      </c>
      <c r="C1716" t="s">
        <v>29</v>
      </c>
      <c r="D1716" t="s">
        <v>25</v>
      </c>
      <c r="E1716">
        <v>1</v>
      </c>
      <c r="F1716" t="s">
        <v>86</v>
      </c>
      <c r="G1716">
        <v>7.99</v>
      </c>
      <c r="H1716">
        <v>6.99</v>
      </c>
      <c r="I1716" s="2" t="str">
        <f>_xlfn.XLOOKUP(F1716,DeparaIMG!D:D,DeparaIMG!F:F,,0)</f>
        <v>CORCEROLN.png</v>
      </c>
    </row>
    <row r="1717" spans="1:9" x14ac:dyDescent="0.25">
      <c r="A1717" t="s">
        <v>155</v>
      </c>
      <c r="B1717" t="s">
        <v>62</v>
      </c>
      <c r="C1717" t="s">
        <v>29</v>
      </c>
      <c r="D1717" t="s">
        <v>26</v>
      </c>
      <c r="E1717">
        <v>1</v>
      </c>
      <c r="F1717" t="s">
        <v>86</v>
      </c>
      <c r="G1717">
        <v>7.99</v>
      </c>
      <c r="H1717">
        <v>6.99</v>
      </c>
      <c r="I1717" s="2" t="str">
        <f>_xlfn.XLOOKUP(F1717,DeparaIMG!D:D,DeparaIMG!F:F,,0)</f>
        <v>CORCEROLN.png</v>
      </c>
    </row>
    <row r="1718" spans="1:9" x14ac:dyDescent="0.25">
      <c r="A1718" t="s">
        <v>155</v>
      </c>
      <c r="B1718" t="s">
        <v>62</v>
      </c>
      <c r="C1718" t="s">
        <v>87</v>
      </c>
      <c r="D1718" t="s">
        <v>25</v>
      </c>
      <c r="E1718">
        <v>1</v>
      </c>
      <c r="F1718" t="s">
        <v>86</v>
      </c>
      <c r="G1718">
        <v>7.99</v>
      </c>
      <c r="H1718">
        <v>6.99</v>
      </c>
      <c r="I1718" s="2" t="str">
        <f>_xlfn.XLOOKUP(F1718,DeparaIMG!D:D,DeparaIMG!F:F,,0)</f>
        <v>CORCEROLN.png</v>
      </c>
    </row>
    <row r="1719" spans="1:9" x14ac:dyDescent="0.25">
      <c r="A1719" t="s">
        <v>155</v>
      </c>
      <c r="B1719" t="s">
        <v>62</v>
      </c>
      <c r="C1719" t="s">
        <v>87</v>
      </c>
      <c r="D1719" t="s">
        <v>26</v>
      </c>
      <c r="E1719">
        <v>1</v>
      </c>
      <c r="F1719" t="s">
        <v>86</v>
      </c>
      <c r="G1719">
        <v>7.99</v>
      </c>
      <c r="H1719">
        <v>6.99</v>
      </c>
      <c r="I1719" s="2" t="str">
        <f>_xlfn.XLOOKUP(F1719,DeparaIMG!D:D,DeparaIMG!F:F,,0)</f>
        <v>CORCEROLN.png</v>
      </c>
    </row>
    <row r="1720" spans="1:9" x14ac:dyDescent="0.25">
      <c r="A1720" t="s">
        <v>155</v>
      </c>
      <c r="B1720" t="s">
        <v>62</v>
      </c>
      <c r="C1720" t="s">
        <v>88</v>
      </c>
      <c r="D1720" t="s">
        <v>26</v>
      </c>
      <c r="E1720">
        <v>1</v>
      </c>
      <c r="F1720" t="s">
        <v>86</v>
      </c>
      <c r="G1720">
        <v>7.99</v>
      </c>
      <c r="H1720">
        <v>6.99</v>
      </c>
      <c r="I1720" s="2" t="str">
        <f>_xlfn.XLOOKUP(F1720,DeparaIMG!D:D,DeparaIMG!F:F,,0)</f>
        <v>CORCEROLN.png</v>
      </c>
    </row>
    <row r="1721" spans="1:9" x14ac:dyDescent="0.25">
      <c r="A1721" t="s">
        <v>155</v>
      </c>
      <c r="B1721" t="s">
        <v>62</v>
      </c>
      <c r="C1721" t="s">
        <v>113</v>
      </c>
      <c r="D1721" t="s">
        <v>25</v>
      </c>
      <c r="E1721">
        <v>1</v>
      </c>
      <c r="F1721" t="s">
        <v>86</v>
      </c>
      <c r="G1721">
        <v>7.99</v>
      </c>
      <c r="H1721">
        <v>6.99</v>
      </c>
      <c r="I1721" s="2" t="str">
        <f>_xlfn.XLOOKUP(F1721,DeparaIMG!D:D,DeparaIMG!F:F,,0)</f>
        <v>CORCEROLN.png</v>
      </c>
    </row>
    <row r="1722" spans="1:9" x14ac:dyDescent="0.25">
      <c r="A1722" t="s">
        <v>155</v>
      </c>
      <c r="B1722" t="s">
        <v>62</v>
      </c>
      <c r="C1722" t="s">
        <v>173</v>
      </c>
      <c r="D1722" t="s">
        <v>26</v>
      </c>
      <c r="E1722">
        <v>1</v>
      </c>
      <c r="F1722" t="s">
        <v>84</v>
      </c>
      <c r="G1722">
        <v>6.99</v>
      </c>
      <c r="H1722">
        <v>6.19</v>
      </c>
      <c r="I1722" s="2" t="str">
        <f>_xlfn.XLOOKUP(F1722,DeparaIMG!D:D,DeparaIMG!F:F,,0)</f>
        <v>STELN.png</v>
      </c>
    </row>
    <row r="1723" spans="1:9" x14ac:dyDescent="0.25">
      <c r="A1723" t="s">
        <v>155</v>
      </c>
      <c r="B1723" t="s">
        <v>62</v>
      </c>
      <c r="C1723" t="s">
        <v>173</v>
      </c>
      <c r="D1723" t="s">
        <v>26</v>
      </c>
      <c r="E1723">
        <v>1</v>
      </c>
      <c r="F1723" t="s">
        <v>125</v>
      </c>
      <c r="G1723">
        <v>5.99</v>
      </c>
      <c r="H1723">
        <v>5.49</v>
      </c>
      <c r="I1723" s="2" t="str">
        <f>_xlfn.XLOOKUP(F1723,DeparaIMG!D:D,DeparaIMG!F:F,,0)</f>
        <v>STEPG350.png</v>
      </c>
    </row>
    <row r="1724" spans="1:9" x14ac:dyDescent="0.25">
      <c r="A1724" t="s">
        <v>155</v>
      </c>
      <c r="B1724" t="s">
        <v>62</v>
      </c>
      <c r="C1724" t="s">
        <v>113</v>
      </c>
      <c r="D1724" t="s">
        <v>26</v>
      </c>
      <c r="E1724">
        <v>1</v>
      </c>
      <c r="F1724" t="s">
        <v>125</v>
      </c>
      <c r="G1724">
        <v>5.99</v>
      </c>
      <c r="H1724">
        <v>5.49</v>
      </c>
      <c r="I1724" s="2" t="str">
        <f>_xlfn.XLOOKUP(F1724,DeparaIMG!D:D,DeparaIMG!F:F,,0)</f>
        <v>STEPG350.png</v>
      </c>
    </row>
    <row r="1725" spans="1:9" x14ac:dyDescent="0.25">
      <c r="A1725" t="s">
        <v>155</v>
      </c>
      <c r="B1725" t="s">
        <v>62</v>
      </c>
      <c r="C1725" t="s">
        <v>112</v>
      </c>
      <c r="D1725" t="s">
        <v>26</v>
      </c>
      <c r="E1725">
        <v>1</v>
      </c>
      <c r="F1725" t="s">
        <v>125</v>
      </c>
      <c r="G1725">
        <v>5.99</v>
      </c>
      <c r="H1725">
        <v>5.49</v>
      </c>
      <c r="I1725" s="2" t="str">
        <f>_xlfn.XLOOKUP(F1725,DeparaIMG!D:D,DeparaIMG!F:F,,0)</f>
        <v>STEPG350.png</v>
      </c>
    </row>
    <row r="1726" spans="1:9" x14ac:dyDescent="0.25">
      <c r="A1726" t="s">
        <v>155</v>
      </c>
      <c r="B1726" t="s">
        <v>62</v>
      </c>
      <c r="C1726" t="s">
        <v>29</v>
      </c>
      <c r="D1726" t="s">
        <v>26</v>
      </c>
      <c r="E1726">
        <v>1</v>
      </c>
      <c r="F1726" t="s">
        <v>125</v>
      </c>
      <c r="G1726">
        <v>5.99</v>
      </c>
      <c r="H1726">
        <v>5.49</v>
      </c>
      <c r="I1726" s="2" t="str">
        <f>_xlfn.XLOOKUP(F1726,DeparaIMG!D:D,DeparaIMG!F:F,,0)</f>
        <v>STEPG350.png</v>
      </c>
    </row>
    <row r="1727" spans="1:9" x14ac:dyDescent="0.25">
      <c r="A1727" t="s">
        <v>155</v>
      </c>
      <c r="B1727" t="s">
        <v>62</v>
      </c>
      <c r="C1727" t="s">
        <v>88</v>
      </c>
      <c r="D1727" t="s">
        <v>26</v>
      </c>
      <c r="E1727">
        <v>1</v>
      </c>
      <c r="F1727" t="s">
        <v>124</v>
      </c>
      <c r="G1727">
        <v>4.6900000000000004</v>
      </c>
      <c r="H1727">
        <v>4.3899999999999997</v>
      </c>
      <c r="I1727" s="2" t="str">
        <f>_xlfn.XLOOKUP(F1727,DeparaIMG!D:D,DeparaIMG!F:F,,0)</f>
        <v>STEPG269.png</v>
      </c>
    </row>
    <row r="1728" spans="1:9" x14ac:dyDescent="0.25">
      <c r="A1728" t="s">
        <v>155</v>
      </c>
      <c r="B1728" t="s">
        <v>62</v>
      </c>
      <c r="C1728" t="s">
        <v>87</v>
      </c>
      <c r="D1728" t="s">
        <v>26</v>
      </c>
      <c r="E1728">
        <v>1</v>
      </c>
      <c r="F1728" t="s">
        <v>124</v>
      </c>
      <c r="G1728">
        <v>4.6900000000000004</v>
      </c>
      <c r="H1728">
        <v>4.3899999999999997</v>
      </c>
      <c r="I1728" s="2" t="str">
        <f>_xlfn.XLOOKUP(F1728,DeparaIMG!D:D,DeparaIMG!F:F,,0)</f>
        <v>STEPG269.png</v>
      </c>
    </row>
    <row r="1729" spans="1:9" x14ac:dyDescent="0.25">
      <c r="A1729" t="s">
        <v>155</v>
      </c>
      <c r="B1729" t="s">
        <v>62</v>
      </c>
      <c r="C1729" t="s">
        <v>89</v>
      </c>
      <c r="D1729" t="s">
        <v>26</v>
      </c>
      <c r="E1729">
        <v>1</v>
      </c>
      <c r="F1729" t="s">
        <v>125</v>
      </c>
      <c r="G1729">
        <v>5.99</v>
      </c>
      <c r="H1729">
        <v>5.49</v>
      </c>
      <c r="I1729" s="2" t="str">
        <f>_xlfn.XLOOKUP(F1729,DeparaIMG!D:D,DeparaIMG!F:F,,0)</f>
        <v>STEPG350.png</v>
      </c>
    </row>
    <row r="1730" spans="1:9" x14ac:dyDescent="0.25">
      <c r="A1730" t="s">
        <v>155</v>
      </c>
      <c r="B1730" t="s">
        <v>62</v>
      </c>
      <c r="C1730" t="s">
        <v>173</v>
      </c>
      <c r="D1730" t="s">
        <v>25</v>
      </c>
      <c r="E1730">
        <v>1</v>
      </c>
      <c r="F1730" t="s">
        <v>125</v>
      </c>
      <c r="G1730">
        <v>5.99</v>
      </c>
      <c r="H1730">
        <v>5.49</v>
      </c>
      <c r="I1730" s="2" t="str">
        <f>_xlfn.XLOOKUP(F1730,DeparaIMG!D:D,DeparaIMG!F:F,,0)</f>
        <v>STEPG350.png</v>
      </c>
    </row>
    <row r="1731" spans="1:9" x14ac:dyDescent="0.25">
      <c r="A1731" t="s">
        <v>155</v>
      </c>
      <c r="B1731" t="s">
        <v>62</v>
      </c>
      <c r="C1731" t="s">
        <v>113</v>
      </c>
      <c r="D1731" t="s">
        <v>25</v>
      </c>
      <c r="E1731">
        <v>1</v>
      </c>
      <c r="F1731" t="s">
        <v>125</v>
      </c>
      <c r="G1731">
        <v>5.99</v>
      </c>
      <c r="H1731">
        <v>5.49</v>
      </c>
      <c r="I1731" s="2" t="str">
        <f>_xlfn.XLOOKUP(F1731,DeparaIMG!D:D,DeparaIMG!F:F,,0)</f>
        <v>STEPG350.png</v>
      </c>
    </row>
    <row r="1732" spans="1:9" x14ac:dyDescent="0.25">
      <c r="A1732" t="s">
        <v>155</v>
      </c>
      <c r="B1732" t="s">
        <v>62</v>
      </c>
      <c r="C1732" t="s">
        <v>112</v>
      </c>
      <c r="D1732" t="s">
        <v>25</v>
      </c>
      <c r="E1732">
        <v>1</v>
      </c>
      <c r="F1732" t="s">
        <v>125</v>
      </c>
      <c r="G1732">
        <v>5.99</v>
      </c>
      <c r="H1732">
        <v>5.49</v>
      </c>
      <c r="I1732" s="2" t="str">
        <f>_xlfn.XLOOKUP(F1732,DeparaIMG!D:D,DeparaIMG!F:F,,0)</f>
        <v>STEPG350.png</v>
      </c>
    </row>
    <row r="1733" spans="1:9" x14ac:dyDescent="0.25">
      <c r="A1733" t="s">
        <v>155</v>
      </c>
      <c r="B1733" t="s">
        <v>62</v>
      </c>
      <c r="C1733" t="s">
        <v>29</v>
      </c>
      <c r="D1733" t="s">
        <v>25</v>
      </c>
      <c r="E1733">
        <v>1</v>
      </c>
      <c r="F1733" t="s">
        <v>125</v>
      </c>
      <c r="G1733">
        <v>5.99</v>
      </c>
      <c r="H1733">
        <v>5.49</v>
      </c>
      <c r="I1733" s="2" t="str">
        <f>_xlfn.XLOOKUP(F1733,DeparaIMG!D:D,DeparaIMG!F:F,,0)</f>
        <v>STEPG350.png</v>
      </c>
    </row>
    <row r="1734" spans="1:9" x14ac:dyDescent="0.25">
      <c r="A1734" t="s">
        <v>155</v>
      </c>
      <c r="B1734" t="s">
        <v>62</v>
      </c>
      <c r="C1734" t="s">
        <v>88</v>
      </c>
      <c r="D1734" t="s">
        <v>25</v>
      </c>
      <c r="E1734">
        <v>1</v>
      </c>
      <c r="F1734" t="s">
        <v>124</v>
      </c>
      <c r="G1734">
        <v>4.6900000000000004</v>
      </c>
      <c r="H1734">
        <v>4.3899999999999997</v>
      </c>
      <c r="I1734" s="2" t="str">
        <f>_xlfn.XLOOKUP(F1734,DeparaIMG!D:D,DeparaIMG!F:F,,0)</f>
        <v>STEPG269.png</v>
      </c>
    </row>
    <row r="1735" spans="1:9" x14ac:dyDescent="0.25">
      <c r="A1735" t="s">
        <v>155</v>
      </c>
      <c r="B1735" t="s">
        <v>62</v>
      </c>
      <c r="C1735" t="s">
        <v>87</v>
      </c>
      <c r="D1735" t="s">
        <v>25</v>
      </c>
      <c r="E1735">
        <v>1</v>
      </c>
      <c r="F1735" t="s">
        <v>124</v>
      </c>
      <c r="G1735">
        <v>4.6900000000000004</v>
      </c>
      <c r="H1735">
        <v>4.3899999999999997</v>
      </c>
      <c r="I1735" s="2" t="str">
        <f>_xlfn.XLOOKUP(F1735,DeparaIMG!D:D,DeparaIMG!F:F,,0)</f>
        <v>STEPG269.png</v>
      </c>
    </row>
    <row r="1736" spans="1:9" x14ac:dyDescent="0.25">
      <c r="A1736" t="s">
        <v>155</v>
      </c>
      <c r="B1736" t="s">
        <v>62</v>
      </c>
      <c r="C1736" t="s">
        <v>89</v>
      </c>
      <c r="D1736" t="s">
        <v>25</v>
      </c>
      <c r="E1736">
        <v>1</v>
      </c>
      <c r="F1736" t="s">
        <v>125</v>
      </c>
      <c r="G1736">
        <v>5.99</v>
      </c>
      <c r="H1736">
        <v>5.49</v>
      </c>
      <c r="I1736" s="2" t="str">
        <f>_xlfn.XLOOKUP(F1736,DeparaIMG!D:D,DeparaIMG!F:F,,0)</f>
        <v>STEPG350.png</v>
      </c>
    </row>
    <row r="1737" spans="1:9" x14ac:dyDescent="0.25">
      <c r="A1737" t="s">
        <v>155</v>
      </c>
      <c r="B1737" t="s">
        <v>62</v>
      </c>
      <c r="C1737" t="s">
        <v>89</v>
      </c>
      <c r="D1737" t="s">
        <v>26</v>
      </c>
      <c r="E1737">
        <v>1</v>
      </c>
      <c r="F1737" t="s">
        <v>119</v>
      </c>
      <c r="G1737">
        <v>2.89</v>
      </c>
      <c r="H1737">
        <v>2.59</v>
      </c>
      <c r="I1737" s="2" t="str">
        <f>_xlfn.XLOOKUP(F1737,DeparaIMG!D:D,DeparaIMG!F:F,,0)</f>
        <v>BC269MP.png</v>
      </c>
    </row>
    <row r="1738" spans="1:9" x14ac:dyDescent="0.25">
      <c r="A1738" t="s">
        <v>155</v>
      </c>
      <c r="B1738" t="s">
        <v>62</v>
      </c>
      <c r="C1738" t="s">
        <v>89</v>
      </c>
      <c r="D1738" t="s">
        <v>26</v>
      </c>
      <c r="E1738">
        <v>1</v>
      </c>
      <c r="F1738" t="s">
        <v>117</v>
      </c>
      <c r="G1738">
        <v>3.29</v>
      </c>
      <c r="H1738">
        <v>2.89</v>
      </c>
      <c r="I1738" s="2" t="str">
        <f>_xlfn.XLOOKUP(F1738,DeparaIMG!D:D,DeparaIMG!F:F,,0)</f>
        <v>BUD269MP.png</v>
      </c>
    </row>
    <row r="1739" spans="1:9" x14ac:dyDescent="0.25">
      <c r="A1739" t="s">
        <v>155</v>
      </c>
      <c r="B1739" t="s">
        <v>62</v>
      </c>
      <c r="C1739" t="s">
        <v>89</v>
      </c>
      <c r="D1739" t="s">
        <v>25</v>
      </c>
      <c r="E1739">
        <v>2</v>
      </c>
      <c r="F1739" t="s">
        <v>66</v>
      </c>
      <c r="G1739" s="6">
        <v>3.39</v>
      </c>
      <c r="H1739" s="6">
        <v>3.19</v>
      </c>
      <c r="I1739" s="2" t="str">
        <f>_xlfn.XLOOKUP(F1739,DeparaIMG!D:D,DeparaIMG!F:F,,0)</f>
        <v>SK269.png</v>
      </c>
    </row>
    <row r="1740" spans="1:9" x14ac:dyDescent="0.25">
      <c r="A1740" t="s">
        <v>155</v>
      </c>
      <c r="B1740" t="s">
        <v>62</v>
      </c>
      <c r="C1740" t="s">
        <v>173</v>
      </c>
      <c r="D1740" t="s">
        <v>25</v>
      </c>
      <c r="E1740">
        <v>2</v>
      </c>
      <c r="F1740" t="s">
        <v>67</v>
      </c>
      <c r="G1740" s="6">
        <v>3.39</v>
      </c>
      <c r="H1740" s="6">
        <v>3.0900000000000003</v>
      </c>
      <c r="I1740" s="2" t="str">
        <f>_xlfn.XLOOKUP(F1740,DeparaIMG!D:D,DeparaIMG!F:F,,0)</f>
        <v>AP269.png</v>
      </c>
    </row>
    <row r="1741" spans="1:9" x14ac:dyDescent="0.25">
      <c r="A1741" t="s">
        <v>155</v>
      </c>
      <c r="B1741" t="s">
        <v>62</v>
      </c>
      <c r="C1741" t="s">
        <v>173</v>
      </c>
      <c r="D1741" t="s">
        <v>26</v>
      </c>
      <c r="E1741">
        <v>2</v>
      </c>
      <c r="F1741" t="s">
        <v>67</v>
      </c>
      <c r="G1741" s="6">
        <v>3.39</v>
      </c>
      <c r="H1741" s="6">
        <v>3.0900000000000003</v>
      </c>
      <c r="I1741" s="2" t="str">
        <f>_xlfn.XLOOKUP(F1741,DeparaIMG!D:D,DeparaIMG!F:F,,0)</f>
        <v>AP269.png</v>
      </c>
    </row>
    <row r="1742" spans="1:9" x14ac:dyDescent="0.25">
      <c r="A1742" t="s">
        <v>155</v>
      </c>
      <c r="B1742" t="s">
        <v>62</v>
      </c>
      <c r="C1742" t="s">
        <v>89</v>
      </c>
      <c r="D1742" t="s">
        <v>26</v>
      </c>
      <c r="E1742">
        <v>2</v>
      </c>
      <c r="F1742" t="s">
        <v>66</v>
      </c>
      <c r="G1742" s="6">
        <v>3.39</v>
      </c>
      <c r="H1742" s="6">
        <v>3.19</v>
      </c>
      <c r="I1742" s="2" t="str">
        <f>_xlfn.XLOOKUP(F1742,DeparaIMG!D:D,DeparaIMG!F:F,,0)</f>
        <v>SK269.png</v>
      </c>
    </row>
    <row r="1743" spans="1:9" x14ac:dyDescent="0.25">
      <c r="A1743" t="s">
        <v>155</v>
      </c>
      <c r="B1743" t="s">
        <v>62</v>
      </c>
      <c r="C1743" t="s">
        <v>89</v>
      </c>
      <c r="D1743" t="s">
        <v>25</v>
      </c>
      <c r="E1743">
        <v>2</v>
      </c>
      <c r="F1743" t="s">
        <v>70</v>
      </c>
      <c r="G1743" s="6">
        <v>3.69</v>
      </c>
      <c r="H1743" s="6">
        <v>3.19</v>
      </c>
      <c r="I1743" s="2" t="str">
        <f>_xlfn.XLOOKUP(F1743,DeparaIMG!D:D,DeparaIMG!F:F,,0)</f>
        <v>BC0350.png</v>
      </c>
    </row>
    <row r="1744" spans="1:9" x14ac:dyDescent="0.25">
      <c r="A1744" t="s">
        <v>155</v>
      </c>
      <c r="B1744" t="s">
        <v>62</v>
      </c>
      <c r="C1744" t="s">
        <v>173</v>
      </c>
      <c r="D1744" t="s">
        <v>25</v>
      </c>
      <c r="E1744">
        <v>2</v>
      </c>
      <c r="F1744" t="s">
        <v>70</v>
      </c>
      <c r="G1744" s="6">
        <v>3.69</v>
      </c>
      <c r="H1744" s="6">
        <v>3.19</v>
      </c>
      <c r="I1744" s="2" t="str">
        <f>_xlfn.XLOOKUP(F1744,DeparaIMG!D:D,DeparaIMG!F:F,,0)</f>
        <v>BC0350.png</v>
      </c>
    </row>
    <row r="1745" spans="1:9" x14ac:dyDescent="0.25">
      <c r="A1745" t="s">
        <v>155</v>
      </c>
      <c r="B1745" t="s">
        <v>62</v>
      </c>
      <c r="C1745" t="s">
        <v>89</v>
      </c>
      <c r="D1745" t="s">
        <v>25</v>
      </c>
      <c r="E1745">
        <v>2</v>
      </c>
      <c r="F1745" t="s">
        <v>64</v>
      </c>
      <c r="G1745" s="6">
        <v>3.89</v>
      </c>
      <c r="H1745" s="6">
        <v>3.7869999999999999</v>
      </c>
      <c r="I1745" s="2" t="str">
        <f>_xlfn.XLOOKUP(F1745,DeparaIMG!D:D,DeparaIMG!F:F,,0)</f>
        <v>SKZERO350.png</v>
      </c>
    </row>
    <row r="1746" spans="1:9" x14ac:dyDescent="0.25">
      <c r="A1746" t="s">
        <v>155</v>
      </c>
      <c r="B1746" t="s">
        <v>62</v>
      </c>
      <c r="C1746" t="s">
        <v>173</v>
      </c>
      <c r="D1746" t="s">
        <v>25</v>
      </c>
      <c r="E1746">
        <v>2</v>
      </c>
      <c r="F1746" t="s">
        <v>64</v>
      </c>
      <c r="G1746" s="6">
        <v>3.89</v>
      </c>
      <c r="H1746" s="6">
        <v>3.6870000000000003</v>
      </c>
      <c r="I1746" s="2" t="str">
        <f>_xlfn.XLOOKUP(F1746,DeparaIMG!D:D,DeparaIMG!F:F,,0)</f>
        <v>SKZERO350.png</v>
      </c>
    </row>
    <row r="1747" spans="1:9" x14ac:dyDescent="0.25">
      <c r="A1747" t="s">
        <v>155</v>
      </c>
      <c r="B1747" t="s">
        <v>62</v>
      </c>
      <c r="C1747" t="s">
        <v>89</v>
      </c>
      <c r="D1747" t="s">
        <v>25</v>
      </c>
      <c r="E1747">
        <v>2</v>
      </c>
      <c r="F1747" t="s">
        <v>72</v>
      </c>
      <c r="G1747" s="6">
        <v>3.9910000000000001</v>
      </c>
      <c r="H1747" s="6">
        <v>3.6900000000000004</v>
      </c>
      <c r="I1747" s="2" t="str">
        <f>_xlfn.XLOOKUP(F1747,DeparaIMG!D:D,DeparaIMG!F:F,,0)</f>
        <v>ORI269.png</v>
      </c>
    </row>
    <row r="1748" spans="1:9" x14ac:dyDescent="0.25">
      <c r="A1748" t="s">
        <v>155</v>
      </c>
      <c r="B1748" t="s">
        <v>62</v>
      </c>
      <c r="C1748" t="s">
        <v>173</v>
      </c>
      <c r="D1748" t="s">
        <v>25</v>
      </c>
      <c r="E1748">
        <v>2</v>
      </c>
      <c r="F1748" t="s">
        <v>72</v>
      </c>
      <c r="G1748" s="6">
        <v>3.9910000000000001</v>
      </c>
      <c r="H1748" s="6">
        <v>3.6900000000000004</v>
      </c>
      <c r="I1748" s="2" t="str">
        <f>_xlfn.XLOOKUP(F1748,DeparaIMG!D:D,DeparaIMG!F:F,,0)</f>
        <v>ORI269.png</v>
      </c>
    </row>
    <row r="1749" spans="1:9" x14ac:dyDescent="0.25">
      <c r="A1749" t="s">
        <v>155</v>
      </c>
      <c r="B1749" t="s">
        <v>62</v>
      </c>
      <c r="C1749" t="s">
        <v>89</v>
      </c>
      <c r="D1749" t="s">
        <v>26</v>
      </c>
      <c r="E1749">
        <v>2</v>
      </c>
      <c r="F1749" t="s">
        <v>72</v>
      </c>
      <c r="G1749" s="6">
        <v>3.9910000000000001</v>
      </c>
      <c r="H1749" s="6">
        <v>3.6900000000000004</v>
      </c>
      <c r="I1749" s="2" t="str">
        <f>_xlfn.XLOOKUP(F1749,DeparaIMG!D:D,DeparaIMG!F:F,,0)</f>
        <v>ORI269.png</v>
      </c>
    </row>
    <row r="1750" spans="1:9" x14ac:dyDescent="0.25">
      <c r="A1750" t="s">
        <v>155</v>
      </c>
      <c r="B1750" t="s">
        <v>62</v>
      </c>
      <c r="C1750" t="s">
        <v>173</v>
      </c>
      <c r="D1750" t="s">
        <v>26</v>
      </c>
      <c r="E1750">
        <v>2</v>
      </c>
      <c r="F1750" t="s">
        <v>72</v>
      </c>
      <c r="G1750" s="6">
        <v>3.9910000000000001</v>
      </c>
      <c r="H1750" s="6">
        <v>3.6900000000000004</v>
      </c>
      <c r="I1750" s="2" t="str">
        <f>_xlfn.XLOOKUP(F1750,DeparaIMG!D:D,DeparaIMG!F:F,,0)</f>
        <v>ORI269.png</v>
      </c>
    </row>
    <row r="1751" spans="1:9" x14ac:dyDescent="0.25">
      <c r="A1751" t="s">
        <v>155</v>
      </c>
      <c r="B1751" t="s">
        <v>62</v>
      </c>
      <c r="C1751" t="s">
        <v>173</v>
      </c>
      <c r="D1751" t="s">
        <v>26</v>
      </c>
      <c r="E1751">
        <v>2</v>
      </c>
      <c r="F1751" t="s">
        <v>70</v>
      </c>
      <c r="G1751" s="6">
        <v>3.992</v>
      </c>
      <c r="H1751" s="6">
        <v>3.49</v>
      </c>
      <c r="I1751" s="2" t="str">
        <f>_xlfn.XLOOKUP(F1751,DeparaIMG!D:D,DeparaIMG!F:F,,0)</f>
        <v>BC0350.png</v>
      </c>
    </row>
    <row r="1752" spans="1:9" x14ac:dyDescent="0.25">
      <c r="A1752" t="s">
        <v>155</v>
      </c>
      <c r="B1752" t="s">
        <v>62</v>
      </c>
      <c r="C1752" t="s">
        <v>89</v>
      </c>
      <c r="D1752" t="s">
        <v>26</v>
      </c>
      <c r="E1752">
        <v>2</v>
      </c>
      <c r="F1752" t="s">
        <v>70</v>
      </c>
      <c r="G1752" s="6">
        <v>3.992</v>
      </c>
      <c r="H1752" s="6">
        <v>3.49</v>
      </c>
      <c r="I1752" s="2" t="str">
        <f>_xlfn.XLOOKUP(F1752,DeparaIMG!D:D,DeparaIMG!F:F,,0)</f>
        <v>BC0350.png</v>
      </c>
    </row>
    <row r="1753" spans="1:9" x14ac:dyDescent="0.25">
      <c r="A1753" t="s">
        <v>155</v>
      </c>
      <c r="B1753" t="s">
        <v>62</v>
      </c>
      <c r="C1753" t="s">
        <v>89</v>
      </c>
      <c r="D1753" t="s">
        <v>26</v>
      </c>
      <c r="E1753">
        <v>2</v>
      </c>
      <c r="F1753" t="s">
        <v>64</v>
      </c>
      <c r="G1753" s="6">
        <v>4.1900000000000004</v>
      </c>
      <c r="H1753" s="6">
        <v>4.0869999999999997</v>
      </c>
      <c r="I1753" s="2" t="str">
        <f>_xlfn.XLOOKUP(F1753,DeparaIMG!D:D,DeparaIMG!F:F,,0)</f>
        <v>SKZERO350.png</v>
      </c>
    </row>
    <row r="1754" spans="1:9" x14ac:dyDescent="0.25">
      <c r="A1754" t="s">
        <v>155</v>
      </c>
      <c r="B1754" t="s">
        <v>62</v>
      </c>
      <c r="C1754" t="s">
        <v>173</v>
      </c>
      <c r="D1754" t="s">
        <v>26</v>
      </c>
      <c r="E1754">
        <v>2</v>
      </c>
      <c r="F1754" t="s">
        <v>64</v>
      </c>
      <c r="G1754" s="6">
        <v>4.1900000000000004</v>
      </c>
      <c r="H1754" s="6">
        <v>3.9870000000000005</v>
      </c>
      <c r="I1754" s="2" t="str">
        <f>_xlfn.XLOOKUP(F1754,DeparaIMG!D:D,DeparaIMG!F:F,,0)</f>
        <v>SKZERO350.png</v>
      </c>
    </row>
    <row r="1755" spans="1:9" x14ac:dyDescent="0.25">
      <c r="A1755" t="s">
        <v>155</v>
      </c>
      <c r="B1755" t="s">
        <v>62</v>
      </c>
      <c r="C1755" t="s">
        <v>173</v>
      </c>
      <c r="D1755" t="s">
        <v>25</v>
      </c>
      <c r="E1755">
        <v>2</v>
      </c>
      <c r="F1755" t="s">
        <v>75</v>
      </c>
      <c r="G1755" s="6">
        <v>4.2910000000000004</v>
      </c>
      <c r="H1755" s="6">
        <v>3.4910000000000005</v>
      </c>
      <c r="I1755" s="2" t="str">
        <f>_xlfn.XLOOKUP(F1755,DeparaIMG!D:D,DeparaIMG!F:F,,0)</f>
        <v>STE269.png</v>
      </c>
    </row>
    <row r="1756" spans="1:9" x14ac:dyDescent="0.25">
      <c r="A1756" t="s">
        <v>155</v>
      </c>
      <c r="B1756" t="s">
        <v>62</v>
      </c>
      <c r="C1756" t="s">
        <v>89</v>
      </c>
      <c r="D1756" t="s">
        <v>25</v>
      </c>
      <c r="E1756">
        <v>2</v>
      </c>
      <c r="F1756" t="s">
        <v>75</v>
      </c>
      <c r="G1756" s="6">
        <v>4.2910000000000004</v>
      </c>
      <c r="H1756" s="6">
        <v>3.4910000000000005</v>
      </c>
      <c r="I1756" s="2" t="str">
        <f>_xlfn.XLOOKUP(F1756,DeparaIMG!D:D,DeparaIMG!F:F,,0)</f>
        <v>STE269.png</v>
      </c>
    </row>
    <row r="1757" spans="1:9" x14ac:dyDescent="0.25">
      <c r="A1757" t="s">
        <v>155</v>
      </c>
      <c r="B1757" t="s">
        <v>62</v>
      </c>
      <c r="C1757" t="s">
        <v>173</v>
      </c>
      <c r="D1757" t="s">
        <v>26</v>
      </c>
      <c r="E1757">
        <v>2</v>
      </c>
      <c r="F1757" t="s">
        <v>75</v>
      </c>
      <c r="G1757" s="6">
        <v>4.2919999999999998</v>
      </c>
      <c r="H1757" s="6">
        <v>3.492</v>
      </c>
      <c r="I1757" s="2" t="str">
        <f>_xlfn.XLOOKUP(F1757,DeparaIMG!D:D,DeparaIMG!F:F,,0)</f>
        <v>STE269.png</v>
      </c>
    </row>
    <row r="1758" spans="1:9" x14ac:dyDescent="0.25">
      <c r="A1758" t="s">
        <v>155</v>
      </c>
      <c r="B1758" t="s">
        <v>62</v>
      </c>
      <c r="C1758" t="s">
        <v>89</v>
      </c>
      <c r="D1758" t="s">
        <v>26</v>
      </c>
      <c r="E1758">
        <v>2</v>
      </c>
      <c r="F1758" t="s">
        <v>75</v>
      </c>
      <c r="G1758" s="6">
        <v>4.2919999999999998</v>
      </c>
      <c r="H1758" s="6">
        <v>3.492</v>
      </c>
      <c r="I1758" s="2" t="str">
        <f>_xlfn.XLOOKUP(F1758,DeparaIMG!D:D,DeparaIMG!F:F,,0)</f>
        <v>STE269.png</v>
      </c>
    </row>
    <row r="1759" spans="1:9" x14ac:dyDescent="0.25">
      <c r="A1759" t="s">
        <v>155</v>
      </c>
      <c r="B1759" t="s">
        <v>62</v>
      </c>
      <c r="C1759" t="s">
        <v>173</v>
      </c>
      <c r="D1759" t="s">
        <v>26</v>
      </c>
      <c r="E1759">
        <v>2</v>
      </c>
      <c r="F1759" t="s">
        <v>77</v>
      </c>
      <c r="G1759" s="6">
        <v>4.79</v>
      </c>
      <c r="H1759" s="6">
        <v>4.29</v>
      </c>
      <c r="I1759" s="2" t="str">
        <f>_xlfn.XLOOKUP(F1759,DeparaIMG!D:D,DeparaIMG!F:F,,0)</f>
        <v>COR269.png</v>
      </c>
    </row>
    <row r="1760" spans="1:9" x14ac:dyDescent="0.25">
      <c r="A1760" t="s">
        <v>155</v>
      </c>
      <c r="B1760" t="s">
        <v>62</v>
      </c>
      <c r="C1760" t="s">
        <v>89</v>
      </c>
      <c r="D1760" t="s">
        <v>26</v>
      </c>
      <c r="E1760">
        <v>2</v>
      </c>
      <c r="F1760" t="s">
        <v>77</v>
      </c>
      <c r="G1760" s="6">
        <v>4.79</v>
      </c>
      <c r="H1760" s="6">
        <v>4.29</v>
      </c>
      <c r="I1760" s="2" t="str">
        <f>_xlfn.XLOOKUP(F1760,DeparaIMG!D:D,DeparaIMG!F:F,,0)</f>
        <v>COR269.png</v>
      </c>
    </row>
    <row r="1761" spans="1:9" x14ac:dyDescent="0.25">
      <c r="A1761" t="s">
        <v>155</v>
      </c>
      <c r="B1761" t="s">
        <v>62</v>
      </c>
      <c r="C1761" t="s">
        <v>173</v>
      </c>
      <c r="D1761" t="s">
        <v>26</v>
      </c>
      <c r="E1761">
        <v>2</v>
      </c>
      <c r="F1761" t="s">
        <v>80</v>
      </c>
      <c r="G1761" s="6">
        <v>6.39</v>
      </c>
      <c r="H1761" s="6">
        <v>5.59</v>
      </c>
      <c r="I1761" s="2" t="str">
        <f>_xlfn.XLOOKUP(F1761,DeparaIMG!D:D,DeparaIMG!F:F,,0)</f>
        <v>CORCERO350.png</v>
      </c>
    </row>
    <row r="1762" spans="1:9" x14ac:dyDescent="0.25">
      <c r="A1762" t="s">
        <v>155</v>
      </c>
      <c r="B1762" t="s">
        <v>62</v>
      </c>
      <c r="C1762" t="s">
        <v>89</v>
      </c>
      <c r="D1762" t="s">
        <v>26</v>
      </c>
      <c r="E1762">
        <v>2</v>
      </c>
      <c r="F1762" t="s">
        <v>80</v>
      </c>
      <c r="G1762" s="6">
        <v>6.39</v>
      </c>
      <c r="H1762" s="6">
        <v>5.59</v>
      </c>
      <c r="I1762" s="2" t="str">
        <f>_xlfn.XLOOKUP(F1762,DeparaIMG!D:D,DeparaIMG!F:F,,0)</f>
        <v>CORCERO350.png</v>
      </c>
    </row>
    <row r="1763" spans="1:9" x14ac:dyDescent="0.25">
      <c r="A1763" t="s">
        <v>155</v>
      </c>
      <c r="B1763" t="s">
        <v>62</v>
      </c>
      <c r="C1763" t="s">
        <v>173</v>
      </c>
      <c r="D1763" t="s">
        <v>25</v>
      </c>
      <c r="E1763">
        <v>2</v>
      </c>
      <c r="F1763" t="s">
        <v>80</v>
      </c>
      <c r="G1763" s="6">
        <v>6.39</v>
      </c>
      <c r="H1763" s="6">
        <v>5.59</v>
      </c>
      <c r="I1763" s="2" t="str">
        <f>_xlfn.XLOOKUP(F1763,DeparaIMG!D:D,DeparaIMG!F:F,,0)</f>
        <v>CORCERO350.png</v>
      </c>
    </row>
    <row r="1764" spans="1:9" x14ac:dyDescent="0.25">
      <c r="A1764" t="s">
        <v>155</v>
      </c>
      <c r="B1764" t="s">
        <v>62</v>
      </c>
      <c r="C1764" t="s">
        <v>89</v>
      </c>
      <c r="D1764" t="s">
        <v>25</v>
      </c>
      <c r="E1764">
        <v>2</v>
      </c>
      <c r="F1764" t="s">
        <v>80</v>
      </c>
      <c r="G1764" s="6">
        <v>6.39</v>
      </c>
      <c r="H1764" s="6">
        <v>5.59</v>
      </c>
      <c r="I1764" s="2" t="str">
        <f>_xlfn.XLOOKUP(F1764,DeparaIMG!D:D,DeparaIMG!F:F,,0)</f>
        <v>CORCERO350.png</v>
      </c>
    </row>
    <row r="1765" spans="1:9" x14ac:dyDescent="0.25">
      <c r="A1765" t="s">
        <v>155</v>
      </c>
      <c r="B1765" t="s">
        <v>62</v>
      </c>
      <c r="C1765" t="s">
        <v>173</v>
      </c>
      <c r="D1765" t="s">
        <v>26</v>
      </c>
      <c r="E1765">
        <v>2</v>
      </c>
      <c r="F1765" t="s">
        <v>83</v>
      </c>
      <c r="G1765" s="6">
        <v>6.79</v>
      </c>
      <c r="H1765" s="6">
        <v>6.09</v>
      </c>
      <c r="I1765" s="2" t="str">
        <f>_xlfn.XLOOKUP(F1765,DeparaIMG!D:D,DeparaIMG!F:F,,0)</f>
        <v>MICLN.png</v>
      </c>
    </row>
    <row r="1766" spans="1:9" x14ac:dyDescent="0.25">
      <c r="A1766" t="s">
        <v>155</v>
      </c>
      <c r="B1766" t="s">
        <v>62</v>
      </c>
      <c r="C1766" t="s">
        <v>89</v>
      </c>
      <c r="D1766" t="s">
        <v>26</v>
      </c>
      <c r="E1766">
        <v>2</v>
      </c>
      <c r="F1766" t="s">
        <v>83</v>
      </c>
      <c r="G1766" s="6">
        <v>6.79</v>
      </c>
      <c r="H1766" s="6">
        <v>6.09</v>
      </c>
      <c r="I1766" s="2" t="str">
        <f>_xlfn.XLOOKUP(F1766,DeparaIMG!D:D,DeparaIMG!F:F,,0)</f>
        <v>MICLN.png</v>
      </c>
    </row>
    <row r="1767" spans="1:9" x14ac:dyDescent="0.25">
      <c r="A1767" t="s">
        <v>155</v>
      </c>
      <c r="B1767" t="s">
        <v>62</v>
      </c>
      <c r="C1767" t="s">
        <v>89</v>
      </c>
      <c r="D1767" t="s">
        <v>25</v>
      </c>
      <c r="E1767">
        <v>2</v>
      </c>
      <c r="F1767" t="s">
        <v>83</v>
      </c>
      <c r="G1767" s="6">
        <v>6.79</v>
      </c>
      <c r="H1767" s="6">
        <v>6.09</v>
      </c>
      <c r="I1767" s="2" t="str">
        <f>_xlfn.XLOOKUP(F1767,DeparaIMG!D:D,DeparaIMG!F:F,,0)</f>
        <v>MICLN.png</v>
      </c>
    </row>
    <row r="1768" spans="1:9" x14ac:dyDescent="0.25">
      <c r="A1768" t="s">
        <v>155</v>
      </c>
      <c r="B1768" t="s">
        <v>62</v>
      </c>
      <c r="C1768" t="s">
        <v>173</v>
      </c>
      <c r="D1768" t="s">
        <v>25</v>
      </c>
      <c r="E1768">
        <v>2</v>
      </c>
      <c r="F1768" t="s">
        <v>83</v>
      </c>
      <c r="G1768" s="6">
        <v>6.79</v>
      </c>
      <c r="H1768" s="6">
        <v>6.09</v>
      </c>
      <c r="I1768" s="2" t="str">
        <f>_xlfn.XLOOKUP(F1768,DeparaIMG!D:D,DeparaIMG!F:F,,0)</f>
        <v>MICLN.png</v>
      </c>
    </row>
    <row r="1769" spans="1:9" x14ac:dyDescent="0.25">
      <c r="A1769" t="s">
        <v>155</v>
      </c>
      <c r="B1769" t="s">
        <v>62</v>
      </c>
      <c r="C1769" t="s">
        <v>173</v>
      </c>
      <c r="D1769" t="s">
        <v>25</v>
      </c>
      <c r="E1769">
        <v>2</v>
      </c>
      <c r="F1769" t="s">
        <v>84</v>
      </c>
      <c r="G1769" s="6">
        <v>6.99</v>
      </c>
      <c r="H1769" s="6">
        <v>6.19</v>
      </c>
      <c r="I1769" s="2" t="str">
        <f>_xlfn.XLOOKUP(F1769,DeparaIMG!D:D,DeparaIMG!F:F,,0)</f>
        <v>STELN.png</v>
      </c>
    </row>
    <row r="1770" spans="1:9" x14ac:dyDescent="0.25">
      <c r="A1770" t="s">
        <v>155</v>
      </c>
      <c r="B1770" t="s">
        <v>62</v>
      </c>
      <c r="C1770" t="s">
        <v>89</v>
      </c>
      <c r="D1770" t="s">
        <v>26</v>
      </c>
      <c r="E1770">
        <v>2</v>
      </c>
      <c r="F1770" t="s">
        <v>116</v>
      </c>
      <c r="G1770" s="6">
        <v>3.19</v>
      </c>
      <c r="H1770" s="6">
        <v>2.9899999999999998</v>
      </c>
      <c r="I1770" s="2" t="str">
        <f>_xlfn.XLOOKUP(F1770,DeparaIMG!D:D,DeparaIMG!F:F,,0)</f>
        <v>SK269MP.png</v>
      </c>
    </row>
    <row r="1771" spans="1:9" x14ac:dyDescent="0.25">
      <c r="A1771" t="s">
        <v>155</v>
      </c>
      <c r="B1771" t="s">
        <v>62</v>
      </c>
      <c r="C1771" t="s">
        <v>89</v>
      </c>
      <c r="D1771" t="s">
        <v>26</v>
      </c>
      <c r="E1771">
        <v>2</v>
      </c>
      <c r="F1771" t="s">
        <v>118</v>
      </c>
      <c r="G1771" s="6">
        <v>3.79</v>
      </c>
      <c r="H1771" s="6">
        <v>3.5890000000000004</v>
      </c>
      <c r="I1771" s="2" t="str">
        <f>_xlfn.XLOOKUP(F1771,DeparaIMG!D:D,DeparaIMG!F:F,,0)</f>
        <v>ORI269MP.png</v>
      </c>
    </row>
    <row r="1772" spans="1:9" x14ac:dyDescent="0.25">
      <c r="A1772" s="2" t="s">
        <v>155</v>
      </c>
      <c r="B1772" t="s">
        <v>127</v>
      </c>
      <c r="C1772" t="s">
        <v>28</v>
      </c>
      <c r="D1772" t="s">
        <v>127</v>
      </c>
      <c r="E1772">
        <v>1</v>
      </c>
      <c r="F1772" t="s">
        <v>67</v>
      </c>
      <c r="G1772" t="s">
        <v>133</v>
      </c>
      <c r="H1772" t="s">
        <v>148</v>
      </c>
      <c r="I1772" s="2" t="str">
        <f>_xlfn.XLOOKUP(F1772,DeparaIMG!D:D,DeparaIMG!F:F,,0)</f>
        <v>AP269.png</v>
      </c>
    </row>
    <row r="1773" spans="1:9" x14ac:dyDescent="0.25">
      <c r="A1773" s="2" t="s">
        <v>155</v>
      </c>
      <c r="B1773" t="s">
        <v>127</v>
      </c>
      <c r="C1773" t="s">
        <v>29</v>
      </c>
      <c r="D1773" t="s">
        <v>127</v>
      </c>
      <c r="E1773">
        <v>1</v>
      </c>
      <c r="F1773" t="s">
        <v>67</v>
      </c>
      <c r="G1773" t="s">
        <v>133</v>
      </c>
      <c r="H1773" t="s">
        <v>148</v>
      </c>
      <c r="I1773" s="2" t="str">
        <f>_xlfn.XLOOKUP(F1773,DeparaIMG!D:D,DeparaIMG!F:F,,0)</f>
        <v>AP269.png</v>
      </c>
    </row>
    <row r="1774" spans="1:9" x14ac:dyDescent="0.25">
      <c r="A1774" s="2" t="s">
        <v>155</v>
      </c>
      <c r="B1774" t="s">
        <v>127</v>
      </c>
      <c r="C1774" t="s">
        <v>87</v>
      </c>
      <c r="D1774" t="s">
        <v>127</v>
      </c>
      <c r="E1774">
        <v>1</v>
      </c>
      <c r="F1774" t="s">
        <v>66</v>
      </c>
      <c r="G1774" t="s">
        <v>133</v>
      </c>
      <c r="H1774" t="s">
        <v>148</v>
      </c>
      <c r="I1774" s="2" t="str">
        <f>_xlfn.XLOOKUP(F1774,DeparaIMG!D:D,DeparaIMG!F:F,,0)</f>
        <v>SK269.png</v>
      </c>
    </row>
    <row r="1775" spans="1:9" x14ac:dyDescent="0.25">
      <c r="A1775" s="2" t="s">
        <v>155</v>
      </c>
      <c r="B1775" t="s">
        <v>127</v>
      </c>
      <c r="C1775" t="s">
        <v>89</v>
      </c>
      <c r="D1775" t="s">
        <v>127</v>
      </c>
      <c r="E1775">
        <v>1</v>
      </c>
      <c r="F1775" t="s">
        <v>66</v>
      </c>
      <c r="G1775" t="s">
        <v>133</v>
      </c>
      <c r="H1775" t="s">
        <v>148</v>
      </c>
      <c r="I1775" s="2" t="str">
        <f>_xlfn.XLOOKUP(F1775,DeparaIMG!D:D,DeparaIMG!F:F,,0)</f>
        <v>SK269.png</v>
      </c>
    </row>
    <row r="1776" spans="1:9" x14ac:dyDescent="0.25">
      <c r="A1776" s="2" t="s">
        <v>155</v>
      </c>
      <c r="B1776" t="s">
        <v>127</v>
      </c>
      <c r="C1776" t="s">
        <v>28</v>
      </c>
      <c r="D1776" t="s">
        <v>127</v>
      </c>
      <c r="E1776">
        <v>1</v>
      </c>
      <c r="F1776" t="s">
        <v>80</v>
      </c>
      <c r="G1776" t="s">
        <v>135</v>
      </c>
      <c r="H1776" t="s">
        <v>136</v>
      </c>
      <c r="I1776" s="2" t="str">
        <f>_xlfn.XLOOKUP(F1776,DeparaIMG!D:D,DeparaIMG!F:F,,0)</f>
        <v>CORCERO350.png</v>
      </c>
    </row>
    <row r="1777" spans="1:9" x14ac:dyDescent="0.25">
      <c r="A1777" s="2" t="s">
        <v>155</v>
      </c>
      <c r="B1777" t="s">
        <v>127</v>
      </c>
      <c r="C1777" t="s">
        <v>29</v>
      </c>
      <c r="D1777" t="s">
        <v>127</v>
      </c>
      <c r="E1777">
        <v>1</v>
      </c>
      <c r="F1777" t="s">
        <v>80</v>
      </c>
      <c r="G1777" t="s">
        <v>135</v>
      </c>
      <c r="H1777" t="s">
        <v>136</v>
      </c>
      <c r="I1777" s="2" t="str">
        <f>_xlfn.XLOOKUP(F1777,DeparaIMG!D:D,DeparaIMG!F:F,,0)</f>
        <v>CORCERO350.png</v>
      </c>
    </row>
    <row r="1778" spans="1:9" x14ac:dyDescent="0.25">
      <c r="A1778" s="2" t="s">
        <v>155</v>
      </c>
      <c r="B1778" t="s">
        <v>127</v>
      </c>
      <c r="C1778" t="s">
        <v>87</v>
      </c>
      <c r="D1778" t="s">
        <v>127</v>
      </c>
      <c r="E1778">
        <v>1</v>
      </c>
      <c r="F1778" t="s">
        <v>80</v>
      </c>
      <c r="G1778" t="s">
        <v>135</v>
      </c>
      <c r="H1778" t="s">
        <v>136</v>
      </c>
      <c r="I1778" s="2" t="str">
        <f>_xlfn.XLOOKUP(F1778,DeparaIMG!D:D,DeparaIMG!F:F,,0)</f>
        <v>CORCERO350.png</v>
      </c>
    </row>
    <row r="1779" spans="1:9" x14ac:dyDescent="0.25">
      <c r="A1779" s="2" t="s">
        <v>155</v>
      </c>
      <c r="B1779" t="s">
        <v>127</v>
      </c>
      <c r="C1779" t="s">
        <v>88</v>
      </c>
      <c r="D1779" t="s">
        <v>127</v>
      </c>
      <c r="E1779">
        <v>1</v>
      </c>
      <c r="F1779" t="s">
        <v>80</v>
      </c>
      <c r="G1779" t="s">
        <v>135</v>
      </c>
      <c r="H1779" t="s">
        <v>136</v>
      </c>
      <c r="I1779" s="2" t="str">
        <f>_xlfn.XLOOKUP(F1779,DeparaIMG!D:D,DeparaIMG!F:F,,0)</f>
        <v>CORCERO350.png</v>
      </c>
    </row>
    <row r="1780" spans="1:9" x14ac:dyDescent="0.25">
      <c r="A1780" s="2" t="s">
        <v>155</v>
      </c>
      <c r="B1780" t="s">
        <v>127</v>
      </c>
      <c r="C1780" t="s">
        <v>28</v>
      </c>
      <c r="D1780" t="s">
        <v>127</v>
      </c>
      <c r="E1780">
        <v>1</v>
      </c>
      <c r="F1780" t="s">
        <v>139</v>
      </c>
      <c r="G1780" t="s">
        <v>131</v>
      </c>
      <c r="H1780" t="s">
        <v>132</v>
      </c>
      <c r="I1780" s="2" t="str">
        <f>_xlfn.XLOOKUP(F1780,DeparaIMG!D:D,DeparaIMG!F:F,,0)</f>
        <v>SPTLN.png</v>
      </c>
    </row>
    <row r="1781" spans="1:9" x14ac:dyDescent="0.25">
      <c r="A1781" s="2" t="s">
        <v>155</v>
      </c>
      <c r="B1781" t="s">
        <v>127</v>
      </c>
      <c r="C1781" t="s">
        <v>29</v>
      </c>
      <c r="D1781" t="s">
        <v>127</v>
      </c>
      <c r="E1781">
        <v>1</v>
      </c>
      <c r="F1781" t="s">
        <v>139</v>
      </c>
      <c r="G1781" t="s">
        <v>131</v>
      </c>
      <c r="H1781" t="s">
        <v>132</v>
      </c>
      <c r="I1781" s="2" t="str">
        <f>_xlfn.XLOOKUP(F1781,DeparaIMG!D:D,DeparaIMG!F:F,,0)</f>
        <v>SPTLN.png</v>
      </c>
    </row>
    <row r="1782" spans="1:9" x14ac:dyDescent="0.25">
      <c r="A1782" s="2" t="s">
        <v>155</v>
      </c>
      <c r="B1782" t="s">
        <v>127</v>
      </c>
      <c r="C1782" t="s">
        <v>87</v>
      </c>
      <c r="D1782" t="s">
        <v>127</v>
      </c>
      <c r="E1782">
        <v>1</v>
      </c>
      <c r="F1782" t="s">
        <v>139</v>
      </c>
      <c r="G1782" t="s">
        <v>131</v>
      </c>
      <c r="H1782" t="s">
        <v>132</v>
      </c>
      <c r="I1782" s="2" t="str">
        <f>_xlfn.XLOOKUP(F1782,DeparaIMG!D:D,DeparaIMG!F:F,,0)</f>
        <v>SPTLN.png</v>
      </c>
    </row>
    <row r="1783" spans="1:9" x14ac:dyDescent="0.25">
      <c r="A1783" s="2" t="s">
        <v>155</v>
      </c>
      <c r="B1783" t="s">
        <v>127</v>
      </c>
      <c r="C1783" t="s">
        <v>88</v>
      </c>
      <c r="D1783" t="s">
        <v>127</v>
      </c>
      <c r="E1783">
        <v>1</v>
      </c>
      <c r="F1783" t="s">
        <v>139</v>
      </c>
      <c r="G1783" t="s">
        <v>131</v>
      </c>
      <c r="H1783" t="s">
        <v>132</v>
      </c>
      <c r="I1783" s="2" t="str">
        <f>_xlfn.XLOOKUP(F1783,DeparaIMG!D:D,DeparaIMG!F:F,,0)</f>
        <v>SPTLN.png</v>
      </c>
    </row>
    <row r="1784" spans="1:9" x14ac:dyDescent="0.25">
      <c r="A1784" s="2" t="s">
        <v>155</v>
      </c>
      <c r="B1784" t="s">
        <v>127</v>
      </c>
      <c r="C1784" t="s">
        <v>28</v>
      </c>
      <c r="D1784" t="s">
        <v>127</v>
      </c>
      <c r="E1784">
        <v>1</v>
      </c>
      <c r="F1784" t="s">
        <v>78</v>
      </c>
      <c r="G1784" t="s">
        <v>131</v>
      </c>
      <c r="H1784" t="s">
        <v>132</v>
      </c>
      <c r="I1784" s="2" t="str">
        <f>_xlfn.XLOOKUP(F1784,DeparaIMG!D:D,DeparaIMG!F:F,,0)</f>
        <v>MIC350.png</v>
      </c>
    </row>
    <row r="1785" spans="1:9" x14ac:dyDescent="0.25">
      <c r="A1785" s="2" t="s">
        <v>155</v>
      </c>
      <c r="B1785" t="s">
        <v>127</v>
      </c>
      <c r="C1785" t="s">
        <v>29</v>
      </c>
      <c r="D1785" t="s">
        <v>127</v>
      </c>
      <c r="E1785">
        <v>1</v>
      </c>
      <c r="F1785" t="s">
        <v>78</v>
      </c>
      <c r="G1785" t="s">
        <v>131</v>
      </c>
      <c r="H1785" t="s">
        <v>132</v>
      </c>
      <c r="I1785" s="2" t="str">
        <f>_xlfn.XLOOKUP(F1785,DeparaIMG!D:D,DeparaIMG!F:F,,0)</f>
        <v>MIC350.png</v>
      </c>
    </row>
    <row r="1786" spans="1:9" x14ac:dyDescent="0.25">
      <c r="A1786" s="2" t="s">
        <v>155</v>
      </c>
      <c r="B1786" t="s">
        <v>127</v>
      </c>
      <c r="C1786" t="s">
        <v>87</v>
      </c>
      <c r="D1786" t="s">
        <v>127</v>
      </c>
      <c r="E1786">
        <v>1</v>
      </c>
      <c r="F1786" t="s">
        <v>78</v>
      </c>
      <c r="G1786" t="s">
        <v>131</v>
      </c>
      <c r="H1786" t="s">
        <v>132</v>
      </c>
      <c r="I1786" s="2" t="str">
        <f>_xlfn.XLOOKUP(F1786,DeparaIMG!D:D,DeparaIMG!F:F,,0)</f>
        <v>MIC350.png</v>
      </c>
    </row>
    <row r="1787" spans="1:9" x14ac:dyDescent="0.25">
      <c r="A1787" s="2" t="s">
        <v>155</v>
      </c>
      <c r="B1787" t="s">
        <v>127</v>
      </c>
      <c r="C1787" t="s">
        <v>88</v>
      </c>
      <c r="D1787" t="s">
        <v>127</v>
      </c>
      <c r="E1787">
        <v>1</v>
      </c>
      <c r="F1787" t="s">
        <v>78</v>
      </c>
      <c r="G1787" t="s">
        <v>131</v>
      </c>
      <c r="H1787" t="s">
        <v>132</v>
      </c>
      <c r="I1787" s="2" t="str">
        <f>_xlfn.XLOOKUP(F1787,DeparaIMG!D:D,DeparaIMG!F:F,,0)</f>
        <v>MIC350.png</v>
      </c>
    </row>
    <row r="1788" spans="1:9" x14ac:dyDescent="0.25">
      <c r="A1788" s="2" t="s">
        <v>155</v>
      </c>
      <c r="B1788" t="s">
        <v>127</v>
      </c>
      <c r="C1788" t="s">
        <v>28</v>
      </c>
      <c r="D1788" t="s">
        <v>127</v>
      </c>
      <c r="E1788">
        <v>1</v>
      </c>
      <c r="F1788" t="s">
        <v>116</v>
      </c>
      <c r="G1788" t="s">
        <v>162</v>
      </c>
      <c r="H1788" t="s">
        <v>163</v>
      </c>
      <c r="I1788" s="2" t="str">
        <f>_xlfn.XLOOKUP(F1788,DeparaIMG!D:D,DeparaIMG!F:F,,0)</f>
        <v>SK269MP.png</v>
      </c>
    </row>
    <row r="1789" spans="1:9" x14ac:dyDescent="0.25">
      <c r="A1789" s="2" t="s">
        <v>155</v>
      </c>
      <c r="B1789" t="s">
        <v>127</v>
      </c>
      <c r="C1789" t="s">
        <v>29</v>
      </c>
      <c r="D1789" t="s">
        <v>127</v>
      </c>
      <c r="E1789">
        <v>1</v>
      </c>
      <c r="F1789" t="s">
        <v>116</v>
      </c>
      <c r="G1789" t="s">
        <v>162</v>
      </c>
      <c r="H1789" t="s">
        <v>163</v>
      </c>
      <c r="I1789" s="2" t="str">
        <f>_xlfn.XLOOKUP(F1789,DeparaIMG!D:D,DeparaIMG!F:F,,0)</f>
        <v>SK269MP.png</v>
      </c>
    </row>
    <row r="1790" spans="1:9" x14ac:dyDescent="0.25">
      <c r="A1790" s="2" t="s">
        <v>155</v>
      </c>
      <c r="B1790" t="s">
        <v>127</v>
      </c>
      <c r="C1790" t="s">
        <v>87</v>
      </c>
      <c r="D1790" t="s">
        <v>127</v>
      </c>
      <c r="E1790">
        <v>1</v>
      </c>
      <c r="F1790" t="s">
        <v>116</v>
      </c>
      <c r="G1790" t="s">
        <v>162</v>
      </c>
      <c r="H1790" t="s">
        <v>163</v>
      </c>
      <c r="I1790" s="2" t="str">
        <f>_xlfn.XLOOKUP(F1790,DeparaIMG!D:D,DeparaIMG!F:F,,0)</f>
        <v>SK269MP.png</v>
      </c>
    </row>
    <row r="1791" spans="1:9" x14ac:dyDescent="0.25">
      <c r="A1791" s="2" t="s">
        <v>155</v>
      </c>
      <c r="B1791" t="s">
        <v>127</v>
      </c>
      <c r="C1791" t="s">
        <v>88</v>
      </c>
      <c r="D1791" t="s">
        <v>127</v>
      </c>
      <c r="E1791">
        <v>1</v>
      </c>
      <c r="F1791" t="s">
        <v>116</v>
      </c>
      <c r="G1791" t="s">
        <v>162</v>
      </c>
      <c r="H1791" t="s">
        <v>163</v>
      </c>
      <c r="I1791" s="2" t="str">
        <f>_xlfn.XLOOKUP(F1791,DeparaIMG!D:D,DeparaIMG!F:F,,0)</f>
        <v>SK269MP.png</v>
      </c>
    </row>
    <row r="1792" spans="1:9" x14ac:dyDescent="0.25">
      <c r="A1792" s="2" t="s">
        <v>155</v>
      </c>
      <c r="B1792" t="s">
        <v>127</v>
      </c>
      <c r="C1792" t="s">
        <v>28</v>
      </c>
      <c r="D1792" t="s">
        <v>127</v>
      </c>
      <c r="E1792">
        <v>2</v>
      </c>
      <c r="F1792" t="s">
        <v>119</v>
      </c>
      <c r="G1792" t="s">
        <v>162</v>
      </c>
      <c r="H1792" t="s">
        <v>163</v>
      </c>
      <c r="I1792" s="2" t="str">
        <f>_xlfn.XLOOKUP(F1792,DeparaIMG!D:D,DeparaIMG!F:F,,0)</f>
        <v>BC269MP.png</v>
      </c>
    </row>
    <row r="1793" spans="1:9" x14ac:dyDescent="0.25">
      <c r="A1793" s="2" t="s">
        <v>155</v>
      </c>
      <c r="B1793" t="s">
        <v>127</v>
      </c>
      <c r="C1793" t="s">
        <v>29</v>
      </c>
      <c r="D1793" t="s">
        <v>127</v>
      </c>
      <c r="E1793">
        <v>2</v>
      </c>
      <c r="F1793" t="s">
        <v>119</v>
      </c>
      <c r="G1793" t="s">
        <v>162</v>
      </c>
      <c r="H1793" t="s">
        <v>163</v>
      </c>
      <c r="I1793" s="2" t="str">
        <f>_xlfn.XLOOKUP(F1793,DeparaIMG!D:D,DeparaIMG!F:F,,0)</f>
        <v>BC269MP.png</v>
      </c>
    </row>
    <row r="1794" spans="1:9" x14ac:dyDescent="0.25">
      <c r="A1794" s="2" t="s">
        <v>155</v>
      </c>
      <c r="B1794" t="s">
        <v>127</v>
      </c>
      <c r="C1794" t="s">
        <v>87</v>
      </c>
      <c r="D1794" t="s">
        <v>127</v>
      </c>
      <c r="E1794">
        <v>2</v>
      </c>
      <c r="F1794" t="s">
        <v>119</v>
      </c>
      <c r="G1794" t="s">
        <v>162</v>
      </c>
      <c r="H1794" t="s">
        <v>163</v>
      </c>
      <c r="I1794" s="2" t="str">
        <f>_xlfn.XLOOKUP(F1794,DeparaIMG!D:D,DeparaIMG!F:F,,0)</f>
        <v>BC269MP.png</v>
      </c>
    </row>
    <row r="1795" spans="1:9" x14ac:dyDescent="0.25">
      <c r="A1795" s="2" t="s">
        <v>155</v>
      </c>
      <c r="B1795" t="s">
        <v>127</v>
      </c>
      <c r="C1795" t="s">
        <v>88</v>
      </c>
      <c r="D1795" t="s">
        <v>127</v>
      </c>
      <c r="E1795">
        <v>2</v>
      </c>
      <c r="F1795" t="s">
        <v>119</v>
      </c>
      <c r="G1795" t="s">
        <v>162</v>
      </c>
      <c r="H1795" t="s">
        <v>163</v>
      </c>
      <c r="I1795" s="2" t="str">
        <f>_xlfn.XLOOKUP(F1795,DeparaIMG!D:D,DeparaIMG!F:F,,0)</f>
        <v>BC269MP.png</v>
      </c>
    </row>
    <row r="1796" spans="1:9" x14ac:dyDescent="0.25">
      <c r="A1796" s="2" t="s">
        <v>155</v>
      </c>
      <c r="B1796" t="s">
        <v>127</v>
      </c>
      <c r="C1796" t="s">
        <v>28</v>
      </c>
      <c r="D1796" t="s">
        <v>127</v>
      </c>
      <c r="E1796">
        <v>2</v>
      </c>
      <c r="F1796" t="s">
        <v>68</v>
      </c>
      <c r="G1796" t="s">
        <v>133</v>
      </c>
      <c r="H1796" t="s">
        <v>148</v>
      </c>
      <c r="I1796" s="2" t="str">
        <f>_xlfn.XLOOKUP(F1796,DeparaIMG!D:D,DeparaIMG!F:F,,0)</f>
        <v>BC269.png</v>
      </c>
    </row>
    <row r="1797" spans="1:9" x14ac:dyDescent="0.25">
      <c r="A1797" s="2" t="s">
        <v>155</v>
      </c>
      <c r="B1797" t="s">
        <v>127</v>
      </c>
      <c r="C1797" t="s">
        <v>29</v>
      </c>
      <c r="D1797" t="s">
        <v>127</v>
      </c>
      <c r="E1797">
        <v>2</v>
      </c>
      <c r="F1797" t="s">
        <v>68</v>
      </c>
      <c r="G1797" t="s">
        <v>133</v>
      </c>
      <c r="H1797" t="s">
        <v>148</v>
      </c>
      <c r="I1797" s="2" t="str">
        <f>_xlfn.XLOOKUP(F1797,DeparaIMG!D:D,DeparaIMG!F:F,,0)</f>
        <v>BC269.png</v>
      </c>
    </row>
    <row r="1798" spans="1:9" x14ac:dyDescent="0.25">
      <c r="A1798" s="2" t="s">
        <v>155</v>
      </c>
      <c r="B1798" t="s">
        <v>127</v>
      </c>
      <c r="C1798" t="s">
        <v>87</v>
      </c>
      <c r="D1798" t="s">
        <v>127</v>
      </c>
      <c r="E1798">
        <v>2</v>
      </c>
      <c r="F1798" t="s">
        <v>68</v>
      </c>
      <c r="G1798" t="s">
        <v>133</v>
      </c>
      <c r="H1798" t="s">
        <v>148</v>
      </c>
      <c r="I1798" s="2" t="str">
        <f>_xlfn.XLOOKUP(F1798,DeparaIMG!D:D,DeparaIMG!F:F,,0)</f>
        <v>BC269.png</v>
      </c>
    </row>
    <row r="1799" spans="1:9" x14ac:dyDescent="0.25">
      <c r="A1799" s="2" t="s">
        <v>155</v>
      </c>
      <c r="B1799" t="s">
        <v>127</v>
      </c>
      <c r="C1799" t="s">
        <v>88</v>
      </c>
      <c r="D1799" t="s">
        <v>127</v>
      </c>
      <c r="E1799">
        <v>2</v>
      </c>
      <c r="F1799" t="s">
        <v>67</v>
      </c>
      <c r="G1799" t="s">
        <v>133</v>
      </c>
      <c r="H1799" t="s">
        <v>148</v>
      </c>
      <c r="I1799" s="2" t="str">
        <f>_xlfn.XLOOKUP(F1799,DeparaIMG!D:D,DeparaIMG!F:F,,0)</f>
        <v>AP269.png</v>
      </c>
    </row>
    <row r="1800" spans="1:9" x14ac:dyDescent="0.25">
      <c r="A1800" s="2" t="s">
        <v>155</v>
      </c>
      <c r="B1800" s="2" t="s">
        <v>127</v>
      </c>
      <c r="C1800" t="s">
        <v>28</v>
      </c>
      <c r="D1800" t="s">
        <v>127</v>
      </c>
      <c r="E1800">
        <v>2</v>
      </c>
      <c r="F1800" t="s">
        <v>86</v>
      </c>
      <c r="G1800" t="s">
        <v>131</v>
      </c>
      <c r="H1800" t="s">
        <v>132</v>
      </c>
      <c r="I1800" s="2" t="str">
        <f>_xlfn.XLOOKUP(F1800,DeparaIMG!D:D,DeparaIMG!F:F,,0)</f>
        <v>CORCEROLN.png</v>
      </c>
    </row>
    <row r="1801" spans="1:9" x14ac:dyDescent="0.25">
      <c r="A1801" s="2" t="s">
        <v>155</v>
      </c>
      <c r="B1801" s="2" t="s">
        <v>127</v>
      </c>
      <c r="C1801" t="s">
        <v>29</v>
      </c>
      <c r="D1801" t="s">
        <v>127</v>
      </c>
      <c r="E1801">
        <v>2</v>
      </c>
      <c r="F1801" t="s">
        <v>86</v>
      </c>
      <c r="G1801" t="s">
        <v>131</v>
      </c>
      <c r="H1801" t="s">
        <v>132</v>
      </c>
      <c r="I1801" s="2" t="str">
        <f>_xlfn.XLOOKUP(F1801,DeparaIMG!D:D,DeparaIMG!F:F,,0)</f>
        <v>CORCEROLN.png</v>
      </c>
    </row>
    <row r="1802" spans="1:9" x14ac:dyDescent="0.25">
      <c r="A1802" s="2" t="s">
        <v>155</v>
      </c>
      <c r="B1802" s="2" t="s">
        <v>127</v>
      </c>
      <c r="C1802" t="s">
        <v>87</v>
      </c>
      <c r="D1802" t="s">
        <v>127</v>
      </c>
      <c r="E1802">
        <v>2</v>
      </c>
      <c r="F1802" t="s">
        <v>86</v>
      </c>
      <c r="G1802" t="s">
        <v>131</v>
      </c>
      <c r="H1802" t="s">
        <v>132</v>
      </c>
      <c r="I1802" s="2" t="str">
        <f>_xlfn.XLOOKUP(F1802,DeparaIMG!D:D,DeparaIMG!F:F,,0)</f>
        <v>CORCEROLN.png</v>
      </c>
    </row>
    <row r="1803" spans="1:9" x14ac:dyDescent="0.25">
      <c r="A1803" s="2" t="s">
        <v>155</v>
      </c>
      <c r="B1803" s="2" t="s">
        <v>127</v>
      </c>
      <c r="C1803" t="s">
        <v>88</v>
      </c>
      <c r="D1803" t="s">
        <v>127</v>
      </c>
      <c r="E1803">
        <v>2</v>
      </c>
      <c r="F1803" t="s">
        <v>86</v>
      </c>
      <c r="G1803" t="s">
        <v>131</v>
      </c>
      <c r="H1803" t="s">
        <v>132</v>
      </c>
      <c r="I1803" s="2" t="str">
        <f>_xlfn.XLOOKUP(F1803,DeparaIMG!D:D,DeparaIMG!F:F,,0)</f>
        <v>CORCEROLN.png</v>
      </c>
    </row>
    <row r="1804" spans="1:9" x14ac:dyDescent="0.25">
      <c r="A1804" s="2" t="s">
        <v>155</v>
      </c>
      <c r="B1804" s="2" t="s">
        <v>127</v>
      </c>
      <c r="C1804" t="s">
        <v>28</v>
      </c>
      <c r="D1804" t="s">
        <v>127</v>
      </c>
      <c r="E1804">
        <v>2</v>
      </c>
      <c r="F1804" t="s">
        <v>84</v>
      </c>
      <c r="G1804" t="s">
        <v>131</v>
      </c>
      <c r="H1804" t="s">
        <v>132</v>
      </c>
      <c r="I1804" s="2" t="str">
        <f>_xlfn.XLOOKUP(F1804,DeparaIMG!D:D,DeparaIMG!F:F,,0)</f>
        <v>STELN.png</v>
      </c>
    </row>
    <row r="1805" spans="1:9" x14ac:dyDescent="0.25">
      <c r="A1805" s="2" t="s">
        <v>155</v>
      </c>
      <c r="B1805" s="2" t="s">
        <v>127</v>
      </c>
      <c r="C1805" t="s">
        <v>29</v>
      </c>
      <c r="D1805" t="s">
        <v>127</v>
      </c>
      <c r="E1805">
        <v>2</v>
      </c>
      <c r="F1805" t="s">
        <v>84</v>
      </c>
      <c r="G1805" t="s">
        <v>131</v>
      </c>
      <c r="H1805" t="s">
        <v>132</v>
      </c>
      <c r="I1805" s="2" t="str">
        <f>_xlfn.XLOOKUP(F1805,DeparaIMG!D:D,DeparaIMG!F:F,,0)</f>
        <v>STELN.png</v>
      </c>
    </row>
    <row r="1806" spans="1:9" x14ac:dyDescent="0.25">
      <c r="A1806" s="2" t="s">
        <v>155</v>
      </c>
      <c r="B1806" s="2" t="s">
        <v>127</v>
      </c>
      <c r="C1806" t="s">
        <v>87</v>
      </c>
      <c r="D1806" t="s">
        <v>127</v>
      </c>
      <c r="E1806">
        <v>2</v>
      </c>
      <c r="F1806" t="s">
        <v>84</v>
      </c>
      <c r="G1806" t="s">
        <v>131</v>
      </c>
      <c r="H1806" t="s">
        <v>132</v>
      </c>
      <c r="I1806" s="2" t="str">
        <f>_xlfn.XLOOKUP(F1806,DeparaIMG!D:D,DeparaIMG!F:F,,0)</f>
        <v>STELN.png</v>
      </c>
    </row>
    <row r="1807" spans="1:9" x14ac:dyDescent="0.25">
      <c r="A1807" s="2" t="s">
        <v>155</v>
      </c>
      <c r="B1807" s="2" t="s">
        <v>127</v>
      </c>
      <c r="C1807" t="s">
        <v>88</v>
      </c>
      <c r="D1807" t="s">
        <v>127</v>
      </c>
      <c r="E1807">
        <v>2</v>
      </c>
      <c r="F1807" t="s">
        <v>84</v>
      </c>
      <c r="G1807" t="s">
        <v>131</v>
      </c>
      <c r="H1807" t="s">
        <v>132</v>
      </c>
      <c r="I1807" s="2" t="str">
        <f>_xlfn.XLOOKUP(F1807,DeparaIMG!D:D,DeparaIMG!F:F,,0)</f>
        <v>STELN.png</v>
      </c>
    </row>
    <row r="1808" spans="1:9" x14ac:dyDescent="0.25">
      <c r="A1808" s="2" t="s">
        <v>155</v>
      </c>
      <c r="B1808" t="s">
        <v>127</v>
      </c>
      <c r="C1808" t="s">
        <v>28</v>
      </c>
      <c r="D1808" t="s">
        <v>127</v>
      </c>
      <c r="E1808">
        <v>2</v>
      </c>
      <c r="F1808" t="s">
        <v>78</v>
      </c>
      <c r="G1808" t="s">
        <v>137</v>
      </c>
      <c r="H1808" t="s">
        <v>138</v>
      </c>
      <c r="I1808" s="2" t="str">
        <f>_xlfn.XLOOKUP(F1808,DeparaIMG!D:D,DeparaIMG!F:F,,0)</f>
        <v>MIC350.png</v>
      </c>
    </row>
    <row r="1809" spans="1:9" x14ac:dyDescent="0.25">
      <c r="A1809" s="2" t="s">
        <v>155</v>
      </c>
      <c r="B1809" t="s">
        <v>127</v>
      </c>
      <c r="C1809" t="s">
        <v>29</v>
      </c>
      <c r="D1809" t="s">
        <v>127</v>
      </c>
      <c r="E1809">
        <v>2</v>
      </c>
      <c r="F1809" t="s">
        <v>78</v>
      </c>
      <c r="G1809" t="s">
        <v>137</v>
      </c>
      <c r="H1809" t="s">
        <v>138</v>
      </c>
      <c r="I1809" s="2" t="str">
        <f>_xlfn.XLOOKUP(F1809,DeparaIMG!D:D,DeparaIMG!F:F,,0)</f>
        <v>MIC350.png</v>
      </c>
    </row>
    <row r="1810" spans="1:9" x14ac:dyDescent="0.25">
      <c r="A1810" s="2" t="s">
        <v>155</v>
      </c>
      <c r="B1810" t="s">
        <v>127</v>
      </c>
      <c r="C1810" t="s">
        <v>87</v>
      </c>
      <c r="D1810" t="s">
        <v>127</v>
      </c>
      <c r="E1810">
        <v>2</v>
      </c>
      <c r="F1810" t="s">
        <v>78</v>
      </c>
      <c r="G1810" t="s">
        <v>137</v>
      </c>
      <c r="H1810" t="s">
        <v>138</v>
      </c>
      <c r="I1810" s="2" t="str">
        <f>_xlfn.XLOOKUP(F1810,DeparaIMG!D:D,DeparaIMG!F:F,,0)</f>
        <v>MIC350.png</v>
      </c>
    </row>
    <row r="1811" spans="1:9" x14ac:dyDescent="0.25">
      <c r="A1811" s="2" t="s">
        <v>155</v>
      </c>
      <c r="B1811" t="s">
        <v>127</v>
      </c>
      <c r="C1811" t="s">
        <v>88</v>
      </c>
      <c r="D1811" t="s">
        <v>127</v>
      </c>
      <c r="E1811">
        <v>2</v>
      </c>
      <c r="F1811" t="s">
        <v>78</v>
      </c>
      <c r="G1811" t="s">
        <v>137</v>
      </c>
      <c r="H1811" t="s">
        <v>138</v>
      </c>
      <c r="I1811" s="2" t="str">
        <f>_xlfn.XLOOKUP(F1811,DeparaIMG!D:D,DeparaIMG!F:F,,0)</f>
        <v>MIC350.png</v>
      </c>
    </row>
    <row r="1812" spans="1:9" x14ac:dyDescent="0.25">
      <c r="A1812" s="2" t="s">
        <v>155</v>
      </c>
      <c r="B1812" t="s">
        <v>127</v>
      </c>
      <c r="C1812" t="s">
        <v>28</v>
      </c>
      <c r="D1812" t="s">
        <v>127</v>
      </c>
      <c r="E1812">
        <v>2</v>
      </c>
      <c r="F1812" t="s">
        <v>69</v>
      </c>
      <c r="G1812" t="s">
        <v>133</v>
      </c>
      <c r="H1812" t="s">
        <v>148</v>
      </c>
      <c r="I1812" s="2" t="str">
        <f>_xlfn.XLOOKUP(F1812,DeparaIMG!D:D,DeparaIMG!F:F,,0)</f>
        <v>BUD269.png</v>
      </c>
    </row>
    <row r="1813" spans="1:9" x14ac:dyDescent="0.25">
      <c r="A1813" s="2" t="s">
        <v>155</v>
      </c>
      <c r="B1813" t="s">
        <v>127</v>
      </c>
      <c r="C1813" t="s">
        <v>29</v>
      </c>
      <c r="D1813" t="s">
        <v>127</v>
      </c>
      <c r="E1813">
        <v>2</v>
      </c>
      <c r="F1813" t="s">
        <v>69</v>
      </c>
      <c r="G1813" t="s">
        <v>133</v>
      </c>
      <c r="H1813" t="s">
        <v>148</v>
      </c>
      <c r="I1813" s="2" t="str">
        <f>_xlfn.XLOOKUP(F1813,DeparaIMG!D:D,DeparaIMG!F:F,,0)</f>
        <v>BUD269.png</v>
      </c>
    </row>
    <row r="1814" spans="1:9" x14ac:dyDescent="0.25">
      <c r="A1814" s="2" t="s">
        <v>155</v>
      </c>
      <c r="B1814" t="s">
        <v>127</v>
      </c>
      <c r="C1814" t="s">
        <v>87</v>
      </c>
      <c r="D1814" t="s">
        <v>127</v>
      </c>
      <c r="E1814">
        <v>2</v>
      </c>
      <c r="F1814" t="s">
        <v>69</v>
      </c>
      <c r="G1814" t="s">
        <v>133</v>
      </c>
      <c r="H1814" t="s">
        <v>148</v>
      </c>
      <c r="I1814" s="2" t="str">
        <f>_xlfn.XLOOKUP(F1814,DeparaIMG!D:D,DeparaIMG!F:F,,0)</f>
        <v>BUD269.png</v>
      </c>
    </row>
    <row r="1815" spans="1:9" x14ac:dyDescent="0.25">
      <c r="A1815" s="2" t="s">
        <v>155</v>
      </c>
      <c r="B1815" t="s">
        <v>127</v>
      </c>
      <c r="C1815" t="s">
        <v>88</v>
      </c>
      <c r="D1815" t="s">
        <v>127</v>
      </c>
      <c r="E1815">
        <v>2</v>
      </c>
      <c r="F1815" t="s">
        <v>69</v>
      </c>
      <c r="G1815" t="s">
        <v>133</v>
      </c>
      <c r="H1815" t="s">
        <v>148</v>
      </c>
      <c r="I1815" s="2" t="str">
        <f>_xlfn.XLOOKUP(F1815,DeparaIMG!D:D,DeparaIMG!F:F,,0)</f>
        <v>BUD269.png</v>
      </c>
    </row>
    <row r="1816" spans="1:9" x14ac:dyDescent="0.25">
      <c r="A1816" s="2" t="s">
        <v>155</v>
      </c>
      <c r="B1816" s="2" t="s">
        <v>127</v>
      </c>
      <c r="C1816" t="s">
        <v>28</v>
      </c>
      <c r="D1816" t="s">
        <v>127</v>
      </c>
      <c r="E1816">
        <v>1</v>
      </c>
      <c r="F1816" t="s">
        <v>38</v>
      </c>
      <c r="G1816" t="s">
        <v>131</v>
      </c>
      <c r="H1816" t="s">
        <v>132</v>
      </c>
      <c r="I1816" s="2" t="str">
        <f>_xlfn.XLOOKUP(F1816,DeparaIMG!D:D,DeparaIMG!F:F,,0)</f>
        <v>GCA350.png</v>
      </c>
    </row>
    <row r="1817" spans="1:9" x14ac:dyDescent="0.25">
      <c r="A1817" s="2" t="s">
        <v>155</v>
      </c>
      <c r="B1817" s="2" t="s">
        <v>127</v>
      </c>
      <c r="C1817" t="s">
        <v>28</v>
      </c>
      <c r="D1817" t="s">
        <v>127</v>
      </c>
      <c r="E1817">
        <v>1</v>
      </c>
      <c r="F1817" t="s">
        <v>142</v>
      </c>
      <c r="G1817" t="s">
        <v>131</v>
      </c>
      <c r="H1817" t="s">
        <v>132</v>
      </c>
      <c r="I1817" s="2" t="str">
        <f>_xlfn.XLOOKUP(F1817,DeparaIMG!D:D,DeparaIMG!F:F,,0)</f>
        <v>PCSAB350.png</v>
      </c>
    </row>
    <row r="1818" spans="1:9" x14ac:dyDescent="0.25">
      <c r="A1818" s="2" t="s">
        <v>155</v>
      </c>
      <c r="B1818" s="2" t="s">
        <v>127</v>
      </c>
      <c r="C1818" t="s">
        <v>28</v>
      </c>
      <c r="D1818" t="s">
        <v>127</v>
      </c>
      <c r="E1818">
        <v>1</v>
      </c>
      <c r="F1818" t="s">
        <v>37</v>
      </c>
      <c r="G1818" t="s">
        <v>140</v>
      </c>
      <c r="H1818" t="s">
        <v>141</v>
      </c>
      <c r="I1818" s="2" t="str">
        <f>_xlfn.XLOOKUP(F1818,DeparaIMG!D:D,DeparaIMG!F:F,,0)</f>
        <v>GCAP2.png</v>
      </c>
    </row>
    <row r="1819" spans="1:9" x14ac:dyDescent="0.25">
      <c r="A1819" s="2" t="s">
        <v>155</v>
      </c>
      <c r="B1819" s="2" t="s">
        <v>127</v>
      </c>
      <c r="C1819" t="s">
        <v>28</v>
      </c>
      <c r="D1819" t="s">
        <v>127</v>
      </c>
      <c r="E1819">
        <v>2</v>
      </c>
      <c r="F1819" t="s">
        <v>143</v>
      </c>
      <c r="G1819" t="s">
        <v>131</v>
      </c>
      <c r="H1819" t="s">
        <v>132</v>
      </c>
      <c r="I1819" s="2" t="str">
        <f>_xlfn.XLOOKUP(F1819,DeparaIMG!D:D,DeparaIMG!F:F,,0)</f>
        <v>GATORADE.png</v>
      </c>
    </row>
    <row r="1820" spans="1:9" x14ac:dyDescent="0.25">
      <c r="A1820" s="2" t="s">
        <v>155</v>
      </c>
      <c r="B1820" s="2" t="s">
        <v>127</v>
      </c>
      <c r="C1820" t="s">
        <v>28</v>
      </c>
      <c r="D1820" t="s">
        <v>127</v>
      </c>
      <c r="E1820">
        <v>2</v>
      </c>
      <c r="F1820" t="s">
        <v>33</v>
      </c>
      <c r="G1820" t="s">
        <v>140</v>
      </c>
      <c r="H1820" t="s">
        <v>141</v>
      </c>
      <c r="I1820" s="2" t="str">
        <f>_xlfn.XLOOKUP(F1820,DeparaIMG!D:D,DeparaIMG!F:F,,0)</f>
        <v>PCP2.png</v>
      </c>
    </row>
    <row r="1821" spans="1:9" x14ac:dyDescent="0.25">
      <c r="A1821" s="2" t="s">
        <v>155</v>
      </c>
      <c r="B1821" s="2" t="s">
        <v>127</v>
      </c>
      <c r="C1821" t="s">
        <v>28</v>
      </c>
      <c r="D1821" t="s">
        <v>127</v>
      </c>
      <c r="E1821">
        <v>2</v>
      </c>
      <c r="F1821" t="s">
        <v>35</v>
      </c>
      <c r="G1821" t="s">
        <v>131</v>
      </c>
      <c r="H1821" t="s">
        <v>132</v>
      </c>
      <c r="I1821" s="2" t="str">
        <f>_xlfn.XLOOKUP(F1821,DeparaIMG!D:D,DeparaIMG!F:F,,0)</f>
        <v>H2OHP500.png</v>
      </c>
    </row>
    <row r="1822" spans="1:9" x14ac:dyDescent="0.25">
      <c r="A1822" s="2" t="s">
        <v>155</v>
      </c>
      <c r="B1822" s="2" t="s">
        <v>127</v>
      </c>
      <c r="C1822" t="s">
        <v>29</v>
      </c>
      <c r="D1822" t="s">
        <v>127</v>
      </c>
      <c r="E1822">
        <v>1</v>
      </c>
      <c r="F1822" t="s">
        <v>38</v>
      </c>
      <c r="G1822" t="s">
        <v>131</v>
      </c>
      <c r="H1822" t="s">
        <v>132</v>
      </c>
      <c r="I1822" s="2" t="str">
        <f>_xlfn.XLOOKUP(F1822,DeparaIMG!D:D,DeparaIMG!F:F,,0)</f>
        <v>GCA350.png</v>
      </c>
    </row>
    <row r="1823" spans="1:9" x14ac:dyDescent="0.25">
      <c r="A1823" s="2" t="s">
        <v>155</v>
      </c>
      <c r="B1823" s="2" t="s">
        <v>127</v>
      </c>
      <c r="C1823" t="s">
        <v>29</v>
      </c>
      <c r="D1823" t="s">
        <v>127</v>
      </c>
      <c r="E1823">
        <v>1</v>
      </c>
      <c r="F1823" t="s">
        <v>142</v>
      </c>
      <c r="G1823" t="s">
        <v>131</v>
      </c>
      <c r="H1823" t="s">
        <v>132</v>
      </c>
      <c r="I1823" s="2" t="str">
        <f>_xlfn.XLOOKUP(F1823,DeparaIMG!D:D,DeparaIMG!F:F,,0)</f>
        <v>PCSAB350.png</v>
      </c>
    </row>
    <row r="1824" spans="1:9" x14ac:dyDescent="0.25">
      <c r="A1824" s="2" t="s">
        <v>155</v>
      </c>
      <c r="B1824" s="2" t="s">
        <v>127</v>
      </c>
      <c r="C1824" t="s">
        <v>29</v>
      </c>
      <c r="D1824" t="s">
        <v>127</v>
      </c>
      <c r="E1824">
        <v>1</v>
      </c>
      <c r="F1824" t="s">
        <v>37</v>
      </c>
      <c r="G1824" t="s">
        <v>140</v>
      </c>
      <c r="H1824" t="s">
        <v>141</v>
      </c>
      <c r="I1824" s="2" t="str">
        <f>_xlfn.XLOOKUP(F1824,DeparaIMG!D:D,DeparaIMG!F:F,,0)</f>
        <v>GCAP2.png</v>
      </c>
    </row>
    <row r="1825" spans="1:9" x14ac:dyDescent="0.25">
      <c r="A1825" s="2" t="s">
        <v>155</v>
      </c>
      <c r="B1825" s="2" t="s">
        <v>127</v>
      </c>
      <c r="C1825" t="s">
        <v>29</v>
      </c>
      <c r="D1825" t="s">
        <v>127</v>
      </c>
      <c r="E1825">
        <v>2</v>
      </c>
      <c r="F1825" t="s">
        <v>143</v>
      </c>
      <c r="G1825" t="s">
        <v>131</v>
      </c>
      <c r="H1825" t="s">
        <v>132</v>
      </c>
      <c r="I1825" s="2" t="str">
        <f>_xlfn.XLOOKUP(F1825,DeparaIMG!D:D,DeparaIMG!F:F,,0)</f>
        <v>GATORADE.png</v>
      </c>
    </row>
    <row r="1826" spans="1:9" x14ac:dyDescent="0.25">
      <c r="A1826" s="2" t="s">
        <v>155</v>
      </c>
      <c r="B1826" s="2" t="s">
        <v>127</v>
      </c>
      <c r="C1826" t="s">
        <v>29</v>
      </c>
      <c r="D1826" t="s">
        <v>127</v>
      </c>
      <c r="E1826">
        <v>2</v>
      </c>
      <c r="F1826" t="s">
        <v>33</v>
      </c>
      <c r="G1826" t="s">
        <v>140</v>
      </c>
      <c r="H1826" t="s">
        <v>141</v>
      </c>
      <c r="I1826" s="2" t="str">
        <f>_xlfn.XLOOKUP(F1826,DeparaIMG!D:D,DeparaIMG!F:F,,0)</f>
        <v>PCP2.png</v>
      </c>
    </row>
    <row r="1827" spans="1:9" x14ac:dyDescent="0.25">
      <c r="A1827" s="2" t="s">
        <v>155</v>
      </c>
      <c r="B1827" s="2" t="s">
        <v>127</v>
      </c>
      <c r="C1827" t="s">
        <v>29</v>
      </c>
      <c r="D1827" t="s">
        <v>127</v>
      </c>
      <c r="E1827">
        <v>2</v>
      </c>
      <c r="F1827" t="s">
        <v>35</v>
      </c>
      <c r="G1827" t="s">
        <v>131</v>
      </c>
      <c r="H1827" t="s">
        <v>132</v>
      </c>
      <c r="I1827" s="2" t="str">
        <f>_xlfn.XLOOKUP(F1827,DeparaIMG!D:D,DeparaIMG!F:F,,0)</f>
        <v>H2OHP500.png</v>
      </c>
    </row>
    <row r="1828" spans="1:9" x14ac:dyDescent="0.25">
      <c r="A1828" s="2" t="s">
        <v>155</v>
      </c>
      <c r="B1828" s="2" t="s">
        <v>127</v>
      </c>
      <c r="C1828" t="s">
        <v>87</v>
      </c>
      <c r="D1828" t="s">
        <v>127</v>
      </c>
      <c r="E1828">
        <v>1</v>
      </c>
      <c r="F1828" t="s">
        <v>38</v>
      </c>
      <c r="G1828" t="s">
        <v>131</v>
      </c>
      <c r="H1828" t="s">
        <v>132</v>
      </c>
      <c r="I1828" s="2" t="str">
        <f>_xlfn.XLOOKUP(F1828,DeparaIMG!D:D,DeparaIMG!F:F,,0)</f>
        <v>GCA350.png</v>
      </c>
    </row>
    <row r="1829" spans="1:9" x14ac:dyDescent="0.25">
      <c r="A1829" s="2" t="s">
        <v>155</v>
      </c>
      <c r="B1829" s="2" t="s">
        <v>127</v>
      </c>
      <c r="C1829" t="s">
        <v>87</v>
      </c>
      <c r="D1829" t="s">
        <v>127</v>
      </c>
      <c r="E1829">
        <v>1</v>
      </c>
      <c r="F1829" t="s">
        <v>142</v>
      </c>
      <c r="G1829" t="s">
        <v>131</v>
      </c>
      <c r="H1829" t="s">
        <v>132</v>
      </c>
      <c r="I1829" s="2" t="str">
        <f>_xlfn.XLOOKUP(F1829,DeparaIMG!D:D,DeparaIMG!F:F,,0)</f>
        <v>PCSAB350.png</v>
      </c>
    </row>
    <row r="1830" spans="1:9" x14ac:dyDescent="0.25">
      <c r="A1830" s="2" t="s">
        <v>155</v>
      </c>
      <c r="B1830" s="2" t="s">
        <v>127</v>
      </c>
      <c r="C1830" t="s">
        <v>87</v>
      </c>
      <c r="D1830" t="s">
        <v>127</v>
      </c>
      <c r="E1830">
        <v>1</v>
      </c>
      <c r="F1830" t="s">
        <v>37</v>
      </c>
      <c r="G1830" t="s">
        <v>140</v>
      </c>
      <c r="H1830" t="s">
        <v>141</v>
      </c>
      <c r="I1830" s="2" t="str">
        <f>_xlfn.XLOOKUP(F1830,DeparaIMG!D:D,DeparaIMG!F:F,,0)</f>
        <v>GCAP2.png</v>
      </c>
    </row>
    <row r="1831" spans="1:9" x14ac:dyDescent="0.25">
      <c r="A1831" s="2" t="s">
        <v>155</v>
      </c>
      <c r="B1831" s="2" t="s">
        <v>127</v>
      </c>
      <c r="C1831" t="s">
        <v>87</v>
      </c>
      <c r="D1831" t="s">
        <v>127</v>
      </c>
      <c r="E1831">
        <v>2</v>
      </c>
      <c r="F1831" t="s">
        <v>143</v>
      </c>
      <c r="G1831" t="s">
        <v>131</v>
      </c>
      <c r="H1831" t="s">
        <v>132</v>
      </c>
      <c r="I1831" s="2" t="str">
        <f>_xlfn.XLOOKUP(F1831,DeparaIMG!D:D,DeparaIMG!F:F,,0)</f>
        <v>GATORADE.png</v>
      </c>
    </row>
    <row r="1832" spans="1:9" x14ac:dyDescent="0.25">
      <c r="A1832" s="2" t="s">
        <v>155</v>
      </c>
      <c r="B1832" s="2" t="s">
        <v>127</v>
      </c>
      <c r="C1832" t="s">
        <v>87</v>
      </c>
      <c r="D1832" t="s">
        <v>127</v>
      </c>
      <c r="E1832">
        <v>2</v>
      </c>
      <c r="F1832" t="s">
        <v>33</v>
      </c>
      <c r="G1832" t="s">
        <v>140</v>
      </c>
      <c r="H1832" t="s">
        <v>141</v>
      </c>
      <c r="I1832" s="2" t="str">
        <f>_xlfn.XLOOKUP(F1832,DeparaIMG!D:D,DeparaIMG!F:F,,0)</f>
        <v>PCP2.png</v>
      </c>
    </row>
    <row r="1833" spans="1:9" x14ac:dyDescent="0.25">
      <c r="A1833" s="2" t="s">
        <v>155</v>
      </c>
      <c r="B1833" s="2" t="s">
        <v>127</v>
      </c>
      <c r="C1833" t="s">
        <v>87</v>
      </c>
      <c r="D1833" t="s">
        <v>127</v>
      </c>
      <c r="E1833">
        <v>2</v>
      </c>
      <c r="F1833" t="s">
        <v>35</v>
      </c>
      <c r="G1833" t="s">
        <v>131</v>
      </c>
      <c r="H1833" t="s">
        <v>132</v>
      </c>
      <c r="I1833" s="2" t="str">
        <f>_xlfn.XLOOKUP(F1833,DeparaIMG!D:D,DeparaIMG!F:F,,0)</f>
        <v>H2OHP500.png</v>
      </c>
    </row>
    <row r="1834" spans="1:9" x14ac:dyDescent="0.25">
      <c r="A1834" s="2" t="s">
        <v>155</v>
      </c>
      <c r="B1834" s="2" t="s">
        <v>127</v>
      </c>
      <c r="C1834" t="s">
        <v>88</v>
      </c>
      <c r="D1834" t="s">
        <v>127</v>
      </c>
      <c r="E1834">
        <v>1</v>
      </c>
      <c r="F1834" t="s">
        <v>38</v>
      </c>
      <c r="G1834" t="s">
        <v>131</v>
      </c>
      <c r="H1834" t="s">
        <v>132</v>
      </c>
      <c r="I1834" s="2" t="str">
        <f>_xlfn.XLOOKUP(F1834,DeparaIMG!D:D,DeparaIMG!F:F,,0)</f>
        <v>GCA350.png</v>
      </c>
    </row>
    <row r="1835" spans="1:9" x14ac:dyDescent="0.25">
      <c r="A1835" s="2" t="s">
        <v>155</v>
      </c>
      <c r="B1835" s="2" t="s">
        <v>127</v>
      </c>
      <c r="C1835" t="s">
        <v>88</v>
      </c>
      <c r="D1835" t="s">
        <v>127</v>
      </c>
      <c r="E1835">
        <v>1</v>
      </c>
      <c r="F1835" t="s">
        <v>142</v>
      </c>
      <c r="G1835" t="s">
        <v>131</v>
      </c>
      <c r="H1835" t="s">
        <v>132</v>
      </c>
      <c r="I1835" s="2" t="str">
        <f>_xlfn.XLOOKUP(F1835,DeparaIMG!D:D,DeparaIMG!F:F,,0)</f>
        <v>PCSAB350.png</v>
      </c>
    </row>
    <row r="1836" spans="1:9" x14ac:dyDescent="0.25">
      <c r="A1836" s="2" t="s">
        <v>155</v>
      </c>
      <c r="B1836" s="2" t="s">
        <v>127</v>
      </c>
      <c r="C1836" t="s">
        <v>88</v>
      </c>
      <c r="D1836" t="s">
        <v>127</v>
      </c>
      <c r="E1836">
        <v>1</v>
      </c>
      <c r="F1836" t="s">
        <v>37</v>
      </c>
      <c r="G1836" t="s">
        <v>140</v>
      </c>
      <c r="H1836" t="s">
        <v>141</v>
      </c>
      <c r="I1836" s="2" t="str">
        <f>_xlfn.XLOOKUP(F1836,DeparaIMG!D:D,DeparaIMG!F:F,,0)</f>
        <v>GCAP2.png</v>
      </c>
    </row>
    <row r="1837" spans="1:9" x14ac:dyDescent="0.25">
      <c r="A1837" s="2" t="s">
        <v>155</v>
      </c>
      <c r="B1837" s="2" t="s">
        <v>127</v>
      </c>
      <c r="C1837" t="s">
        <v>88</v>
      </c>
      <c r="D1837" t="s">
        <v>127</v>
      </c>
      <c r="E1837">
        <v>2</v>
      </c>
      <c r="F1837" t="s">
        <v>143</v>
      </c>
      <c r="G1837" t="s">
        <v>131</v>
      </c>
      <c r="H1837" t="s">
        <v>132</v>
      </c>
      <c r="I1837" s="2" t="str">
        <f>_xlfn.XLOOKUP(F1837,DeparaIMG!D:D,DeparaIMG!F:F,,0)</f>
        <v>GATORADE.png</v>
      </c>
    </row>
    <row r="1838" spans="1:9" x14ac:dyDescent="0.25">
      <c r="A1838" s="2" t="s">
        <v>155</v>
      </c>
      <c r="B1838" s="2" t="s">
        <v>127</v>
      </c>
      <c r="C1838" t="s">
        <v>88</v>
      </c>
      <c r="D1838" t="s">
        <v>127</v>
      </c>
      <c r="E1838">
        <v>2</v>
      </c>
      <c r="F1838" t="s">
        <v>33</v>
      </c>
      <c r="G1838" t="s">
        <v>140</v>
      </c>
      <c r="H1838" t="s">
        <v>141</v>
      </c>
      <c r="I1838" s="2" t="str">
        <f>_xlfn.XLOOKUP(F1838,DeparaIMG!D:D,DeparaIMG!F:F,,0)</f>
        <v>PCP2.png</v>
      </c>
    </row>
    <row r="1839" spans="1:9" x14ac:dyDescent="0.25">
      <c r="A1839" s="2" t="s">
        <v>155</v>
      </c>
      <c r="B1839" s="2" t="s">
        <v>127</v>
      </c>
      <c r="C1839" t="s">
        <v>88</v>
      </c>
      <c r="D1839" t="s">
        <v>127</v>
      </c>
      <c r="E1839">
        <v>2</v>
      </c>
      <c r="F1839" t="s">
        <v>35</v>
      </c>
      <c r="G1839" t="s">
        <v>131</v>
      </c>
      <c r="H1839" t="s">
        <v>132</v>
      </c>
      <c r="I1839" s="2" t="str">
        <f>_xlfn.XLOOKUP(F1839,DeparaIMG!D:D,DeparaIMG!F:F,,0)</f>
        <v>H2OHP500.png</v>
      </c>
    </row>
    <row r="1840" spans="1:9" x14ac:dyDescent="0.25">
      <c r="A1840" s="2" t="s">
        <v>155</v>
      </c>
      <c r="B1840" s="2" t="s">
        <v>127</v>
      </c>
      <c r="C1840" t="s">
        <v>28</v>
      </c>
      <c r="D1840" t="s">
        <v>127</v>
      </c>
      <c r="E1840">
        <v>1</v>
      </c>
      <c r="F1840" t="s">
        <v>106</v>
      </c>
      <c r="G1840" t="s">
        <v>137</v>
      </c>
      <c r="H1840" t="s">
        <v>138</v>
      </c>
      <c r="I1840" s="2" t="str">
        <f>_xlfn.XLOOKUP(F1840,DeparaIMG!D:D,DeparaIMG!F:F,,0)</f>
        <v>BEATSLT.png</v>
      </c>
    </row>
    <row r="1841" spans="1:9" x14ac:dyDescent="0.25">
      <c r="A1841" s="2" t="s">
        <v>155</v>
      </c>
      <c r="B1841" s="2" t="s">
        <v>127</v>
      </c>
      <c r="C1841" t="s">
        <v>29</v>
      </c>
      <c r="D1841" t="s">
        <v>127</v>
      </c>
      <c r="E1841">
        <v>1</v>
      </c>
      <c r="F1841" t="s">
        <v>106</v>
      </c>
      <c r="G1841" t="s">
        <v>137</v>
      </c>
      <c r="H1841" t="s">
        <v>138</v>
      </c>
      <c r="I1841" s="2" t="str">
        <f>_xlfn.XLOOKUP(F1841,DeparaIMG!D:D,DeparaIMG!F:F,,0)</f>
        <v>BEATSLT.png</v>
      </c>
    </row>
    <row r="1842" spans="1:9" x14ac:dyDescent="0.25">
      <c r="A1842" s="2" t="s">
        <v>155</v>
      </c>
      <c r="B1842" s="2" t="s">
        <v>127</v>
      </c>
      <c r="C1842" t="s">
        <v>87</v>
      </c>
      <c r="D1842" t="s">
        <v>127</v>
      </c>
      <c r="E1842">
        <v>1</v>
      </c>
      <c r="F1842" t="s">
        <v>106</v>
      </c>
      <c r="G1842" t="s">
        <v>137</v>
      </c>
      <c r="H1842" t="s">
        <v>138</v>
      </c>
      <c r="I1842" s="2" t="str">
        <f>_xlfn.XLOOKUP(F1842,DeparaIMG!D:D,DeparaIMG!F:F,,0)</f>
        <v>BEATSLT.png</v>
      </c>
    </row>
    <row r="1843" spans="1:9" x14ac:dyDescent="0.25">
      <c r="A1843" s="2" t="s">
        <v>155</v>
      </c>
      <c r="B1843" s="2" t="s">
        <v>127</v>
      </c>
      <c r="C1843" t="s">
        <v>88</v>
      </c>
      <c r="D1843" t="s">
        <v>127</v>
      </c>
      <c r="E1843">
        <v>1</v>
      </c>
      <c r="F1843" t="s">
        <v>106</v>
      </c>
      <c r="G1843" t="s">
        <v>137</v>
      </c>
      <c r="H1843" t="s">
        <v>138</v>
      </c>
      <c r="I1843" s="2" t="str">
        <f>_xlfn.XLOOKUP(F1843,DeparaIMG!D:D,DeparaIMG!F:F,,0)</f>
        <v>BEATSLT.png</v>
      </c>
    </row>
    <row r="1844" spans="1:9" x14ac:dyDescent="0.25">
      <c r="A1844" s="2" t="s">
        <v>155</v>
      </c>
      <c r="B1844" s="2" t="s">
        <v>127</v>
      </c>
      <c r="C1844" t="s">
        <v>28</v>
      </c>
      <c r="D1844" t="s">
        <v>127</v>
      </c>
      <c r="E1844">
        <v>2</v>
      </c>
      <c r="F1844" t="s">
        <v>107</v>
      </c>
      <c r="G1844" t="s">
        <v>131</v>
      </c>
      <c r="H1844" t="s">
        <v>132</v>
      </c>
      <c r="I1844" s="2" t="str">
        <f>_xlfn.XLOOKUP(F1844,DeparaIMG!D:D,DeparaIMG!F:F,,0)</f>
        <v>BEATSLN.png</v>
      </c>
    </row>
    <row r="1845" spans="1:9" x14ac:dyDescent="0.25">
      <c r="A1845" s="2" t="s">
        <v>155</v>
      </c>
      <c r="B1845" s="2" t="s">
        <v>127</v>
      </c>
      <c r="C1845" t="s">
        <v>29</v>
      </c>
      <c r="D1845" t="s">
        <v>127</v>
      </c>
      <c r="E1845">
        <v>2</v>
      </c>
      <c r="F1845" t="s">
        <v>107</v>
      </c>
      <c r="G1845" t="s">
        <v>131</v>
      </c>
      <c r="H1845" t="s">
        <v>132</v>
      </c>
      <c r="I1845" s="2" t="str">
        <f>_xlfn.XLOOKUP(F1845,DeparaIMG!D:D,DeparaIMG!F:F,,0)</f>
        <v>BEATSLN.png</v>
      </c>
    </row>
    <row r="1846" spans="1:9" x14ac:dyDescent="0.25">
      <c r="A1846" s="2" t="s">
        <v>155</v>
      </c>
      <c r="B1846" s="2" t="s">
        <v>127</v>
      </c>
      <c r="C1846" t="s">
        <v>87</v>
      </c>
      <c r="D1846" t="s">
        <v>127</v>
      </c>
      <c r="E1846">
        <v>2</v>
      </c>
      <c r="F1846" t="s">
        <v>107</v>
      </c>
      <c r="G1846" t="s">
        <v>131</v>
      </c>
      <c r="H1846" t="s">
        <v>132</v>
      </c>
      <c r="I1846" s="2" t="str">
        <f>_xlfn.XLOOKUP(F1846,DeparaIMG!D:D,DeparaIMG!F:F,,0)</f>
        <v>BEATSLN.png</v>
      </c>
    </row>
    <row r="1847" spans="1:9" x14ac:dyDescent="0.25">
      <c r="A1847" s="2" t="s">
        <v>155</v>
      </c>
      <c r="B1847" s="2" t="s">
        <v>127</v>
      </c>
      <c r="C1847" t="s">
        <v>88</v>
      </c>
      <c r="D1847" t="s">
        <v>127</v>
      </c>
      <c r="E1847">
        <v>2</v>
      </c>
      <c r="F1847" t="s">
        <v>107</v>
      </c>
      <c r="G1847" t="s">
        <v>131</v>
      </c>
      <c r="H1847" t="s">
        <v>132</v>
      </c>
      <c r="I1847" s="2" t="str">
        <f>_xlfn.XLOOKUP(F1847,DeparaIMG!D:D,DeparaIMG!F:F,,0)</f>
        <v>BEATSLN.png</v>
      </c>
    </row>
    <row r="1848" spans="1:9" x14ac:dyDescent="0.25">
      <c r="A1848" s="2" t="s">
        <v>155</v>
      </c>
      <c r="B1848" s="2" t="s">
        <v>127</v>
      </c>
      <c r="C1848" t="s">
        <v>28</v>
      </c>
      <c r="D1848" t="s">
        <v>127</v>
      </c>
      <c r="E1848">
        <v>2</v>
      </c>
      <c r="F1848" t="s">
        <v>106</v>
      </c>
      <c r="G1848" t="s">
        <v>164</v>
      </c>
      <c r="H1848" t="s">
        <v>165</v>
      </c>
      <c r="I1848" s="2" t="str">
        <f>_xlfn.XLOOKUP(F1848,DeparaIMG!D:D,DeparaIMG!F:F,,0)</f>
        <v>BEATSLT.png</v>
      </c>
    </row>
    <row r="1849" spans="1:9" x14ac:dyDescent="0.25">
      <c r="A1849" s="2" t="s">
        <v>155</v>
      </c>
      <c r="B1849" s="2" t="s">
        <v>127</v>
      </c>
      <c r="C1849" t="s">
        <v>29</v>
      </c>
      <c r="D1849" t="s">
        <v>127</v>
      </c>
      <c r="E1849">
        <v>2</v>
      </c>
      <c r="F1849" t="s">
        <v>106</v>
      </c>
      <c r="G1849" t="s">
        <v>164</v>
      </c>
      <c r="H1849" t="s">
        <v>165</v>
      </c>
      <c r="I1849" s="2" t="str">
        <f>_xlfn.XLOOKUP(F1849,DeparaIMG!D:D,DeparaIMG!F:F,,0)</f>
        <v>BEATSLT.png</v>
      </c>
    </row>
    <row r="1850" spans="1:9" x14ac:dyDescent="0.25">
      <c r="A1850" s="2" t="s">
        <v>155</v>
      </c>
      <c r="B1850" s="2" t="s">
        <v>127</v>
      </c>
      <c r="C1850" t="s">
        <v>87</v>
      </c>
      <c r="D1850" t="s">
        <v>127</v>
      </c>
      <c r="E1850">
        <v>2</v>
      </c>
      <c r="F1850" t="s">
        <v>106</v>
      </c>
      <c r="G1850" t="s">
        <v>164</v>
      </c>
      <c r="H1850" t="s">
        <v>165</v>
      </c>
      <c r="I1850" s="2" t="str">
        <f>_xlfn.XLOOKUP(F1850,DeparaIMG!D:D,DeparaIMG!F:F,,0)</f>
        <v>BEATSLT.png</v>
      </c>
    </row>
    <row r="1851" spans="1:9" x14ac:dyDescent="0.25">
      <c r="A1851" s="2" t="s">
        <v>155</v>
      </c>
      <c r="B1851" s="2" t="s">
        <v>127</v>
      </c>
      <c r="C1851" t="s">
        <v>88</v>
      </c>
      <c r="D1851" t="s">
        <v>127</v>
      </c>
      <c r="E1851">
        <v>2</v>
      </c>
      <c r="F1851" t="s">
        <v>106</v>
      </c>
      <c r="G1851" t="s">
        <v>164</v>
      </c>
      <c r="H1851" t="s">
        <v>165</v>
      </c>
      <c r="I1851" s="2" t="str">
        <f>_xlfn.XLOOKUP(F1851,DeparaIMG!D:D,DeparaIMG!F:F,,0)</f>
        <v>BEATSLT.png</v>
      </c>
    </row>
    <row r="1852" spans="1:9" x14ac:dyDescent="0.25">
      <c r="A1852" s="2" t="s">
        <v>155</v>
      </c>
      <c r="B1852" s="2" t="s">
        <v>127</v>
      </c>
      <c r="C1852" t="s">
        <v>28</v>
      </c>
      <c r="D1852" t="s">
        <v>127</v>
      </c>
      <c r="E1852">
        <v>2</v>
      </c>
      <c r="F1852" s="2" t="s">
        <v>109</v>
      </c>
      <c r="G1852" t="s">
        <v>164</v>
      </c>
      <c r="H1852" t="s">
        <v>165</v>
      </c>
      <c r="I1852" s="2" t="str">
        <f>_xlfn.XLOOKUP(F1852,DeparaIMG!D:D,DeparaIMG!F:F,,0)</f>
        <v>FFLN.png</v>
      </c>
    </row>
    <row r="1853" spans="1:9" x14ac:dyDescent="0.25">
      <c r="A1853" s="2" t="s">
        <v>155</v>
      </c>
      <c r="B1853" s="2" t="s">
        <v>127</v>
      </c>
      <c r="C1853" t="s">
        <v>29</v>
      </c>
      <c r="D1853" t="s">
        <v>127</v>
      </c>
      <c r="E1853">
        <v>2</v>
      </c>
      <c r="F1853" s="2" t="s">
        <v>109</v>
      </c>
      <c r="G1853" t="s">
        <v>164</v>
      </c>
      <c r="H1853" t="s">
        <v>165</v>
      </c>
      <c r="I1853" s="2" t="str">
        <f>_xlfn.XLOOKUP(F1853,DeparaIMG!D:D,DeparaIMG!F:F,,0)</f>
        <v>FFLN.png</v>
      </c>
    </row>
    <row r="1854" spans="1:9" x14ac:dyDescent="0.25">
      <c r="A1854" s="2" t="s">
        <v>155</v>
      </c>
      <c r="B1854" s="2" t="s">
        <v>127</v>
      </c>
      <c r="C1854" t="s">
        <v>87</v>
      </c>
      <c r="D1854" t="s">
        <v>127</v>
      </c>
      <c r="E1854">
        <v>2</v>
      </c>
      <c r="F1854" s="2" t="s">
        <v>109</v>
      </c>
      <c r="G1854" t="s">
        <v>164</v>
      </c>
      <c r="H1854" t="s">
        <v>165</v>
      </c>
      <c r="I1854" s="2" t="str">
        <f>_xlfn.XLOOKUP(F1854,DeparaIMG!D:D,DeparaIMG!F:F,,0)</f>
        <v>FFLN.png</v>
      </c>
    </row>
    <row r="1855" spans="1:9" x14ac:dyDescent="0.25">
      <c r="A1855" s="2" t="s">
        <v>155</v>
      </c>
      <c r="B1855" s="2" t="s">
        <v>127</v>
      </c>
      <c r="C1855" t="s">
        <v>88</v>
      </c>
      <c r="D1855" t="s">
        <v>127</v>
      </c>
      <c r="E1855">
        <v>2</v>
      </c>
      <c r="F1855" s="2" t="s">
        <v>109</v>
      </c>
      <c r="G1855" t="s">
        <v>164</v>
      </c>
      <c r="H1855" t="s">
        <v>165</v>
      </c>
      <c r="I1855" s="2" t="str">
        <f>_xlfn.XLOOKUP(F1855,DeparaIMG!D:D,DeparaIMG!F:F,,0)</f>
        <v>FFLN.png</v>
      </c>
    </row>
    <row r="1856" spans="1:9" x14ac:dyDescent="0.25">
      <c r="A1856" s="2" t="s">
        <v>155</v>
      </c>
      <c r="B1856" s="2" t="s">
        <v>127</v>
      </c>
      <c r="C1856" t="s">
        <v>28</v>
      </c>
      <c r="D1856" t="s">
        <v>127</v>
      </c>
      <c r="E1856">
        <v>2</v>
      </c>
      <c r="F1856" t="s">
        <v>108</v>
      </c>
      <c r="G1856" t="s">
        <v>164</v>
      </c>
      <c r="H1856" t="s">
        <v>165</v>
      </c>
      <c r="I1856" s="2" t="str">
        <f>_xlfn.XLOOKUP(F1856,DeparaIMG!D:D,DeparaIMG!F:F,,0)</f>
        <v>FF350.png</v>
      </c>
    </row>
    <row r="1857" spans="1:9" x14ac:dyDescent="0.25">
      <c r="A1857" s="2" t="s">
        <v>155</v>
      </c>
      <c r="B1857" s="2" t="s">
        <v>127</v>
      </c>
      <c r="C1857" t="s">
        <v>29</v>
      </c>
      <c r="D1857" t="s">
        <v>127</v>
      </c>
      <c r="E1857">
        <v>2</v>
      </c>
      <c r="F1857" t="s">
        <v>108</v>
      </c>
      <c r="G1857" t="s">
        <v>164</v>
      </c>
      <c r="H1857" t="s">
        <v>165</v>
      </c>
      <c r="I1857" s="2" t="str">
        <f>_xlfn.XLOOKUP(F1857,DeparaIMG!D:D,DeparaIMG!F:F,,0)</f>
        <v>FF350.png</v>
      </c>
    </row>
    <row r="1858" spans="1:9" x14ac:dyDescent="0.25">
      <c r="A1858" s="2" t="s">
        <v>155</v>
      </c>
      <c r="B1858" s="2" t="s">
        <v>127</v>
      </c>
      <c r="C1858" t="s">
        <v>87</v>
      </c>
      <c r="D1858" t="s">
        <v>127</v>
      </c>
      <c r="E1858">
        <v>2</v>
      </c>
      <c r="F1858" t="s">
        <v>108</v>
      </c>
      <c r="G1858" t="s">
        <v>164</v>
      </c>
      <c r="H1858" t="s">
        <v>165</v>
      </c>
      <c r="I1858" s="2" t="str">
        <f>_xlfn.XLOOKUP(F1858,DeparaIMG!D:D,DeparaIMG!F:F,,0)</f>
        <v>FF350.png</v>
      </c>
    </row>
    <row r="1859" spans="1:9" x14ac:dyDescent="0.25">
      <c r="A1859" s="2" t="s">
        <v>155</v>
      </c>
      <c r="B1859" s="2" t="s">
        <v>127</v>
      </c>
      <c r="C1859" t="s">
        <v>88</v>
      </c>
      <c r="D1859" t="s">
        <v>127</v>
      </c>
      <c r="E1859">
        <v>2</v>
      </c>
      <c r="F1859" t="s">
        <v>108</v>
      </c>
      <c r="G1859" t="s">
        <v>164</v>
      </c>
      <c r="H1859" t="s">
        <v>165</v>
      </c>
      <c r="I1859" s="2" t="str">
        <f>_xlfn.XLOOKUP(F1859,DeparaIMG!D:D,DeparaIMG!F:F,,0)</f>
        <v>FF350.png</v>
      </c>
    </row>
    <row r="1860" spans="1:9" x14ac:dyDescent="0.25">
      <c r="A1860" s="2" t="s">
        <v>155</v>
      </c>
      <c r="B1860" s="2" t="s">
        <v>127</v>
      </c>
      <c r="C1860" t="s">
        <v>28</v>
      </c>
      <c r="D1860" t="s">
        <v>127</v>
      </c>
      <c r="E1860">
        <v>1</v>
      </c>
      <c r="F1860" t="s">
        <v>144</v>
      </c>
      <c r="G1860" t="s">
        <v>149</v>
      </c>
      <c r="H1860" t="s">
        <v>150</v>
      </c>
      <c r="I1860" s="2" t="str">
        <f>_xlfn.XLOOKUP(F1860,DeparaIMG!D:D,DeparaIMG!F:F,,0)</f>
        <v>BEATSFF.png</v>
      </c>
    </row>
    <row r="1861" spans="1:9" x14ac:dyDescent="0.25">
      <c r="A1861" s="2" t="s">
        <v>155</v>
      </c>
      <c r="B1861" s="2" t="s">
        <v>127</v>
      </c>
      <c r="C1861" t="s">
        <v>29</v>
      </c>
      <c r="D1861" t="s">
        <v>127</v>
      </c>
      <c r="E1861">
        <v>1</v>
      </c>
      <c r="F1861" t="s">
        <v>144</v>
      </c>
      <c r="G1861" t="s">
        <v>149</v>
      </c>
      <c r="H1861" t="s">
        <v>150</v>
      </c>
      <c r="I1861" s="2" t="str">
        <f>_xlfn.XLOOKUP(F1861,DeparaIMG!D:D,DeparaIMG!F:F,,0)</f>
        <v>BEATSFF.png</v>
      </c>
    </row>
    <row r="1862" spans="1:9" x14ac:dyDescent="0.25">
      <c r="A1862" s="2" t="s">
        <v>155</v>
      </c>
      <c r="B1862" s="2" t="s">
        <v>127</v>
      </c>
      <c r="C1862" t="s">
        <v>87</v>
      </c>
      <c r="D1862" t="s">
        <v>127</v>
      </c>
      <c r="E1862">
        <v>1</v>
      </c>
      <c r="F1862" t="s">
        <v>144</v>
      </c>
      <c r="G1862" t="s">
        <v>149</v>
      </c>
      <c r="H1862" t="s">
        <v>150</v>
      </c>
      <c r="I1862" s="2" t="str">
        <f>_xlfn.XLOOKUP(F1862,DeparaIMG!D:D,DeparaIMG!F:F,,0)</f>
        <v>BEATSFF.png</v>
      </c>
    </row>
    <row r="1863" spans="1:9" x14ac:dyDescent="0.25">
      <c r="A1863" s="2" t="s">
        <v>155</v>
      </c>
      <c r="B1863" s="2" t="s">
        <v>127</v>
      </c>
      <c r="C1863" t="s">
        <v>88</v>
      </c>
      <c r="D1863" t="s">
        <v>127</v>
      </c>
      <c r="E1863">
        <v>1</v>
      </c>
      <c r="F1863" t="s">
        <v>144</v>
      </c>
      <c r="G1863" t="s">
        <v>149</v>
      </c>
      <c r="H1863" t="s">
        <v>150</v>
      </c>
      <c r="I1863" s="2" t="str">
        <f>_xlfn.XLOOKUP(F1863,DeparaIMG!D:D,DeparaIMG!F:F,,0)</f>
        <v>BEATSFF.png</v>
      </c>
    </row>
    <row r="1864" spans="1:9" x14ac:dyDescent="0.25">
      <c r="A1864" s="2" t="s">
        <v>155</v>
      </c>
      <c r="B1864" s="2" t="s">
        <v>127</v>
      </c>
      <c r="C1864" t="s">
        <v>28</v>
      </c>
      <c r="D1864" t="s">
        <v>127</v>
      </c>
      <c r="E1864">
        <v>2</v>
      </c>
      <c r="F1864" t="s">
        <v>144</v>
      </c>
      <c r="G1864" t="s">
        <v>149</v>
      </c>
      <c r="H1864" t="s">
        <v>150</v>
      </c>
      <c r="I1864" s="2" t="str">
        <f>_xlfn.XLOOKUP(F1864,DeparaIMG!D:D,DeparaIMG!F:F,,0)</f>
        <v>BEATSFF.png</v>
      </c>
    </row>
    <row r="1865" spans="1:9" x14ac:dyDescent="0.25">
      <c r="A1865" s="2" t="s">
        <v>155</v>
      </c>
      <c r="B1865" s="2" t="s">
        <v>127</v>
      </c>
      <c r="C1865" t="s">
        <v>29</v>
      </c>
      <c r="D1865" t="s">
        <v>127</v>
      </c>
      <c r="E1865">
        <v>2</v>
      </c>
      <c r="F1865" t="s">
        <v>144</v>
      </c>
      <c r="G1865" t="s">
        <v>149</v>
      </c>
      <c r="H1865" t="s">
        <v>150</v>
      </c>
      <c r="I1865" s="2" t="str">
        <f>_xlfn.XLOOKUP(F1865,DeparaIMG!D:D,DeparaIMG!F:F,,0)</f>
        <v>BEATSFF.png</v>
      </c>
    </row>
    <row r="1866" spans="1:9" x14ac:dyDescent="0.25">
      <c r="A1866" s="2" t="s">
        <v>155</v>
      </c>
      <c r="B1866" s="2" t="s">
        <v>127</v>
      </c>
      <c r="C1866" t="s">
        <v>87</v>
      </c>
      <c r="D1866" t="s">
        <v>127</v>
      </c>
      <c r="E1866">
        <v>2</v>
      </c>
      <c r="F1866" t="s">
        <v>144</v>
      </c>
      <c r="G1866" t="s">
        <v>149</v>
      </c>
      <c r="H1866" t="s">
        <v>150</v>
      </c>
      <c r="I1866" s="2" t="str">
        <f>_xlfn.XLOOKUP(F1866,DeparaIMG!D:D,DeparaIMG!F:F,,0)</f>
        <v>BEATSFF.png</v>
      </c>
    </row>
    <row r="1867" spans="1:9" x14ac:dyDescent="0.25">
      <c r="A1867" s="2" t="s">
        <v>155</v>
      </c>
      <c r="B1867" s="2" t="s">
        <v>127</v>
      </c>
      <c r="C1867" t="s">
        <v>88</v>
      </c>
      <c r="D1867" t="s">
        <v>127</v>
      </c>
      <c r="E1867">
        <v>2</v>
      </c>
      <c r="F1867" t="s">
        <v>144</v>
      </c>
      <c r="G1867" t="s">
        <v>149</v>
      </c>
      <c r="H1867" t="s">
        <v>150</v>
      </c>
      <c r="I1867" s="2" t="str">
        <f>_xlfn.XLOOKUP(F1867,DeparaIMG!D:D,DeparaIMG!F:F,,0)</f>
        <v>BEATSFF.png</v>
      </c>
    </row>
    <row r="1868" spans="1:9" x14ac:dyDescent="0.25">
      <c r="A1868" s="2" t="s">
        <v>155</v>
      </c>
      <c r="B1868" t="s">
        <v>61</v>
      </c>
      <c r="C1868" t="s">
        <v>4</v>
      </c>
      <c r="D1868" t="s">
        <v>25</v>
      </c>
      <c r="E1868">
        <v>1</v>
      </c>
      <c r="F1868" t="s">
        <v>31</v>
      </c>
      <c r="G1868">
        <v>4.99</v>
      </c>
      <c r="H1868">
        <v>4.6900000000000004</v>
      </c>
      <c r="I1868" s="2" t="str">
        <f>_xlfn.XLOOKUP(F1868,DeparaIMG!D:D,DeparaIMG!F:F,,0)</f>
        <v>GCAP1.png</v>
      </c>
    </row>
    <row r="1869" spans="1:9" x14ac:dyDescent="0.25">
      <c r="A1869" s="2" t="s">
        <v>155</v>
      </c>
      <c r="B1869" t="s">
        <v>61</v>
      </c>
      <c r="C1869" t="s">
        <v>173</v>
      </c>
      <c r="D1869" t="s">
        <v>25</v>
      </c>
      <c r="E1869">
        <v>1</v>
      </c>
      <c r="F1869" t="s">
        <v>32</v>
      </c>
      <c r="G1869">
        <v>6.49</v>
      </c>
      <c r="H1869">
        <v>6.09</v>
      </c>
      <c r="I1869" s="2" t="str">
        <f>_xlfn.XLOOKUP(F1869,DeparaIMG!D:D,DeparaIMG!F:F,,0)</f>
        <v>GCAP1,5.png</v>
      </c>
    </row>
    <row r="1870" spans="1:9" x14ac:dyDescent="0.25">
      <c r="A1870" s="2" t="s">
        <v>155</v>
      </c>
      <c r="B1870" t="s">
        <v>61</v>
      </c>
      <c r="C1870" t="s">
        <v>28</v>
      </c>
      <c r="D1870" t="s">
        <v>25</v>
      </c>
      <c r="E1870">
        <v>1</v>
      </c>
      <c r="F1870" t="s">
        <v>32</v>
      </c>
      <c r="G1870">
        <v>5.99</v>
      </c>
      <c r="H1870">
        <v>5.59</v>
      </c>
      <c r="I1870" s="2" t="str">
        <f>_xlfn.XLOOKUP(F1870,DeparaIMG!D:D,DeparaIMG!F:F,,0)</f>
        <v>GCAP1,5.png</v>
      </c>
    </row>
    <row r="1871" spans="1:9" x14ac:dyDescent="0.25">
      <c r="A1871" s="2" t="s">
        <v>155</v>
      </c>
      <c r="B1871" t="s">
        <v>61</v>
      </c>
      <c r="C1871" t="s">
        <v>29</v>
      </c>
      <c r="D1871" t="s">
        <v>25</v>
      </c>
      <c r="E1871">
        <v>1</v>
      </c>
      <c r="F1871" t="s">
        <v>32</v>
      </c>
      <c r="G1871">
        <v>5.99</v>
      </c>
      <c r="H1871">
        <v>5.59</v>
      </c>
      <c r="I1871" s="2" t="str">
        <f>_xlfn.XLOOKUP(F1871,DeparaIMG!D:D,DeparaIMG!F:F,,0)</f>
        <v>GCAP1,5.png</v>
      </c>
    </row>
    <row r="1872" spans="1:9" x14ac:dyDescent="0.25">
      <c r="A1872" s="2" t="s">
        <v>155</v>
      </c>
      <c r="B1872" t="s">
        <v>61</v>
      </c>
      <c r="C1872" t="s">
        <v>30</v>
      </c>
      <c r="D1872" t="s">
        <v>25</v>
      </c>
      <c r="E1872">
        <v>1</v>
      </c>
      <c r="F1872" t="s">
        <v>32</v>
      </c>
      <c r="G1872">
        <v>6.49</v>
      </c>
      <c r="H1872">
        <v>6.09</v>
      </c>
      <c r="I1872" s="2" t="str">
        <f>_xlfn.XLOOKUP(F1872,DeparaIMG!D:D,DeparaIMG!F:F,,0)</f>
        <v>GCAP1,5.png</v>
      </c>
    </row>
    <row r="1873" spans="1:9" x14ac:dyDescent="0.25">
      <c r="A1873" s="2" t="s">
        <v>155</v>
      </c>
      <c r="B1873" t="s">
        <v>61</v>
      </c>
      <c r="C1873" t="s">
        <v>4</v>
      </c>
      <c r="D1873" t="s">
        <v>25</v>
      </c>
      <c r="E1873">
        <v>1</v>
      </c>
      <c r="F1873" t="s">
        <v>166</v>
      </c>
      <c r="G1873">
        <v>4.99</v>
      </c>
      <c r="H1873">
        <v>4.6900000000000004</v>
      </c>
      <c r="I1873" s="2" t="str">
        <f>_xlfn.XLOOKUP(F1873,DeparaIMG!D:D,DeparaIMG!F:F,,0)</f>
        <v>GCADP1.png</v>
      </c>
    </row>
    <row r="1874" spans="1:9" x14ac:dyDescent="0.25">
      <c r="A1874" s="2" t="s">
        <v>155</v>
      </c>
      <c r="B1874" t="s">
        <v>61</v>
      </c>
      <c r="C1874" t="s">
        <v>173</v>
      </c>
      <c r="D1874" t="s">
        <v>25</v>
      </c>
      <c r="E1874">
        <v>1</v>
      </c>
      <c r="F1874" t="s">
        <v>167</v>
      </c>
      <c r="G1874">
        <v>6.49</v>
      </c>
      <c r="H1874">
        <v>6.09</v>
      </c>
      <c r="I1874" s="2" t="str">
        <f>_xlfn.XLOOKUP(F1874,DeparaIMG!D:D,DeparaIMG!F:F,,0)</f>
        <v>GCADP1,5.png</v>
      </c>
    </row>
    <row r="1875" spans="1:9" x14ac:dyDescent="0.25">
      <c r="A1875" s="2" t="s">
        <v>155</v>
      </c>
      <c r="B1875" t="s">
        <v>61</v>
      </c>
      <c r="C1875" t="s">
        <v>28</v>
      </c>
      <c r="D1875" t="s">
        <v>25</v>
      </c>
      <c r="E1875">
        <v>1</v>
      </c>
      <c r="F1875" t="s">
        <v>167</v>
      </c>
      <c r="G1875">
        <v>5.99</v>
      </c>
      <c r="H1875">
        <v>5.59</v>
      </c>
      <c r="I1875" s="2" t="str">
        <f>_xlfn.XLOOKUP(F1875,DeparaIMG!D:D,DeparaIMG!F:F,,0)</f>
        <v>GCADP1,5.png</v>
      </c>
    </row>
    <row r="1876" spans="1:9" x14ac:dyDescent="0.25">
      <c r="A1876" s="2" t="s">
        <v>155</v>
      </c>
      <c r="B1876" t="s">
        <v>61</v>
      </c>
      <c r="C1876" t="s">
        <v>29</v>
      </c>
      <c r="D1876" t="s">
        <v>25</v>
      </c>
      <c r="E1876">
        <v>1</v>
      </c>
      <c r="F1876" t="s">
        <v>167</v>
      </c>
      <c r="G1876">
        <v>5.99</v>
      </c>
      <c r="H1876">
        <v>5.59</v>
      </c>
      <c r="I1876" s="2" t="str">
        <f>_xlfn.XLOOKUP(F1876,DeparaIMG!D:D,DeparaIMG!F:F,,0)</f>
        <v>GCADP1,5.png</v>
      </c>
    </row>
    <row r="1877" spans="1:9" x14ac:dyDescent="0.25">
      <c r="A1877" s="2" t="s">
        <v>155</v>
      </c>
      <c r="B1877" t="s">
        <v>61</v>
      </c>
      <c r="C1877" t="s">
        <v>30</v>
      </c>
      <c r="D1877" t="s">
        <v>25</v>
      </c>
      <c r="E1877">
        <v>1</v>
      </c>
      <c r="F1877" t="s">
        <v>167</v>
      </c>
      <c r="G1877">
        <v>6.49</v>
      </c>
      <c r="H1877">
        <v>6.09</v>
      </c>
      <c r="I1877" s="2" t="str">
        <f>_xlfn.XLOOKUP(F1877,DeparaIMG!D:D,DeparaIMG!F:F,,0)</f>
        <v>GCADP1,5.png</v>
      </c>
    </row>
    <row r="1878" spans="1:9" x14ac:dyDescent="0.25">
      <c r="A1878" s="2" t="s">
        <v>155</v>
      </c>
      <c r="B1878" t="s">
        <v>61</v>
      </c>
      <c r="C1878" t="s">
        <v>4</v>
      </c>
      <c r="D1878" t="s">
        <v>25</v>
      </c>
      <c r="E1878">
        <v>1</v>
      </c>
      <c r="F1878" t="s">
        <v>33</v>
      </c>
      <c r="G1878">
        <v>7.79</v>
      </c>
      <c r="H1878">
        <v>7.39</v>
      </c>
      <c r="I1878" s="2" t="str">
        <f>_xlfn.XLOOKUP(F1878,DeparaIMG!D:D,DeparaIMG!F:F,,0)</f>
        <v>PCP2.png</v>
      </c>
    </row>
    <row r="1879" spans="1:9" x14ac:dyDescent="0.25">
      <c r="A1879" s="2" t="s">
        <v>155</v>
      </c>
      <c r="B1879" t="s">
        <v>61</v>
      </c>
      <c r="C1879" t="s">
        <v>173</v>
      </c>
      <c r="D1879" t="s">
        <v>25</v>
      </c>
      <c r="E1879">
        <v>1</v>
      </c>
      <c r="F1879" t="s">
        <v>33</v>
      </c>
      <c r="G1879">
        <v>8.7899999999999991</v>
      </c>
      <c r="H1879">
        <v>8.3899999999999988</v>
      </c>
      <c r="I1879" s="2" t="str">
        <f>_xlfn.XLOOKUP(F1879,DeparaIMG!D:D,DeparaIMG!F:F,,0)</f>
        <v>PCP2.png</v>
      </c>
    </row>
    <row r="1880" spans="1:9" x14ac:dyDescent="0.25">
      <c r="A1880" s="2" t="s">
        <v>155</v>
      </c>
      <c r="B1880" t="s">
        <v>61</v>
      </c>
      <c r="C1880" t="s">
        <v>28</v>
      </c>
      <c r="D1880" t="s">
        <v>25</v>
      </c>
      <c r="E1880">
        <v>1</v>
      </c>
      <c r="F1880" t="s">
        <v>33</v>
      </c>
      <c r="G1880">
        <v>7.79</v>
      </c>
      <c r="H1880">
        <v>7.39</v>
      </c>
      <c r="I1880" s="2" t="str">
        <f>_xlfn.XLOOKUP(F1880,DeparaIMG!D:D,DeparaIMG!F:F,,0)</f>
        <v>PCP2.png</v>
      </c>
    </row>
    <row r="1881" spans="1:9" x14ac:dyDescent="0.25">
      <c r="A1881" s="2" t="s">
        <v>155</v>
      </c>
      <c r="B1881" t="s">
        <v>61</v>
      </c>
      <c r="C1881" t="s">
        <v>29</v>
      </c>
      <c r="D1881" t="s">
        <v>25</v>
      </c>
      <c r="E1881">
        <v>1</v>
      </c>
      <c r="F1881" t="s">
        <v>33</v>
      </c>
      <c r="G1881">
        <v>7.79</v>
      </c>
      <c r="H1881">
        <v>7.39</v>
      </c>
      <c r="I1881" s="2" t="str">
        <f>_xlfn.XLOOKUP(F1881,DeparaIMG!D:D,DeparaIMG!F:F,,0)</f>
        <v>PCP2.png</v>
      </c>
    </row>
    <row r="1882" spans="1:9" x14ac:dyDescent="0.25">
      <c r="A1882" s="2" t="s">
        <v>155</v>
      </c>
      <c r="B1882" t="s">
        <v>61</v>
      </c>
      <c r="C1882" t="s">
        <v>30</v>
      </c>
      <c r="D1882" t="s">
        <v>25</v>
      </c>
      <c r="E1882">
        <v>1</v>
      </c>
      <c r="F1882" t="s">
        <v>33</v>
      </c>
      <c r="G1882">
        <v>8.7899999999999991</v>
      </c>
      <c r="H1882">
        <v>8.3899999999999988</v>
      </c>
      <c r="I1882" s="2" t="str">
        <f>_xlfn.XLOOKUP(F1882,DeparaIMG!D:D,DeparaIMG!F:F,,0)</f>
        <v>PCP2.png</v>
      </c>
    </row>
    <row r="1883" spans="1:9" x14ac:dyDescent="0.25">
      <c r="A1883" s="2" t="s">
        <v>155</v>
      </c>
      <c r="B1883" t="s">
        <v>61</v>
      </c>
      <c r="C1883" t="s">
        <v>4</v>
      </c>
      <c r="D1883" t="s">
        <v>25</v>
      </c>
      <c r="E1883">
        <v>1</v>
      </c>
      <c r="F1883" t="s">
        <v>168</v>
      </c>
      <c r="G1883">
        <v>7.79</v>
      </c>
      <c r="H1883">
        <v>7.39</v>
      </c>
      <c r="I1883" s="2" t="str">
        <f>_xlfn.XLOOKUP(F1883,DeparaIMG!D:D,DeparaIMG!F:F,,0)</f>
        <v>PCBP2.png</v>
      </c>
    </row>
    <row r="1884" spans="1:9" x14ac:dyDescent="0.25">
      <c r="A1884" s="2" t="s">
        <v>155</v>
      </c>
      <c r="B1884" t="s">
        <v>61</v>
      </c>
      <c r="C1884" t="s">
        <v>173</v>
      </c>
      <c r="D1884" t="s">
        <v>25</v>
      </c>
      <c r="E1884">
        <v>1</v>
      </c>
      <c r="F1884" t="s">
        <v>168</v>
      </c>
      <c r="G1884">
        <v>8.7899999999999991</v>
      </c>
      <c r="H1884">
        <v>8.3899999999999988</v>
      </c>
      <c r="I1884" s="2" t="str">
        <f>_xlfn.XLOOKUP(F1884,DeparaIMG!D:D,DeparaIMG!F:F,,0)</f>
        <v>PCBP2.png</v>
      </c>
    </row>
    <row r="1885" spans="1:9" x14ac:dyDescent="0.25">
      <c r="A1885" s="2" t="s">
        <v>155</v>
      </c>
      <c r="B1885" t="s">
        <v>61</v>
      </c>
      <c r="C1885" t="s">
        <v>28</v>
      </c>
      <c r="D1885" t="s">
        <v>25</v>
      </c>
      <c r="E1885">
        <v>1</v>
      </c>
      <c r="F1885" t="s">
        <v>168</v>
      </c>
      <c r="G1885">
        <v>7.79</v>
      </c>
      <c r="H1885">
        <v>7.39</v>
      </c>
      <c r="I1885" s="2" t="str">
        <f>_xlfn.XLOOKUP(F1885,DeparaIMG!D:D,DeparaIMG!F:F,,0)</f>
        <v>PCBP2.png</v>
      </c>
    </row>
    <row r="1886" spans="1:9" x14ac:dyDescent="0.25">
      <c r="A1886" s="2" t="s">
        <v>155</v>
      </c>
      <c r="B1886" t="s">
        <v>61</v>
      </c>
      <c r="C1886" t="s">
        <v>29</v>
      </c>
      <c r="D1886" t="s">
        <v>25</v>
      </c>
      <c r="E1886">
        <v>1</v>
      </c>
      <c r="F1886" t="s">
        <v>168</v>
      </c>
      <c r="G1886">
        <v>7.79</v>
      </c>
      <c r="H1886">
        <v>7.39</v>
      </c>
      <c r="I1886" s="2" t="str">
        <f>_xlfn.XLOOKUP(F1886,DeparaIMG!D:D,DeparaIMG!F:F,,0)</f>
        <v>PCBP2.png</v>
      </c>
    </row>
    <row r="1887" spans="1:9" x14ac:dyDescent="0.25">
      <c r="A1887" s="2" t="s">
        <v>155</v>
      </c>
      <c r="B1887" t="s">
        <v>61</v>
      </c>
      <c r="C1887" t="s">
        <v>30</v>
      </c>
      <c r="D1887" t="s">
        <v>25</v>
      </c>
      <c r="E1887">
        <v>1</v>
      </c>
      <c r="F1887" t="s">
        <v>168</v>
      </c>
      <c r="G1887">
        <v>8.7899999999999991</v>
      </c>
      <c r="H1887">
        <v>8.3899999999999988</v>
      </c>
      <c r="I1887" s="2" t="str">
        <f>_xlfn.XLOOKUP(F1887,DeparaIMG!D:D,DeparaIMG!F:F,,0)</f>
        <v>PCBP2.png</v>
      </c>
    </row>
    <row r="1888" spans="1:9" x14ac:dyDescent="0.25">
      <c r="A1888" s="2" t="s">
        <v>155</v>
      </c>
      <c r="B1888" t="s">
        <v>61</v>
      </c>
      <c r="C1888" t="s">
        <v>4</v>
      </c>
      <c r="D1888" t="s">
        <v>25</v>
      </c>
      <c r="E1888">
        <v>1</v>
      </c>
      <c r="F1888" t="s">
        <v>34</v>
      </c>
      <c r="G1888">
        <v>5.79</v>
      </c>
      <c r="H1888">
        <v>5.49</v>
      </c>
      <c r="I1888" s="2" t="str">
        <f>_xlfn.XLOOKUP(F1888,DeparaIMG!D:D,DeparaIMG!F:F,,0)</f>
        <v>BAREP2.png</v>
      </c>
    </row>
    <row r="1889" spans="1:9" x14ac:dyDescent="0.25">
      <c r="A1889" s="2" t="s">
        <v>155</v>
      </c>
      <c r="B1889" t="s">
        <v>61</v>
      </c>
      <c r="C1889" t="s">
        <v>173</v>
      </c>
      <c r="D1889" t="s">
        <v>25</v>
      </c>
      <c r="E1889">
        <v>1</v>
      </c>
      <c r="F1889" t="s">
        <v>35</v>
      </c>
      <c r="G1889">
        <v>5.29</v>
      </c>
      <c r="H1889">
        <v>4.99</v>
      </c>
      <c r="I1889" s="2" t="str">
        <f>_xlfn.XLOOKUP(F1889,DeparaIMG!D:D,DeparaIMG!F:F,,0)</f>
        <v>H2OHP500.png</v>
      </c>
    </row>
    <row r="1890" spans="1:9" x14ac:dyDescent="0.25">
      <c r="A1890" s="2" t="s">
        <v>155</v>
      </c>
      <c r="B1890" t="s">
        <v>61</v>
      </c>
      <c r="C1890" t="s">
        <v>28</v>
      </c>
      <c r="D1890" t="s">
        <v>25</v>
      </c>
      <c r="E1890">
        <v>1</v>
      </c>
      <c r="F1890" t="s">
        <v>35</v>
      </c>
      <c r="G1890">
        <v>5.29</v>
      </c>
      <c r="H1890">
        <v>4.99</v>
      </c>
      <c r="I1890" s="2" t="str">
        <f>_xlfn.XLOOKUP(F1890,DeparaIMG!D:D,DeparaIMG!F:F,,0)</f>
        <v>H2OHP500.png</v>
      </c>
    </row>
    <row r="1891" spans="1:9" x14ac:dyDescent="0.25">
      <c r="A1891" s="2" t="s">
        <v>155</v>
      </c>
      <c r="B1891" t="s">
        <v>61</v>
      </c>
      <c r="C1891" t="s">
        <v>29</v>
      </c>
      <c r="D1891" t="s">
        <v>25</v>
      </c>
      <c r="E1891">
        <v>1</v>
      </c>
      <c r="F1891" t="s">
        <v>35</v>
      </c>
      <c r="G1891">
        <v>5.29</v>
      </c>
      <c r="H1891">
        <v>4.99</v>
      </c>
      <c r="I1891" s="2" t="str">
        <f>_xlfn.XLOOKUP(F1891,DeparaIMG!D:D,DeparaIMG!F:F,,0)</f>
        <v>H2OHP500.png</v>
      </c>
    </row>
    <row r="1892" spans="1:9" x14ac:dyDescent="0.25">
      <c r="A1892" s="2" t="s">
        <v>155</v>
      </c>
      <c r="B1892" t="s">
        <v>61</v>
      </c>
      <c r="C1892" t="s">
        <v>30</v>
      </c>
      <c r="D1892" t="s">
        <v>25</v>
      </c>
      <c r="E1892">
        <v>1</v>
      </c>
      <c r="F1892" t="s">
        <v>35</v>
      </c>
      <c r="G1892">
        <v>5.29</v>
      </c>
      <c r="H1892">
        <v>4.99</v>
      </c>
      <c r="I1892" s="2" t="str">
        <f>_xlfn.XLOOKUP(F1892,DeparaIMG!D:D,DeparaIMG!F:F,,0)</f>
        <v>H2OHP500.png</v>
      </c>
    </row>
    <row r="1893" spans="1:9" x14ac:dyDescent="0.25">
      <c r="A1893" s="2" t="s">
        <v>155</v>
      </c>
      <c r="B1893" t="s">
        <v>61</v>
      </c>
      <c r="C1893" t="s">
        <v>4</v>
      </c>
      <c r="D1893" t="s">
        <v>25</v>
      </c>
      <c r="E1893">
        <v>1</v>
      </c>
      <c r="F1893" t="s">
        <v>42</v>
      </c>
      <c r="G1893">
        <v>7.79</v>
      </c>
      <c r="H1893">
        <v>7.29</v>
      </c>
      <c r="I1893" s="2" t="str">
        <f>_xlfn.XLOOKUP(F1893,DeparaIMG!D:D,DeparaIMG!F:F,,0)</f>
        <v>H2OHP1,5.png</v>
      </c>
    </row>
    <row r="1894" spans="1:9" x14ac:dyDescent="0.25">
      <c r="A1894" s="2" t="s">
        <v>155</v>
      </c>
      <c r="B1894" t="s">
        <v>61</v>
      </c>
      <c r="C1894" t="s">
        <v>173</v>
      </c>
      <c r="D1894" t="s">
        <v>25</v>
      </c>
      <c r="E1894">
        <v>1</v>
      </c>
      <c r="F1894" t="s">
        <v>42</v>
      </c>
      <c r="G1894">
        <v>8.49</v>
      </c>
      <c r="H1894">
        <v>7.99</v>
      </c>
      <c r="I1894" s="2" t="str">
        <f>_xlfn.XLOOKUP(F1894,DeparaIMG!D:D,DeparaIMG!F:F,,0)</f>
        <v>H2OHP1,5.png</v>
      </c>
    </row>
    <row r="1895" spans="1:9" x14ac:dyDescent="0.25">
      <c r="A1895" s="2" t="s">
        <v>155</v>
      </c>
      <c r="B1895" t="s">
        <v>61</v>
      </c>
      <c r="C1895" t="s">
        <v>28</v>
      </c>
      <c r="D1895" t="s">
        <v>25</v>
      </c>
      <c r="E1895">
        <v>1</v>
      </c>
      <c r="F1895" t="s">
        <v>42</v>
      </c>
      <c r="G1895">
        <v>7.79</v>
      </c>
      <c r="H1895">
        <v>7.29</v>
      </c>
      <c r="I1895" s="2" t="str">
        <f>_xlfn.XLOOKUP(F1895,DeparaIMG!D:D,DeparaIMG!F:F,,0)</f>
        <v>H2OHP1,5.png</v>
      </c>
    </row>
    <row r="1896" spans="1:9" x14ac:dyDescent="0.25">
      <c r="A1896" s="2" t="s">
        <v>155</v>
      </c>
      <c r="B1896" t="s">
        <v>61</v>
      </c>
      <c r="C1896" t="s">
        <v>29</v>
      </c>
      <c r="D1896" t="s">
        <v>25</v>
      </c>
      <c r="E1896">
        <v>1</v>
      </c>
      <c r="F1896" t="s">
        <v>42</v>
      </c>
      <c r="G1896">
        <v>7.79</v>
      </c>
      <c r="H1896">
        <v>7.29</v>
      </c>
      <c r="I1896" s="2" t="str">
        <f>_xlfn.XLOOKUP(F1896,DeparaIMG!D:D,DeparaIMG!F:F,,0)</f>
        <v>H2OHP1,5.png</v>
      </c>
    </row>
    <row r="1897" spans="1:9" x14ac:dyDescent="0.25">
      <c r="A1897" s="2" t="s">
        <v>155</v>
      </c>
      <c r="B1897" t="s">
        <v>61</v>
      </c>
      <c r="C1897" t="s">
        <v>30</v>
      </c>
      <c r="D1897" t="s">
        <v>25</v>
      </c>
      <c r="E1897">
        <v>1</v>
      </c>
      <c r="F1897" t="s">
        <v>42</v>
      </c>
      <c r="G1897">
        <v>8.49</v>
      </c>
      <c r="H1897">
        <v>7.99</v>
      </c>
      <c r="I1897" s="2" t="str">
        <f>_xlfn.XLOOKUP(F1897,DeparaIMG!D:D,DeparaIMG!F:F,,0)</f>
        <v>H2OHP1,5.png</v>
      </c>
    </row>
    <row r="1898" spans="1:9" x14ac:dyDescent="0.25">
      <c r="A1898" s="2" t="s">
        <v>155</v>
      </c>
      <c r="B1898" t="s">
        <v>61</v>
      </c>
      <c r="C1898" t="s">
        <v>4</v>
      </c>
      <c r="D1898" t="s">
        <v>26</v>
      </c>
      <c r="E1898">
        <v>1</v>
      </c>
      <c r="F1898" t="s">
        <v>37</v>
      </c>
      <c r="G1898">
        <v>8.99</v>
      </c>
      <c r="H1898">
        <v>8.2900000000000009</v>
      </c>
      <c r="I1898" s="2" t="str">
        <f>_xlfn.XLOOKUP(F1898,DeparaIMG!D:D,DeparaIMG!F:F,,0)</f>
        <v>GCAP2.png</v>
      </c>
    </row>
    <row r="1899" spans="1:9" x14ac:dyDescent="0.25">
      <c r="A1899" s="2" t="s">
        <v>155</v>
      </c>
      <c r="B1899" t="s">
        <v>61</v>
      </c>
      <c r="C1899" t="s">
        <v>173</v>
      </c>
      <c r="D1899" t="s">
        <v>26</v>
      </c>
      <c r="E1899">
        <v>1</v>
      </c>
      <c r="F1899" t="s">
        <v>37</v>
      </c>
      <c r="G1899">
        <v>9.49</v>
      </c>
      <c r="H1899">
        <v>8.7900000000000009</v>
      </c>
      <c r="I1899" s="2" t="str">
        <f>_xlfn.XLOOKUP(F1899,DeparaIMG!D:D,DeparaIMG!F:F,,0)</f>
        <v>GCAP2.png</v>
      </c>
    </row>
    <row r="1900" spans="1:9" x14ac:dyDescent="0.25">
      <c r="A1900" s="2" t="s">
        <v>155</v>
      </c>
      <c r="B1900" t="s">
        <v>61</v>
      </c>
      <c r="C1900" t="s">
        <v>28</v>
      </c>
      <c r="D1900" t="s">
        <v>26</v>
      </c>
      <c r="E1900">
        <v>1</v>
      </c>
      <c r="F1900" t="s">
        <v>37</v>
      </c>
      <c r="G1900">
        <v>8.49</v>
      </c>
      <c r="H1900">
        <v>7.79</v>
      </c>
      <c r="I1900" s="2" t="str">
        <f>_xlfn.XLOOKUP(F1900,DeparaIMG!D:D,DeparaIMG!F:F,,0)</f>
        <v>GCAP2.png</v>
      </c>
    </row>
    <row r="1901" spans="1:9" x14ac:dyDescent="0.25">
      <c r="A1901" s="2" t="s">
        <v>155</v>
      </c>
      <c r="B1901" t="s">
        <v>61</v>
      </c>
      <c r="C1901" t="s">
        <v>29</v>
      </c>
      <c r="D1901" t="s">
        <v>26</v>
      </c>
      <c r="E1901">
        <v>1</v>
      </c>
      <c r="F1901" t="s">
        <v>37</v>
      </c>
      <c r="G1901">
        <v>8.49</v>
      </c>
      <c r="H1901">
        <v>7.79</v>
      </c>
      <c r="I1901" s="2" t="str">
        <f>_xlfn.XLOOKUP(F1901,DeparaIMG!D:D,DeparaIMG!F:F,,0)</f>
        <v>GCAP2.png</v>
      </c>
    </row>
    <row r="1902" spans="1:9" x14ac:dyDescent="0.25">
      <c r="A1902" s="2" t="s">
        <v>155</v>
      </c>
      <c r="B1902" t="s">
        <v>61</v>
      </c>
      <c r="C1902" t="s">
        <v>30</v>
      </c>
      <c r="D1902" t="s">
        <v>26</v>
      </c>
      <c r="E1902">
        <v>1</v>
      </c>
      <c r="F1902" t="s">
        <v>37</v>
      </c>
      <c r="G1902">
        <v>9.49</v>
      </c>
      <c r="H1902">
        <v>8.7900000000000009</v>
      </c>
      <c r="I1902" s="2" t="str">
        <f>_xlfn.XLOOKUP(F1902,DeparaIMG!D:D,DeparaIMG!F:F,,0)</f>
        <v>GCAP2.png</v>
      </c>
    </row>
    <row r="1903" spans="1:9" x14ac:dyDescent="0.25">
      <c r="A1903" s="2" t="s">
        <v>155</v>
      </c>
      <c r="B1903" t="s">
        <v>61</v>
      </c>
      <c r="C1903" t="s">
        <v>4</v>
      </c>
      <c r="D1903" t="s">
        <v>26</v>
      </c>
      <c r="E1903">
        <v>1</v>
      </c>
      <c r="F1903" t="s">
        <v>169</v>
      </c>
      <c r="G1903">
        <v>8.99</v>
      </c>
      <c r="H1903">
        <v>8.2900000000000009</v>
      </c>
      <c r="I1903" s="2" t="str">
        <f>_xlfn.XLOOKUP(F1903,DeparaIMG!D:D,DeparaIMG!F:F,,0)</f>
        <v>GCADP2.png</v>
      </c>
    </row>
    <row r="1904" spans="1:9" x14ac:dyDescent="0.25">
      <c r="A1904" s="2" t="s">
        <v>155</v>
      </c>
      <c r="B1904" t="s">
        <v>61</v>
      </c>
      <c r="C1904" t="s">
        <v>173</v>
      </c>
      <c r="D1904" t="s">
        <v>26</v>
      </c>
      <c r="E1904">
        <v>1</v>
      </c>
      <c r="F1904" t="s">
        <v>169</v>
      </c>
      <c r="G1904">
        <v>9.49</v>
      </c>
      <c r="H1904">
        <v>8.7900000000000009</v>
      </c>
      <c r="I1904" s="2" t="str">
        <f>_xlfn.XLOOKUP(F1904,DeparaIMG!D:D,DeparaIMG!F:F,,0)</f>
        <v>GCADP2.png</v>
      </c>
    </row>
    <row r="1905" spans="1:9" x14ac:dyDescent="0.25">
      <c r="A1905" s="2" t="s">
        <v>155</v>
      </c>
      <c r="B1905" t="s">
        <v>61</v>
      </c>
      <c r="C1905" t="s">
        <v>28</v>
      </c>
      <c r="D1905" t="s">
        <v>26</v>
      </c>
      <c r="E1905">
        <v>1</v>
      </c>
      <c r="F1905" t="s">
        <v>169</v>
      </c>
      <c r="G1905">
        <v>8.49</v>
      </c>
      <c r="H1905">
        <v>7.79</v>
      </c>
      <c r="I1905" s="2" t="str">
        <f>_xlfn.XLOOKUP(F1905,DeparaIMG!D:D,DeparaIMG!F:F,,0)</f>
        <v>GCADP2.png</v>
      </c>
    </row>
    <row r="1906" spans="1:9" x14ac:dyDescent="0.25">
      <c r="A1906" s="2" t="s">
        <v>155</v>
      </c>
      <c r="B1906" t="s">
        <v>61</v>
      </c>
      <c r="C1906" t="s">
        <v>29</v>
      </c>
      <c r="D1906" t="s">
        <v>26</v>
      </c>
      <c r="E1906">
        <v>1</v>
      </c>
      <c r="F1906" t="s">
        <v>169</v>
      </c>
      <c r="G1906">
        <v>8.49</v>
      </c>
      <c r="H1906">
        <v>7.79</v>
      </c>
      <c r="I1906" s="2" t="str">
        <f>_xlfn.XLOOKUP(F1906,DeparaIMG!D:D,DeparaIMG!F:F,,0)</f>
        <v>GCADP2.png</v>
      </c>
    </row>
    <row r="1907" spans="1:9" x14ac:dyDescent="0.25">
      <c r="A1907" s="2" t="s">
        <v>155</v>
      </c>
      <c r="B1907" t="s">
        <v>61</v>
      </c>
      <c r="C1907" t="s">
        <v>30</v>
      </c>
      <c r="D1907" t="s">
        <v>26</v>
      </c>
      <c r="E1907">
        <v>1</v>
      </c>
      <c r="F1907" t="s">
        <v>169</v>
      </c>
      <c r="G1907">
        <v>9.49</v>
      </c>
      <c r="H1907">
        <v>8.7900000000000009</v>
      </c>
      <c r="I1907" s="2" t="str">
        <f>_xlfn.XLOOKUP(F1907,DeparaIMG!D:D,DeparaIMG!F:F,,0)</f>
        <v>GCADP2.png</v>
      </c>
    </row>
    <row r="1908" spans="1:9" x14ac:dyDescent="0.25">
      <c r="A1908" s="2" t="s">
        <v>155</v>
      </c>
      <c r="B1908" t="s">
        <v>61</v>
      </c>
      <c r="C1908" t="s">
        <v>4</v>
      </c>
      <c r="D1908" t="s">
        <v>26</v>
      </c>
      <c r="E1908">
        <v>1</v>
      </c>
      <c r="F1908" t="s">
        <v>38</v>
      </c>
      <c r="G1908">
        <v>3.49</v>
      </c>
      <c r="H1908">
        <v>3.1900000000000004</v>
      </c>
      <c r="I1908" s="2" t="str">
        <f>_xlfn.XLOOKUP(F1908,DeparaIMG!D:D,DeparaIMG!F:F,,0)</f>
        <v>GCA350.png</v>
      </c>
    </row>
    <row r="1909" spans="1:9" x14ac:dyDescent="0.25">
      <c r="A1909" s="2" t="s">
        <v>155</v>
      </c>
      <c r="B1909" t="s">
        <v>61</v>
      </c>
      <c r="C1909" t="s">
        <v>173</v>
      </c>
      <c r="D1909" t="s">
        <v>26</v>
      </c>
      <c r="E1909">
        <v>1</v>
      </c>
      <c r="F1909" t="s">
        <v>38</v>
      </c>
      <c r="G1909">
        <v>3.49</v>
      </c>
      <c r="H1909">
        <v>3.1900000000000004</v>
      </c>
      <c r="I1909" s="2" t="str">
        <f>_xlfn.XLOOKUP(F1909,DeparaIMG!D:D,DeparaIMG!F:F,,0)</f>
        <v>GCA350.png</v>
      </c>
    </row>
    <row r="1910" spans="1:9" x14ac:dyDescent="0.25">
      <c r="A1910" s="2" t="s">
        <v>155</v>
      </c>
      <c r="B1910" t="s">
        <v>61</v>
      </c>
      <c r="C1910" t="s">
        <v>28</v>
      </c>
      <c r="D1910" t="s">
        <v>26</v>
      </c>
      <c r="E1910">
        <v>1</v>
      </c>
      <c r="F1910" t="s">
        <v>38</v>
      </c>
      <c r="G1910">
        <v>3.49</v>
      </c>
      <c r="H1910">
        <v>3.1900000000000004</v>
      </c>
      <c r="I1910" s="2" t="str">
        <f>_xlfn.XLOOKUP(F1910,DeparaIMG!D:D,DeparaIMG!F:F,,0)</f>
        <v>GCA350.png</v>
      </c>
    </row>
    <row r="1911" spans="1:9" x14ac:dyDescent="0.25">
      <c r="A1911" s="2" t="s">
        <v>155</v>
      </c>
      <c r="B1911" t="s">
        <v>61</v>
      </c>
      <c r="C1911" t="s">
        <v>29</v>
      </c>
      <c r="D1911" t="s">
        <v>26</v>
      </c>
      <c r="E1911">
        <v>1</v>
      </c>
      <c r="F1911" t="s">
        <v>38</v>
      </c>
      <c r="G1911">
        <v>3.49</v>
      </c>
      <c r="H1911">
        <v>3.1900000000000004</v>
      </c>
      <c r="I1911" s="2" t="str">
        <f>_xlfn.XLOOKUP(F1911,DeparaIMG!D:D,DeparaIMG!F:F,,0)</f>
        <v>GCA350.png</v>
      </c>
    </row>
    <row r="1912" spans="1:9" x14ac:dyDescent="0.25">
      <c r="A1912" s="2" t="s">
        <v>155</v>
      </c>
      <c r="B1912" t="s">
        <v>61</v>
      </c>
      <c r="C1912" t="s">
        <v>30</v>
      </c>
      <c r="D1912" t="s">
        <v>26</v>
      </c>
      <c r="E1912">
        <v>1</v>
      </c>
      <c r="F1912" t="s">
        <v>38</v>
      </c>
      <c r="G1912">
        <v>3.49</v>
      </c>
      <c r="H1912">
        <v>3.1900000000000004</v>
      </c>
      <c r="I1912" s="2" t="str">
        <f>_xlfn.XLOOKUP(F1912,DeparaIMG!D:D,DeparaIMG!F:F,,0)</f>
        <v>GCA350.png</v>
      </c>
    </row>
    <row r="1913" spans="1:9" x14ac:dyDescent="0.25">
      <c r="A1913" s="2" t="s">
        <v>155</v>
      </c>
      <c r="B1913" t="s">
        <v>61</v>
      </c>
      <c r="C1913" t="s">
        <v>4</v>
      </c>
      <c r="D1913" t="s">
        <v>26</v>
      </c>
      <c r="E1913">
        <v>1</v>
      </c>
      <c r="F1913" t="s">
        <v>170</v>
      </c>
      <c r="G1913">
        <v>3.49</v>
      </c>
      <c r="H1913">
        <v>3.1900000000000004</v>
      </c>
      <c r="I1913" s="2" t="str">
        <f>_xlfn.XLOOKUP(F1913,DeparaIMG!D:D,DeparaIMG!F:F,,0)</f>
        <v>GCAD350.png</v>
      </c>
    </row>
    <row r="1914" spans="1:9" x14ac:dyDescent="0.25">
      <c r="A1914" s="2" t="s">
        <v>155</v>
      </c>
      <c r="B1914" t="s">
        <v>61</v>
      </c>
      <c r="C1914" t="s">
        <v>173</v>
      </c>
      <c r="D1914" t="s">
        <v>26</v>
      </c>
      <c r="E1914">
        <v>1</v>
      </c>
      <c r="F1914" t="s">
        <v>170</v>
      </c>
      <c r="G1914">
        <v>3.49</v>
      </c>
      <c r="H1914">
        <v>3.1900000000000004</v>
      </c>
      <c r="I1914" s="2" t="str">
        <f>_xlfn.XLOOKUP(F1914,DeparaIMG!D:D,DeparaIMG!F:F,,0)</f>
        <v>GCAD350.png</v>
      </c>
    </row>
    <row r="1915" spans="1:9" x14ac:dyDescent="0.25">
      <c r="A1915" s="2" t="s">
        <v>155</v>
      </c>
      <c r="B1915" t="s">
        <v>61</v>
      </c>
      <c r="C1915" t="s">
        <v>28</v>
      </c>
      <c r="D1915" t="s">
        <v>26</v>
      </c>
      <c r="E1915">
        <v>1</v>
      </c>
      <c r="F1915" t="s">
        <v>170</v>
      </c>
      <c r="G1915">
        <v>3.49</v>
      </c>
      <c r="H1915">
        <v>3.1900000000000004</v>
      </c>
      <c r="I1915" s="2" t="str">
        <f>_xlfn.XLOOKUP(F1915,DeparaIMG!D:D,DeparaIMG!F:F,,0)</f>
        <v>GCAD350.png</v>
      </c>
    </row>
    <row r="1916" spans="1:9" x14ac:dyDescent="0.25">
      <c r="A1916" s="2" t="s">
        <v>155</v>
      </c>
      <c r="B1916" t="s">
        <v>61</v>
      </c>
      <c r="C1916" t="s">
        <v>29</v>
      </c>
      <c r="D1916" t="s">
        <v>26</v>
      </c>
      <c r="E1916">
        <v>1</v>
      </c>
      <c r="F1916" t="s">
        <v>170</v>
      </c>
      <c r="G1916">
        <v>3.49</v>
      </c>
      <c r="H1916">
        <v>3.1900000000000004</v>
      </c>
      <c r="I1916" s="2" t="str">
        <f>_xlfn.XLOOKUP(F1916,DeparaIMG!D:D,DeparaIMG!F:F,,0)</f>
        <v>GCAD350.png</v>
      </c>
    </row>
    <row r="1917" spans="1:9" x14ac:dyDescent="0.25">
      <c r="A1917" s="2" t="s">
        <v>155</v>
      </c>
      <c r="B1917" t="s">
        <v>61</v>
      </c>
      <c r="C1917" t="s">
        <v>30</v>
      </c>
      <c r="D1917" t="s">
        <v>26</v>
      </c>
      <c r="E1917">
        <v>1</v>
      </c>
      <c r="F1917" t="s">
        <v>170</v>
      </c>
      <c r="G1917">
        <v>3.49</v>
      </c>
      <c r="H1917">
        <v>3.1900000000000004</v>
      </c>
      <c r="I1917" s="2" t="str">
        <f>_xlfn.XLOOKUP(F1917,DeparaIMG!D:D,DeparaIMG!F:F,,0)</f>
        <v>GCAD350.png</v>
      </c>
    </row>
    <row r="1918" spans="1:9" x14ac:dyDescent="0.25">
      <c r="A1918" s="2" t="s">
        <v>155</v>
      </c>
      <c r="B1918" t="s">
        <v>61</v>
      </c>
      <c r="C1918" t="s">
        <v>4</v>
      </c>
      <c r="D1918" t="s">
        <v>26</v>
      </c>
      <c r="E1918">
        <v>1</v>
      </c>
      <c r="F1918" t="s">
        <v>34</v>
      </c>
      <c r="G1918">
        <v>5.99</v>
      </c>
      <c r="H1918">
        <v>5.49</v>
      </c>
      <c r="I1918" s="2" t="str">
        <f>_xlfn.XLOOKUP(F1918,DeparaIMG!D:D,DeparaIMG!F:F,,0)</f>
        <v>BAREP2.png</v>
      </c>
    </row>
    <row r="1919" spans="1:9" x14ac:dyDescent="0.25">
      <c r="A1919" s="2" t="s">
        <v>155</v>
      </c>
      <c r="B1919" t="s">
        <v>61</v>
      </c>
      <c r="C1919" t="s">
        <v>173</v>
      </c>
      <c r="D1919" t="s">
        <v>26</v>
      </c>
      <c r="E1919">
        <v>1</v>
      </c>
      <c r="F1919" t="s">
        <v>35</v>
      </c>
      <c r="G1919">
        <v>5.49</v>
      </c>
      <c r="H1919">
        <v>5.19</v>
      </c>
      <c r="I1919" s="2" t="str">
        <f>_xlfn.XLOOKUP(F1919,DeparaIMG!D:D,DeparaIMG!F:F,,0)</f>
        <v>H2OHP500.png</v>
      </c>
    </row>
    <row r="1920" spans="1:9" x14ac:dyDescent="0.25">
      <c r="A1920" s="2" t="s">
        <v>155</v>
      </c>
      <c r="B1920" t="s">
        <v>61</v>
      </c>
      <c r="C1920" t="s">
        <v>28</v>
      </c>
      <c r="D1920" t="s">
        <v>26</v>
      </c>
      <c r="E1920">
        <v>1</v>
      </c>
      <c r="F1920" t="s">
        <v>35</v>
      </c>
      <c r="G1920">
        <v>5.49</v>
      </c>
      <c r="H1920">
        <v>5.19</v>
      </c>
      <c r="I1920" s="2" t="str">
        <f>_xlfn.XLOOKUP(F1920,DeparaIMG!D:D,DeparaIMG!F:F,,0)</f>
        <v>H2OHP500.png</v>
      </c>
    </row>
    <row r="1921" spans="1:9" x14ac:dyDescent="0.25">
      <c r="A1921" s="2" t="s">
        <v>155</v>
      </c>
      <c r="B1921" t="s">
        <v>61</v>
      </c>
      <c r="C1921" t="s">
        <v>29</v>
      </c>
      <c r="D1921" t="s">
        <v>26</v>
      </c>
      <c r="E1921">
        <v>1</v>
      </c>
      <c r="F1921" t="s">
        <v>35</v>
      </c>
      <c r="G1921">
        <v>5.49</v>
      </c>
      <c r="H1921">
        <v>5.19</v>
      </c>
      <c r="I1921" s="2" t="str">
        <f>_xlfn.XLOOKUP(F1921,DeparaIMG!D:D,DeparaIMG!F:F,,0)</f>
        <v>H2OHP500.png</v>
      </c>
    </row>
    <row r="1922" spans="1:9" x14ac:dyDescent="0.25">
      <c r="A1922" s="2" t="s">
        <v>155</v>
      </c>
      <c r="B1922" t="s">
        <v>61</v>
      </c>
      <c r="C1922" t="s">
        <v>30</v>
      </c>
      <c r="D1922" t="s">
        <v>26</v>
      </c>
      <c r="E1922">
        <v>1</v>
      </c>
      <c r="F1922" t="s">
        <v>35</v>
      </c>
      <c r="G1922">
        <v>5.49</v>
      </c>
      <c r="H1922">
        <v>5.19</v>
      </c>
      <c r="I1922" s="2" t="str">
        <f>_xlfn.XLOOKUP(F1922,DeparaIMG!D:D,DeparaIMG!F:F,,0)</f>
        <v>H2OHP500.png</v>
      </c>
    </row>
    <row r="1923" spans="1:9" x14ac:dyDescent="0.25">
      <c r="A1923" s="2" t="s">
        <v>155</v>
      </c>
      <c r="B1923" t="s">
        <v>61</v>
      </c>
      <c r="C1923" t="s">
        <v>4</v>
      </c>
      <c r="D1923" t="s">
        <v>26</v>
      </c>
      <c r="E1923">
        <v>1</v>
      </c>
      <c r="F1923" t="s">
        <v>39</v>
      </c>
      <c r="G1923">
        <v>3.39</v>
      </c>
      <c r="H1923">
        <v>2.99</v>
      </c>
      <c r="I1923" s="2" t="str">
        <f>_xlfn.XLOOKUP(F1923,DeparaIMG!D:D,DeparaIMG!F:F,,0)</f>
        <v>PCB350.png</v>
      </c>
    </row>
    <row r="1924" spans="1:9" x14ac:dyDescent="0.25">
      <c r="A1924" s="2" t="s">
        <v>155</v>
      </c>
      <c r="B1924" t="s">
        <v>61</v>
      </c>
      <c r="C1924" t="s">
        <v>173</v>
      </c>
      <c r="D1924" t="s">
        <v>26</v>
      </c>
      <c r="E1924">
        <v>1</v>
      </c>
      <c r="F1924" t="s">
        <v>39</v>
      </c>
      <c r="G1924">
        <v>3.39</v>
      </c>
      <c r="H1924">
        <v>2.99</v>
      </c>
      <c r="I1924" s="2" t="str">
        <f>_xlfn.XLOOKUP(F1924,DeparaIMG!D:D,DeparaIMG!F:F,,0)</f>
        <v>PCB350.png</v>
      </c>
    </row>
    <row r="1925" spans="1:9" x14ac:dyDescent="0.25">
      <c r="A1925" s="2" t="s">
        <v>155</v>
      </c>
      <c r="B1925" t="s">
        <v>61</v>
      </c>
      <c r="C1925" t="s">
        <v>28</v>
      </c>
      <c r="D1925" t="s">
        <v>26</v>
      </c>
      <c r="E1925">
        <v>1</v>
      </c>
      <c r="F1925" t="s">
        <v>39</v>
      </c>
      <c r="G1925">
        <v>3.39</v>
      </c>
      <c r="H1925">
        <v>2.99</v>
      </c>
      <c r="I1925" s="2" t="str">
        <f>_xlfn.XLOOKUP(F1925,DeparaIMG!D:D,DeparaIMG!F:F,,0)</f>
        <v>PCB350.png</v>
      </c>
    </row>
    <row r="1926" spans="1:9" x14ac:dyDescent="0.25">
      <c r="A1926" s="2" t="s">
        <v>155</v>
      </c>
      <c r="B1926" t="s">
        <v>61</v>
      </c>
      <c r="C1926" t="s">
        <v>29</v>
      </c>
      <c r="D1926" t="s">
        <v>26</v>
      </c>
      <c r="E1926">
        <v>1</v>
      </c>
      <c r="F1926" t="s">
        <v>39</v>
      </c>
      <c r="G1926">
        <v>3.39</v>
      </c>
      <c r="H1926">
        <v>2.99</v>
      </c>
      <c r="I1926" s="2" t="str">
        <f>_xlfn.XLOOKUP(F1926,DeparaIMG!D:D,DeparaIMG!F:F,,0)</f>
        <v>PCB350.png</v>
      </c>
    </row>
    <row r="1927" spans="1:9" x14ac:dyDescent="0.25">
      <c r="A1927" s="2" t="s">
        <v>155</v>
      </c>
      <c r="B1927" t="s">
        <v>61</v>
      </c>
      <c r="C1927" t="s">
        <v>30</v>
      </c>
      <c r="D1927" t="s">
        <v>26</v>
      </c>
      <c r="E1927">
        <v>1</v>
      </c>
      <c r="F1927" t="s">
        <v>39</v>
      </c>
      <c r="G1927">
        <v>3.39</v>
      </c>
      <c r="H1927">
        <v>2.99</v>
      </c>
      <c r="I1927" s="2" t="str">
        <f>_xlfn.XLOOKUP(F1927,DeparaIMG!D:D,DeparaIMG!F:F,,0)</f>
        <v>PCB350.png</v>
      </c>
    </row>
    <row r="1928" spans="1:9" x14ac:dyDescent="0.25">
      <c r="A1928" s="2" t="s">
        <v>155</v>
      </c>
      <c r="B1928" t="s">
        <v>61</v>
      </c>
      <c r="C1928" t="s">
        <v>4</v>
      </c>
      <c r="D1928" t="s">
        <v>26</v>
      </c>
      <c r="E1928">
        <v>1</v>
      </c>
      <c r="F1928" t="s">
        <v>156</v>
      </c>
      <c r="G1928">
        <v>3.39</v>
      </c>
      <c r="H1928">
        <v>2.99</v>
      </c>
      <c r="I1928" s="2" t="str">
        <f>_xlfn.XLOOKUP(F1928,DeparaIMG!D:D,DeparaIMG!F:F,,0)</f>
        <v>PC350.png</v>
      </c>
    </row>
    <row r="1929" spans="1:9" x14ac:dyDescent="0.25">
      <c r="A1929" s="2" t="s">
        <v>155</v>
      </c>
      <c r="B1929" t="s">
        <v>61</v>
      </c>
      <c r="C1929" t="s">
        <v>4</v>
      </c>
      <c r="D1929" t="s">
        <v>25</v>
      </c>
      <c r="E1929">
        <v>2</v>
      </c>
      <c r="F1929" t="s">
        <v>37</v>
      </c>
      <c r="G1929">
        <v>8.7899999999999991</v>
      </c>
      <c r="H1929">
        <v>8.09</v>
      </c>
      <c r="I1929" s="2" t="str">
        <f>_xlfn.XLOOKUP(F1929,DeparaIMG!D:D,DeparaIMG!F:F,,0)</f>
        <v>GCAP2.png</v>
      </c>
    </row>
    <row r="1930" spans="1:9" x14ac:dyDescent="0.25">
      <c r="A1930" s="2" t="s">
        <v>155</v>
      </c>
      <c r="B1930" t="s">
        <v>61</v>
      </c>
      <c r="C1930" t="s">
        <v>173</v>
      </c>
      <c r="D1930" t="s">
        <v>25</v>
      </c>
      <c r="E1930">
        <v>2</v>
      </c>
      <c r="F1930" t="s">
        <v>37</v>
      </c>
      <c r="G1930">
        <v>9.2899999999999991</v>
      </c>
      <c r="H1930">
        <v>8.59</v>
      </c>
      <c r="I1930" s="2" t="str">
        <f>_xlfn.XLOOKUP(F1930,DeparaIMG!D:D,DeparaIMG!F:F,,0)</f>
        <v>GCAP2.png</v>
      </c>
    </row>
    <row r="1931" spans="1:9" x14ac:dyDescent="0.25">
      <c r="A1931" s="2" t="s">
        <v>155</v>
      </c>
      <c r="B1931" t="s">
        <v>61</v>
      </c>
      <c r="C1931" t="s">
        <v>28</v>
      </c>
      <c r="D1931" t="s">
        <v>25</v>
      </c>
      <c r="E1931">
        <v>2</v>
      </c>
      <c r="F1931" t="s">
        <v>37</v>
      </c>
      <c r="G1931">
        <v>8.2899999999999991</v>
      </c>
      <c r="H1931">
        <v>7.589999999999999</v>
      </c>
      <c r="I1931" s="2" t="str">
        <f>_xlfn.XLOOKUP(F1931,DeparaIMG!D:D,DeparaIMG!F:F,,0)</f>
        <v>GCAP2.png</v>
      </c>
    </row>
    <row r="1932" spans="1:9" x14ac:dyDescent="0.25">
      <c r="A1932" s="2" t="s">
        <v>155</v>
      </c>
      <c r="B1932" t="s">
        <v>61</v>
      </c>
      <c r="C1932" t="s">
        <v>29</v>
      </c>
      <c r="D1932" t="s">
        <v>25</v>
      </c>
      <c r="E1932">
        <v>2</v>
      </c>
      <c r="F1932" t="s">
        <v>37</v>
      </c>
      <c r="G1932">
        <v>8.2899999999999991</v>
      </c>
      <c r="H1932">
        <v>7.589999999999999</v>
      </c>
      <c r="I1932" s="2" t="str">
        <f>_xlfn.XLOOKUP(F1932,DeparaIMG!D:D,DeparaIMG!F:F,,0)</f>
        <v>GCAP2.png</v>
      </c>
    </row>
    <row r="1933" spans="1:9" x14ac:dyDescent="0.25">
      <c r="A1933" s="2" t="s">
        <v>155</v>
      </c>
      <c r="B1933" t="s">
        <v>61</v>
      </c>
      <c r="C1933" t="s">
        <v>30</v>
      </c>
      <c r="D1933" t="s">
        <v>25</v>
      </c>
      <c r="E1933">
        <v>2</v>
      </c>
      <c r="F1933" t="s">
        <v>37</v>
      </c>
      <c r="G1933">
        <v>9.2899999999999991</v>
      </c>
      <c r="H1933">
        <v>8.59</v>
      </c>
      <c r="I1933" s="2" t="str">
        <f>_xlfn.XLOOKUP(F1933,DeparaIMG!D:D,DeparaIMG!F:F,,0)</f>
        <v>GCAP2.png</v>
      </c>
    </row>
    <row r="1934" spans="1:9" x14ac:dyDescent="0.25">
      <c r="A1934" s="2" t="s">
        <v>155</v>
      </c>
      <c r="B1934" t="s">
        <v>61</v>
      </c>
      <c r="C1934" t="s">
        <v>4</v>
      </c>
      <c r="D1934" t="s">
        <v>25</v>
      </c>
      <c r="E1934">
        <v>2</v>
      </c>
      <c r="F1934" t="s">
        <v>169</v>
      </c>
      <c r="G1934">
        <v>8.7899999999999991</v>
      </c>
      <c r="H1934">
        <v>8.09</v>
      </c>
      <c r="I1934" s="2" t="str">
        <f>_xlfn.XLOOKUP(F1934,DeparaIMG!D:D,DeparaIMG!F:F,,0)</f>
        <v>GCADP2.png</v>
      </c>
    </row>
    <row r="1935" spans="1:9" x14ac:dyDescent="0.25">
      <c r="A1935" s="2" t="s">
        <v>155</v>
      </c>
      <c r="B1935" t="s">
        <v>61</v>
      </c>
      <c r="C1935" t="s">
        <v>173</v>
      </c>
      <c r="D1935" t="s">
        <v>25</v>
      </c>
      <c r="E1935">
        <v>2</v>
      </c>
      <c r="F1935" t="s">
        <v>169</v>
      </c>
      <c r="G1935">
        <v>9.2899999999999991</v>
      </c>
      <c r="H1935">
        <v>8.59</v>
      </c>
      <c r="I1935" s="2" t="str">
        <f>_xlfn.XLOOKUP(F1935,DeparaIMG!D:D,DeparaIMG!F:F,,0)</f>
        <v>GCADP2.png</v>
      </c>
    </row>
    <row r="1936" spans="1:9" x14ac:dyDescent="0.25">
      <c r="A1936" s="2" t="s">
        <v>155</v>
      </c>
      <c r="B1936" t="s">
        <v>61</v>
      </c>
      <c r="C1936" t="s">
        <v>28</v>
      </c>
      <c r="D1936" t="s">
        <v>25</v>
      </c>
      <c r="E1936">
        <v>2</v>
      </c>
      <c r="F1936" t="s">
        <v>169</v>
      </c>
      <c r="G1936">
        <v>8.2899999999999991</v>
      </c>
      <c r="H1936">
        <v>7.589999999999999</v>
      </c>
      <c r="I1936" s="2" t="str">
        <f>_xlfn.XLOOKUP(F1936,DeparaIMG!D:D,DeparaIMG!F:F,,0)</f>
        <v>GCADP2.png</v>
      </c>
    </row>
    <row r="1937" spans="1:9" x14ac:dyDescent="0.25">
      <c r="A1937" s="2" t="s">
        <v>155</v>
      </c>
      <c r="B1937" t="s">
        <v>61</v>
      </c>
      <c r="C1937" t="s">
        <v>29</v>
      </c>
      <c r="D1937" t="s">
        <v>25</v>
      </c>
      <c r="E1937">
        <v>2</v>
      </c>
      <c r="F1937" t="s">
        <v>169</v>
      </c>
      <c r="G1937">
        <v>8.2899999999999991</v>
      </c>
      <c r="H1937">
        <v>7.589999999999999</v>
      </c>
      <c r="I1937" s="2" t="str">
        <f>_xlfn.XLOOKUP(F1937,DeparaIMG!D:D,DeparaIMG!F:F,,0)</f>
        <v>GCADP2.png</v>
      </c>
    </row>
    <row r="1938" spans="1:9" x14ac:dyDescent="0.25">
      <c r="A1938" s="2" t="s">
        <v>155</v>
      </c>
      <c r="B1938" t="s">
        <v>61</v>
      </c>
      <c r="C1938" t="s">
        <v>30</v>
      </c>
      <c r="D1938" t="s">
        <v>25</v>
      </c>
      <c r="E1938">
        <v>2</v>
      </c>
      <c r="F1938" t="s">
        <v>169</v>
      </c>
      <c r="G1938">
        <v>9.2899999999999991</v>
      </c>
      <c r="H1938">
        <v>8.59</v>
      </c>
      <c r="I1938" s="2" t="str">
        <f>_xlfn.XLOOKUP(F1938,DeparaIMG!D:D,DeparaIMG!F:F,,0)</f>
        <v>GCADP2.png</v>
      </c>
    </row>
    <row r="1939" spans="1:9" x14ac:dyDescent="0.25">
      <c r="A1939" s="2" t="s">
        <v>155</v>
      </c>
      <c r="B1939" t="s">
        <v>61</v>
      </c>
      <c r="C1939" t="s">
        <v>4</v>
      </c>
      <c r="D1939" t="s">
        <v>25</v>
      </c>
      <c r="E1939">
        <v>2</v>
      </c>
      <c r="F1939" t="s">
        <v>40</v>
      </c>
      <c r="G1939">
        <v>2.4900000000000002</v>
      </c>
      <c r="H1939">
        <v>2.29</v>
      </c>
      <c r="I1939" s="2" t="str">
        <f>_xlfn.XLOOKUP(F1939,DeparaIMG!D:D,DeparaIMG!F:F,,0)</f>
        <v>GCA269.png</v>
      </c>
    </row>
    <row r="1940" spans="1:9" x14ac:dyDescent="0.25">
      <c r="A1940" s="2" t="s">
        <v>155</v>
      </c>
      <c r="B1940" t="s">
        <v>61</v>
      </c>
      <c r="C1940" t="s">
        <v>173</v>
      </c>
      <c r="D1940" t="s">
        <v>25</v>
      </c>
      <c r="E1940">
        <v>2</v>
      </c>
      <c r="F1940" t="s">
        <v>40</v>
      </c>
      <c r="G1940">
        <v>2.4900000000000002</v>
      </c>
      <c r="H1940">
        <v>2.29</v>
      </c>
      <c r="I1940" s="2" t="str">
        <f>_xlfn.XLOOKUP(F1940,DeparaIMG!D:D,DeparaIMG!F:F,,0)</f>
        <v>GCA269.png</v>
      </c>
    </row>
    <row r="1941" spans="1:9" x14ac:dyDescent="0.25">
      <c r="A1941" s="2" t="s">
        <v>155</v>
      </c>
      <c r="B1941" t="s">
        <v>61</v>
      </c>
      <c r="C1941" t="s">
        <v>28</v>
      </c>
      <c r="D1941" t="s">
        <v>25</v>
      </c>
      <c r="E1941">
        <v>2</v>
      </c>
      <c r="F1941" t="s">
        <v>40</v>
      </c>
      <c r="G1941">
        <v>2.4900000000000002</v>
      </c>
      <c r="H1941">
        <v>2.29</v>
      </c>
      <c r="I1941" s="2" t="str">
        <f>_xlfn.XLOOKUP(F1941,DeparaIMG!D:D,DeparaIMG!F:F,,0)</f>
        <v>GCA269.png</v>
      </c>
    </row>
    <row r="1942" spans="1:9" x14ac:dyDescent="0.25">
      <c r="A1942" s="2" t="s">
        <v>155</v>
      </c>
      <c r="B1942" t="s">
        <v>61</v>
      </c>
      <c r="C1942" t="s">
        <v>29</v>
      </c>
      <c r="D1942" t="s">
        <v>25</v>
      </c>
      <c r="E1942">
        <v>2</v>
      </c>
      <c r="F1942" t="s">
        <v>40</v>
      </c>
      <c r="G1942">
        <v>2.4900000000000002</v>
      </c>
      <c r="H1942">
        <v>2.29</v>
      </c>
      <c r="I1942" s="2" t="str">
        <f>_xlfn.XLOOKUP(F1942,DeparaIMG!D:D,DeparaIMG!F:F,,0)</f>
        <v>GCA269.png</v>
      </c>
    </row>
    <row r="1943" spans="1:9" x14ac:dyDescent="0.25">
      <c r="A1943" s="2" t="s">
        <v>155</v>
      </c>
      <c r="B1943" t="s">
        <v>61</v>
      </c>
      <c r="C1943" t="s">
        <v>30</v>
      </c>
      <c r="D1943" t="s">
        <v>25</v>
      </c>
      <c r="E1943">
        <v>2</v>
      </c>
      <c r="F1943" t="s">
        <v>40</v>
      </c>
      <c r="G1943">
        <v>2.4900000000000002</v>
      </c>
      <c r="H1943">
        <v>2.29</v>
      </c>
      <c r="I1943" s="2" t="str">
        <f>_xlfn.XLOOKUP(F1943,DeparaIMG!D:D,DeparaIMG!F:F,,0)</f>
        <v>GCA269.png</v>
      </c>
    </row>
    <row r="1944" spans="1:9" x14ac:dyDescent="0.25">
      <c r="A1944" s="2" t="s">
        <v>155</v>
      </c>
      <c r="B1944" t="s">
        <v>61</v>
      </c>
      <c r="C1944" t="s">
        <v>4</v>
      </c>
      <c r="D1944" t="s">
        <v>25</v>
      </c>
      <c r="E1944">
        <v>2</v>
      </c>
      <c r="F1944" t="s">
        <v>171</v>
      </c>
      <c r="G1944">
        <v>2.4900000000000002</v>
      </c>
      <c r="H1944">
        <v>2.29</v>
      </c>
      <c r="I1944" s="2" t="str">
        <f>_xlfn.XLOOKUP(F1944,DeparaIMG!D:D,DeparaIMG!F:F,,0)</f>
        <v>GCAD269.png</v>
      </c>
    </row>
    <row r="1945" spans="1:9" x14ac:dyDescent="0.25">
      <c r="A1945" s="2" t="s">
        <v>155</v>
      </c>
      <c r="B1945" t="s">
        <v>61</v>
      </c>
      <c r="C1945" t="s">
        <v>173</v>
      </c>
      <c r="D1945" t="s">
        <v>25</v>
      </c>
      <c r="E1945">
        <v>2</v>
      </c>
      <c r="F1945" t="s">
        <v>171</v>
      </c>
      <c r="G1945">
        <v>2.4900000000000002</v>
      </c>
      <c r="H1945">
        <v>2.29</v>
      </c>
      <c r="I1945" s="2" t="str">
        <f>_xlfn.XLOOKUP(F1945,DeparaIMG!D:D,DeparaIMG!F:F,,0)</f>
        <v>GCAD269.png</v>
      </c>
    </row>
    <row r="1946" spans="1:9" x14ac:dyDescent="0.25">
      <c r="A1946" s="2" t="s">
        <v>155</v>
      </c>
      <c r="B1946" t="s">
        <v>61</v>
      </c>
      <c r="C1946" t="s">
        <v>28</v>
      </c>
      <c r="D1946" t="s">
        <v>25</v>
      </c>
      <c r="E1946">
        <v>2</v>
      </c>
      <c r="F1946" t="s">
        <v>171</v>
      </c>
      <c r="G1946">
        <v>2.4900000000000002</v>
      </c>
      <c r="H1946">
        <v>2.29</v>
      </c>
      <c r="I1946" s="2" t="str">
        <f>_xlfn.XLOOKUP(F1946,DeparaIMG!D:D,DeparaIMG!F:F,,0)</f>
        <v>GCAD269.png</v>
      </c>
    </row>
    <row r="1947" spans="1:9" x14ac:dyDescent="0.25">
      <c r="A1947" s="2" t="s">
        <v>155</v>
      </c>
      <c r="B1947" t="s">
        <v>61</v>
      </c>
      <c r="C1947" t="s">
        <v>29</v>
      </c>
      <c r="D1947" t="s">
        <v>25</v>
      </c>
      <c r="E1947">
        <v>2</v>
      </c>
      <c r="F1947" t="s">
        <v>171</v>
      </c>
      <c r="G1947">
        <v>2.4900000000000002</v>
      </c>
      <c r="H1947">
        <v>2.29</v>
      </c>
      <c r="I1947" s="2" t="str">
        <f>_xlfn.XLOOKUP(F1947,DeparaIMG!D:D,DeparaIMG!F:F,,0)</f>
        <v>GCAD269.png</v>
      </c>
    </row>
    <row r="1948" spans="1:9" x14ac:dyDescent="0.25">
      <c r="A1948" s="2" t="s">
        <v>155</v>
      </c>
      <c r="B1948" t="s">
        <v>61</v>
      </c>
      <c r="C1948" t="s">
        <v>30</v>
      </c>
      <c r="D1948" t="s">
        <v>25</v>
      </c>
      <c r="E1948">
        <v>2</v>
      </c>
      <c r="F1948" t="s">
        <v>171</v>
      </c>
      <c r="G1948">
        <v>2.4900000000000002</v>
      </c>
      <c r="H1948">
        <v>2.29</v>
      </c>
      <c r="I1948" s="2" t="str">
        <f>_xlfn.XLOOKUP(F1948,DeparaIMG!D:D,DeparaIMG!F:F,,0)</f>
        <v>GCAD269.png</v>
      </c>
    </row>
    <row r="1949" spans="1:9" x14ac:dyDescent="0.25">
      <c r="A1949" s="2" t="s">
        <v>155</v>
      </c>
      <c r="B1949" t="s">
        <v>61</v>
      </c>
      <c r="C1949" t="s">
        <v>4</v>
      </c>
      <c r="D1949" t="s">
        <v>25</v>
      </c>
      <c r="E1949">
        <v>2</v>
      </c>
      <c r="F1949" t="s">
        <v>41</v>
      </c>
      <c r="G1949">
        <v>2.39</v>
      </c>
      <c r="H1949">
        <v>2.19</v>
      </c>
      <c r="I1949" s="2" t="str">
        <f>_xlfn.XLOOKUP(F1949,DeparaIMG!D:D,DeparaIMG!F:F,,0)</f>
        <v>PC269.png</v>
      </c>
    </row>
    <row r="1950" spans="1:9" x14ac:dyDescent="0.25">
      <c r="A1950" s="2" t="s">
        <v>155</v>
      </c>
      <c r="B1950" t="s">
        <v>61</v>
      </c>
      <c r="C1950" t="s">
        <v>173</v>
      </c>
      <c r="D1950" t="s">
        <v>25</v>
      </c>
      <c r="E1950">
        <v>2</v>
      </c>
      <c r="F1950" t="s">
        <v>41</v>
      </c>
      <c r="G1950">
        <v>2.39</v>
      </c>
      <c r="H1950">
        <v>2.19</v>
      </c>
      <c r="I1950" s="2" t="str">
        <f>_xlfn.XLOOKUP(F1950,DeparaIMG!D:D,DeparaIMG!F:F,,0)</f>
        <v>PC269.png</v>
      </c>
    </row>
    <row r="1951" spans="1:9" x14ac:dyDescent="0.25">
      <c r="A1951" s="2" t="s">
        <v>155</v>
      </c>
      <c r="B1951" t="s">
        <v>61</v>
      </c>
      <c r="C1951" t="s">
        <v>28</v>
      </c>
      <c r="D1951" t="s">
        <v>25</v>
      </c>
      <c r="E1951">
        <v>2</v>
      </c>
      <c r="F1951" t="s">
        <v>41</v>
      </c>
      <c r="G1951">
        <v>2.39</v>
      </c>
      <c r="H1951">
        <v>2.19</v>
      </c>
      <c r="I1951" s="2" t="str">
        <f>_xlfn.XLOOKUP(F1951,DeparaIMG!D:D,DeparaIMG!F:F,,0)</f>
        <v>PC269.png</v>
      </c>
    </row>
    <row r="1952" spans="1:9" x14ac:dyDescent="0.25">
      <c r="A1952" s="2" t="s">
        <v>155</v>
      </c>
      <c r="B1952" t="s">
        <v>61</v>
      </c>
      <c r="C1952" t="s">
        <v>29</v>
      </c>
      <c r="D1952" t="s">
        <v>25</v>
      </c>
      <c r="E1952">
        <v>2</v>
      </c>
      <c r="F1952" t="s">
        <v>41</v>
      </c>
      <c r="G1952">
        <v>2.39</v>
      </c>
      <c r="H1952">
        <v>2.19</v>
      </c>
      <c r="I1952" s="2" t="str">
        <f>_xlfn.XLOOKUP(F1952,DeparaIMG!D:D,DeparaIMG!F:F,,0)</f>
        <v>PC269.png</v>
      </c>
    </row>
    <row r="1953" spans="1:9" x14ac:dyDescent="0.25">
      <c r="A1953" s="2" t="s">
        <v>155</v>
      </c>
      <c r="B1953" t="s">
        <v>61</v>
      </c>
      <c r="C1953" t="s">
        <v>30</v>
      </c>
      <c r="D1953" t="s">
        <v>25</v>
      </c>
      <c r="E1953">
        <v>2</v>
      </c>
      <c r="F1953" t="s">
        <v>41</v>
      </c>
      <c r="G1953">
        <v>2.39</v>
      </c>
      <c r="H1953">
        <v>2.19</v>
      </c>
      <c r="I1953" s="2" t="str">
        <f>_xlfn.XLOOKUP(F1953,DeparaIMG!D:D,DeparaIMG!F:F,,0)</f>
        <v>PC269.png</v>
      </c>
    </row>
    <row r="1954" spans="1:9" x14ac:dyDescent="0.25">
      <c r="A1954" s="2" t="s">
        <v>155</v>
      </c>
      <c r="B1954" t="s">
        <v>61</v>
      </c>
      <c r="C1954" t="s">
        <v>4</v>
      </c>
      <c r="D1954" t="s">
        <v>25</v>
      </c>
      <c r="E1954">
        <v>2</v>
      </c>
      <c r="F1954" t="s">
        <v>172</v>
      </c>
      <c r="G1954">
        <v>2.29</v>
      </c>
      <c r="H1954">
        <v>2.09</v>
      </c>
      <c r="I1954" s="2" t="str">
        <f>_xlfn.XLOOKUP(F1954,DeparaIMG!D:D,DeparaIMG!F:F,,0)</f>
        <v>PCB269.png</v>
      </c>
    </row>
    <row r="1955" spans="1:9" x14ac:dyDescent="0.25">
      <c r="A1955" s="2" t="s">
        <v>155</v>
      </c>
      <c r="B1955" t="s">
        <v>61</v>
      </c>
      <c r="C1955" t="s">
        <v>173</v>
      </c>
      <c r="D1955" t="s">
        <v>25</v>
      </c>
      <c r="E1955">
        <v>2</v>
      </c>
      <c r="F1955" t="s">
        <v>172</v>
      </c>
      <c r="G1955">
        <v>2.29</v>
      </c>
      <c r="H1955">
        <v>2.09</v>
      </c>
      <c r="I1955" s="2" t="str">
        <f>_xlfn.XLOOKUP(F1955,DeparaIMG!D:D,DeparaIMG!F:F,,0)</f>
        <v>PCB269.png</v>
      </c>
    </row>
    <row r="1956" spans="1:9" x14ac:dyDescent="0.25">
      <c r="A1956" s="2" t="s">
        <v>155</v>
      </c>
      <c r="B1956" t="s">
        <v>61</v>
      </c>
      <c r="C1956" t="s">
        <v>28</v>
      </c>
      <c r="D1956" t="s">
        <v>25</v>
      </c>
      <c r="E1956">
        <v>2</v>
      </c>
      <c r="F1956" t="s">
        <v>172</v>
      </c>
      <c r="G1956">
        <v>2.29</v>
      </c>
      <c r="H1956">
        <v>2.09</v>
      </c>
      <c r="I1956" s="2" t="str">
        <f>_xlfn.XLOOKUP(F1956,DeparaIMG!D:D,DeparaIMG!F:F,,0)</f>
        <v>PCB269.png</v>
      </c>
    </row>
    <row r="1957" spans="1:9" x14ac:dyDescent="0.25">
      <c r="A1957" s="2" t="s">
        <v>155</v>
      </c>
      <c r="B1957" t="s">
        <v>61</v>
      </c>
      <c r="C1957" t="s">
        <v>29</v>
      </c>
      <c r="D1957" t="s">
        <v>25</v>
      </c>
      <c r="E1957">
        <v>2</v>
      </c>
      <c r="F1957" t="s">
        <v>172</v>
      </c>
      <c r="G1957">
        <v>2.29</v>
      </c>
      <c r="H1957">
        <v>2.09</v>
      </c>
      <c r="I1957" s="2" t="str">
        <f>_xlfn.XLOOKUP(F1957,DeparaIMG!D:D,DeparaIMG!F:F,,0)</f>
        <v>PCB269.png</v>
      </c>
    </row>
    <row r="1958" spans="1:9" x14ac:dyDescent="0.25">
      <c r="A1958" s="2" t="s">
        <v>155</v>
      </c>
      <c r="B1958" t="s">
        <v>61</v>
      </c>
      <c r="C1958" t="s">
        <v>30</v>
      </c>
      <c r="D1958" t="s">
        <v>25</v>
      </c>
      <c r="E1958">
        <v>2</v>
      </c>
      <c r="F1958" t="s">
        <v>172</v>
      </c>
      <c r="G1958">
        <v>2.29</v>
      </c>
      <c r="H1958">
        <v>2.09</v>
      </c>
      <c r="I1958" s="2" t="str">
        <f>_xlfn.XLOOKUP(F1958,DeparaIMG!D:D,DeparaIMG!F:F,,0)</f>
        <v>PCB269.png</v>
      </c>
    </row>
    <row r="1959" spans="1:9" x14ac:dyDescent="0.25">
      <c r="A1959" s="2" t="s">
        <v>155</v>
      </c>
      <c r="B1959" t="s">
        <v>61</v>
      </c>
      <c r="C1959" t="s">
        <v>4</v>
      </c>
      <c r="D1959" t="s">
        <v>26</v>
      </c>
      <c r="E1959">
        <v>2</v>
      </c>
      <c r="F1959" t="s">
        <v>31</v>
      </c>
      <c r="G1959">
        <v>5.29</v>
      </c>
      <c r="H1959">
        <v>4.99</v>
      </c>
      <c r="I1959" s="2" t="str">
        <f>_xlfn.XLOOKUP(F1959,DeparaIMG!D:D,DeparaIMG!F:F,,0)</f>
        <v>GCAP1.png</v>
      </c>
    </row>
    <row r="1960" spans="1:9" x14ac:dyDescent="0.25">
      <c r="A1960" s="2" t="s">
        <v>155</v>
      </c>
      <c r="B1960" t="s">
        <v>61</v>
      </c>
      <c r="C1960" t="s">
        <v>173</v>
      </c>
      <c r="D1960" t="s">
        <v>26</v>
      </c>
      <c r="E1960">
        <v>2</v>
      </c>
      <c r="F1960" t="s">
        <v>32</v>
      </c>
      <c r="G1960">
        <v>7.49</v>
      </c>
      <c r="H1960">
        <v>7.19</v>
      </c>
      <c r="I1960" s="2" t="str">
        <f>_xlfn.XLOOKUP(F1960,DeparaIMG!D:D,DeparaIMG!F:F,,0)</f>
        <v>GCAP1,5.png</v>
      </c>
    </row>
    <row r="1961" spans="1:9" x14ac:dyDescent="0.25">
      <c r="A1961" s="2" t="s">
        <v>155</v>
      </c>
      <c r="B1961" t="s">
        <v>61</v>
      </c>
      <c r="C1961" t="s">
        <v>28</v>
      </c>
      <c r="D1961" t="s">
        <v>26</v>
      </c>
      <c r="E1961">
        <v>2</v>
      </c>
      <c r="F1961" t="s">
        <v>32</v>
      </c>
      <c r="G1961">
        <v>6.99</v>
      </c>
      <c r="H1961">
        <v>6.69</v>
      </c>
      <c r="I1961" s="2" t="str">
        <f>_xlfn.XLOOKUP(F1961,DeparaIMG!D:D,DeparaIMG!F:F,,0)</f>
        <v>GCAP1,5.png</v>
      </c>
    </row>
    <row r="1962" spans="1:9" x14ac:dyDescent="0.25">
      <c r="A1962" s="2" t="s">
        <v>155</v>
      </c>
      <c r="B1962" t="s">
        <v>61</v>
      </c>
      <c r="C1962" t="s">
        <v>29</v>
      </c>
      <c r="D1962" t="s">
        <v>26</v>
      </c>
      <c r="E1962">
        <v>2</v>
      </c>
      <c r="F1962" t="s">
        <v>32</v>
      </c>
      <c r="G1962">
        <v>6.99</v>
      </c>
      <c r="H1962">
        <v>6.69</v>
      </c>
      <c r="I1962" s="2" t="str">
        <f>_xlfn.XLOOKUP(F1962,DeparaIMG!D:D,DeparaIMG!F:F,,0)</f>
        <v>GCAP1,5.png</v>
      </c>
    </row>
    <row r="1963" spans="1:9" x14ac:dyDescent="0.25">
      <c r="A1963" s="2" t="s">
        <v>155</v>
      </c>
      <c r="B1963" t="s">
        <v>61</v>
      </c>
      <c r="C1963" t="s">
        <v>30</v>
      </c>
      <c r="D1963" t="s">
        <v>26</v>
      </c>
      <c r="E1963">
        <v>2</v>
      </c>
      <c r="F1963" t="s">
        <v>32</v>
      </c>
      <c r="G1963">
        <v>7.49</v>
      </c>
      <c r="H1963">
        <v>7.19</v>
      </c>
      <c r="I1963" s="2" t="str">
        <f>_xlfn.XLOOKUP(F1963,DeparaIMG!D:D,DeparaIMG!F:F,,0)</f>
        <v>GCAP1,5.png</v>
      </c>
    </row>
    <row r="1964" spans="1:9" x14ac:dyDescent="0.25">
      <c r="A1964" s="2" t="s">
        <v>155</v>
      </c>
      <c r="B1964" t="s">
        <v>61</v>
      </c>
      <c r="C1964" t="s">
        <v>4</v>
      </c>
      <c r="D1964" t="s">
        <v>26</v>
      </c>
      <c r="E1964">
        <v>2</v>
      </c>
      <c r="F1964" t="s">
        <v>166</v>
      </c>
      <c r="G1964">
        <v>5.29</v>
      </c>
      <c r="H1964">
        <v>4.99</v>
      </c>
      <c r="I1964" s="2" t="str">
        <f>_xlfn.XLOOKUP(F1964,DeparaIMG!D:D,DeparaIMG!F:F,,0)</f>
        <v>GCADP1.png</v>
      </c>
    </row>
    <row r="1965" spans="1:9" x14ac:dyDescent="0.25">
      <c r="A1965" s="2" t="s">
        <v>155</v>
      </c>
      <c r="B1965" t="s">
        <v>61</v>
      </c>
      <c r="C1965" t="s">
        <v>173</v>
      </c>
      <c r="D1965" t="s">
        <v>26</v>
      </c>
      <c r="E1965">
        <v>2</v>
      </c>
      <c r="F1965" t="s">
        <v>167</v>
      </c>
      <c r="G1965">
        <v>7.49</v>
      </c>
      <c r="H1965">
        <v>7.19</v>
      </c>
      <c r="I1965" s="2" t="str">
        <f>_xlfn.XLOOKUP(F1965,DeparaIMG!D:D,DeparaIMG!F:F,,0)</f>
        <v>GCADP1,5.png</v>
      </c>
    </row>
    <row r="1966" spans="1:9" x14ac:dyDescent="0.25">
      <c r="A1966" s="2" t="s">
        <v>155</v>
      </c>
      <c r="B1966" t="s">
        <v>61</v>
      </c>
      <c r="C1966" t="s">
        <v>28</v>
      </c>
      <c r="D1966" t="s">
        <v>26</v>
      </c>
      <c r="E1966">
        <v>2</v>
      </c>
      <c r="F1966" t="s">
        <v>167</v>
      </c>
      <c r="G1966">
        <v>6.99</v>
      </c>
      <c r="H1966">
        <v>6.69</v>
      </c>
      <c r="I1966" s="2" t="str">
        <f>_xlfn.XLOOKUP(F1966,DeparaIMG!D:D,DeparaIMG!F:F,,0)</f>
        <v>GCADP1,5.png</v>
      </c>
    </row>
    <row r="1967" spans="1:9" x14ac:dyDescent="0.25">
      <c r="A1967" s="2" t="s">
        <v>155</v>
      </c>
      <c r="B1967" t="s">
        <v>61</v>
      </c>
      <c r="C1967" t="s">
        <v>29</v>
      </c>
      <c r="D1967" t="s">
        <v>26</v>
      </c>
      <c r="E1967">
        <v>2</v>
      </c>
      <c r="F1967" t="s">
        <v>167</v>
      </c>
      <c r="G1967">
        <v>6.99</v>
      </c>
      <c r="H1967">
        <v>6.69</v>
      </c>
      <c r="I1967" s="2" t="str">
        <f>_xlfn.XLOOKUP(F1967,DeparaIMG!D:D,DeparaIMG!F:F,,0)</f>
        <v>GCADP1,5.png</v>
      </c>
    </row>
    <row r="1968" spans="1:9" x14ac:dyDescent="0.25">
      <c r="A1968" s="2" t="s">
        <v>155</v>
      </c>
      <c r="B1968" t="s">
        <v>61</v>
      </c>
      <c r="C1968" t="s">
        <v>30</v>
      </c>
      <c r="D1968" t="s">
        <v>26</v>
      </c>
      <c r="E1968">
        <v>2</v>
      </c>
      <c r="F1968" t="s">
        <v>167</v>
      </c>
      <c r="G1968">
        <v>7.49</v>
      </c>
      <c r="H1968">
        <v>7.19</v>
      </c>
      <c r="I1968" s="2" t="str">
        <f>_xlfn.XLOOKUP(F1968,DeparaIMG!D:D,DeparaIMG!F:F,,0)</f>
        <v>GCADP1,5.png</v>
      </c>
    </row>
    <row r="1969" spans="1:9" x14ac:dyDescent="0.25">
      <c r="A1969" s="2" t="s">
        <v>155</v>
      </c>
      <c r="B1969" t="s">
        <v>61</v>
      </c>
      <c r="C1969" t="s">
        <v>4</v>
      </c>
      <c r="D1969" t="s">
        <v>26</v>
      </c>
      <c r="E1969">
        <v>2</v>
      </c>
      <c r="F1969" t="s">
        <v>33</v>
      </c>
      <c r="G1969">
        <v>7.99</v>
      </c>
      <c r="H1969">
        <v>7.59</v>
      </c>
      <c r="I1969" s="2" t="str">
        <f>_xlfn.XLOOKUP(F1969,DeparaIMG!D:D,DeparaIMG!F:F,,0)</f>
        <v>PCP2.png</v>
      </c>
    </row>
    <row r="1970" spans="1:9" x14ac:dyDescent="0.25">
      <c r="A1970" s="2" t="s">
        <v>155</v>
      </c>
      <c r="B1970" t="s">
        <v>61</v>
      </c>
      <c r="C1970" t="s">
        <v>173</v>
      </c>
      <c r="D1970" t="s">
        <v>26</v>
      </c>
      <c r="E1970">
        <v>2</v>
      </c>
      <c r="F1970" t="s">
        <v>33</v>
      </c>
      <c r="G1970">
        <v>9.2899999999999991</v>
      </c>
      <c r="H1970">
        <v>8.89</v>
      </c>
      <c r="I1970" s="2" t="str">
        <f>_xlfn.XLOOKUP(F1970,DeparaIMG!D:D,DeparaIMG!F:F,,0)</f>
        <v>PCP2.png</v>
      </c>
    </row>
    <row r="1971" spans="1:9" x14ac:dyDescent="0.25">
      <c r="A1971" s="2" t="s">
        <v>155</v>
      </c>
      <c r="B1971" t="s">
        <v>61</v>
      </c>
      <c r="C1971" t="s">
        <v>28</v>
      </c>
      <c r="D1971" t="s">
        <v>26</v>
      </c>
      <c r="E1971">
        <v>2</v>
      </c>
      <c r="F1971" t="s">
        <v>33</v>
      </c>
      <c r="G1971">
        <v>8.2899999999999991</v>
      </c>
      <c r="H1971">
        <v>7.89</v>
      </c>
      <c r="I1971" s="2" t="str">
        <f>_xlfn.XLOOKUP(F1971,DeparaIMG!D:D,DeparaIMG!F:F,,0)</f>
        <v>PCP2.png</v>
      </c>
    </row>
    <row r="1972" spans="1:9" x14ac:dyDescent="0.25">
      <c r="A1972" s="2" t="s">
        <v>155</v>
      </c>
      <c r="B1972" t="s">
        <v>61</v>
      </c>
      <c r="C1972" t="s">
        <v>29</v>
      </c>
      <c r="D1972" t="s">
        <v>26</v>
      </c>
      <c r="E1972">
        <v>2</v>
      </c>
      <c r="F1972" t="s">
        <v>33</v>
      </c>
      <c r="G1972">
        <v>8.2899999999999991</v>
      </c>
      <c r="H1972">
        <v>7.89</v>
      </c>
      <c r="I1972" s="2" t="str">
        <f>_xlfn.XLOOKUP(F1972,DeparaIMG!D:D,DeparaIMG!F:F,,0)</f>
        <v>PCP2.png</v>
      </c>
    </row>
    <row r="1973" spans="1:9" x14ac:dyDescent="0.25">
      <c r="A1973" s="2" t="s">
        <v>155</v>
      </c>
      <c r="B1973" t="s">
        <v>61</v>
      </c>
      <c r="C1973" t="s">
        <v>30</v>
      </c>
      <c r="D1973" t="s">
        <v>26</v>
      </c>
      <c r="E1973">
        <v>2</v>
      </c>
      <c r="F1973" t="s">
        <v>33</v>
      </c>
      <c r="G1973">
        <v>9.2899999999999991</v>
      </c>
      <c r="H1973">
        <v>8.89</v>
      </c>
      <c r="I1973" s="2" t="str">
        <f>_xlfn.XLOOKUP(F1973,DeparaIMG!D:D,DeparaIMG!F:F,,0)</f>
        <v>PCP2.png</v>
      </c>
    </row>
    <row r="1974" spans="1:9" x14ac:dyDescent="0.25">
      <c r="A1974" s="2" t="s">
        <v>155</v>
      </c>
      <c r="B1974" t="s">
        <v>61</v>
      </c>
      <c r="C1974" t="s">
        <v>4</v>
      </c>
      <c r="D1974" t="s">
        <v>26</v>
      </c>
      <c r="E1974">
        <v>2</v>
      </c>
      <c r="F1974" t="s">
        <v>168</v>
      </c>
      <c r="G1974">
        <v>7.99</v>
      </c>
      <c r="H1974">
        <v>7.59</v>
      </c>
      <c r="I1974" s="2" t="str">
        <f>_xlfn.XLOOKUP(F1974,DeparaIMG!D:D,DeparaIMG!F:F,,0)</f>
        <v>PCBP2.png</v>
      </c>
    </row>
    <row r="1975" spans="1:9" x14ac:dyDescent="0.25">
      <c r="A1975" s="2" t="s">
        <v>155</v>
      </c>
      <c r="B1975" t="s">
        <v>61</v>
      </c>
      <c r="C1975" t="s">
        <v>173</v>
      </c>
      <c r="D1975" t="s">
        <v>26</v>
      </c>
      <c r="E1975">
        <v>2</v>
      </c>
      <c r="F1975" t="s">
        <v>168</v>
      </c>
      <c r="G1975">
        <v>9.2899999999999991</v>
      </c>
      <c r="H1975">
        <v>8.89</v>
      </c>
      <c r="I1975" s="2" t="str">
        <f>_xlfn.XLOOKUP(F1975,DeparaIMG!D:D,DeparaIMG!F:F,,0)</f>
        <v>PCBP2.png</v>
      </c>
    </row>
    <row r="1976" spans="1:9" x14ac:dyDescent="0.25">
      <c r="A1976" s="2" t="s">
        <v>155</v>
      </c>
      <c r="B1976" t="s">
        <v>61</v>
      </c>
      <c r="C1976" t="s">
        <v>28</v>
      </c>
      <c r="D1976" t="s">
        <v>26</v>
      </c>
      <c r="E1976">
        <v>2</v>
      </c>
      <c r="F1976" t="s">
        <v>168</v>
      </c>
      <c r="G1976">
        <v>8.2899999999999991</v>
      </c>
      <c r="H1976">
        <v>7.89</v>
      </c>
      <c r="I1976" s="2" t="str">
        <f>_xlfn.XLOOKUP(F1976,DeparaIMG!D:D,DeparaIMG!F:F,,0)</f>
        <v>PCBP2.png</v>
      </c>
    </row>
    <row r="1977" spans="1:9" x14ac:dyDescent="0.25">
      <c r="A1977" s="2" t="s">
        <v>155</v>
      </c>
      <c r="B1977" t="s">
        <v>61</v>
      </c>
      <c r="C1977" t="s">
        <v>29</v>
      </c>
      <c r="D1977" t="s">
        <v>26</v>
      </c>
      <c r="E1977">
        <v>2</v>
      </c>
      <c r="F1977" t="s">
        <v>168</v>
      </c>
      <c r="G1977">
        <v>8.2899999999999991</v>
      </c>
      <c r="H1977">
        <v>7.89</v>
      </c>
      <c r="I1977" s="2" t="str">
        <f>_xlfn.XLOOKUP(F1977,DeparaIMG!D:D,DeparaIMG!F:F,,0)</f>
        <v>PCBP2.png</v>
      </c>
    </row>
    <row r="1978" spans="1:9" x14ac:dyDescent="0.25">
      <c r="A1978" s="2" t="s">
        <v>155</v>
      </c>
      <c r="B1978" t="s">
        <v>61</v>
      </c>
      <c r="C1978" t="s">
        <v>30</v>
      </c>
      <c r="D1978" t="s">
        <v>26</v>
      </c>
      <c r="E1978">
        <v>2</v>
      </c>
      <c r="F1978" t="s">
        <v>168</v>
      </c>
      <c r="G1978">
        <v>9.2899999999999991</v>
      </c>
      <c r="H1978">
        <v>8.89</v>
      </c>
      <c r="I1978" s="2" t="str">
        <f>_xlfn.XLOOKUP(F1978,DeparaIMG!D:D,DeparaIMG!F:F,,0)</f>
        <v>PCBP2.png</v>
      </c>
    </row>
    <row r="1979" spans="1:9" x14ac:dyDescent="0.25">
      <c r="A1979" s="2" t="s">
        <v>155</v>
      </c>
      <c r="B1979" t="s">
        <v>61</v>
      </c>
      <c r="C1979" t="s">
        <v>173</v>
      </c>
      <c r="D1979" t="s">
        <v>26</v>
      </c>
      <c r="E1979">
        <v>2</v>
      </c>
      <c r="F1979" t="s">
        <v>42</v>
      </c>
      <c r="G1979">
        <v>8.49</v>
      </c>
      <c r="H1979">
        <v>7.99</v>
      </c>
      <c r="I1979" s="2" t="str">
        <f>_xlfn.XLOOKUP(F1979,DeparaIMG!D:D,DeparaIMG!F:F,,0)</f>
        <v>H2OHP1,5.png</v>
      </c>
    </row>
    <row r="1980" spans="1:9" x14ac:dyDescent="0.25">
      <c r="A1980" s="2" t="s">
        <v>155</v>
      </c>
      <c r="B1980" t="s">
        <v>61</v>
      </c>
      <c r="C1980" t="s">
        <v>28</v>
      </c>
      <c r="D1980" t="s">
        <v>26</v>
      </c>
      <c r="E1980">
        <v>2</v>
      </c>
      <c r="F1980" t="s">
        <v>42</v>
      </c>
      <c r="G1980">
        <v>7.99</v>
      </c>
      <c r="H1980">
        <v>7.49</v>
      </c>
      <c r="I1980" s="2" t="str">
        <f>_xlfn.XLOOKUP(F1980,DeparaIMG!D:D,DeparaIMG!F:F,,0)</f>
        <v>H2OHP1,5.png</v>
      </c>
    </row>
    <row r="1981" spans="1:9" x14ac:dyDescent="0.25">
      <c r="A1981" s="2" t="s">
        <v>155</v>
      </c>
      <c r="B1981" t="s">
        <v>61</v>
      </c>
      <c r="C1981" t="s">
        <v>29</v>
      </c>
      <c r="D1981" t="s">
        <v>26</v>
      </c>
      <c r="E1981">
        <v>2</v>
      </c>
      <c r="F1981" t="s">
        <v>42</v>
      </c>
      <c r="G1981">
        <v>7.99</v>
      </c>
      <c r="H1981">
        <v>7.49</v>
      </c>
      <c r="I1981" s="2" t="str">
        <f>_xlfn.XLOOKUP(F1981,DeparaIMG!D:D,DeparaIMG!F:F,,0)</f>
        <v>H2OHP1,5.png</v>
      </c>
    </row>
    <row r="1982" spans="1:9" x14ac:dyDescent="0.25">
      <c r="A1982" s="2" t="s">
        <v>155</v>
      </c>
      <c r="B1982" t="s">
        <v>61</v>
      </c>
      <c r="C1982" t="s">
        <v>30</v>
      </c>
      <c r="D1982" t="s">
        <v>26</v>
      </c>
      <c r="E1982">
        <v>2</v>
      </c>
      <c r="F1982" t="s">
        <v>42</v>
      </c>
      <c r="G1982">
        <v>8.49</v>
      </c>
      <c r="H1982">
        <v>7.99</v>
      </c>
      <c r="I1982" s="2" t="str">
        <f>_xlfn.XLOOKUP(F1982,DeparaIMG!D:D,DeparaIMG!F:F,,0)</f>
        <v>H2OHP1,5.png</v>
      </c>
    </row>
    <row r="1983" spans="1:9" x14ac:dyDescent="0.25">
      <c r="A1983" s="2" t="s">
        <v>155</v>
      </c>
      <c r="B1983" t="s">
        <v>61</v>
      </c>
      <c r="C1983" t="s">
        <v>173</v>
      </c>
      <c r="D1983" t="s">
        <v>25</v>
      </c>
      <c r="E1983">
        <v>1</v>
      </c>
      <c r="F1983" t="s">
        <v>31</v>
      </c>
      <c r="G1983">
        <v>4.99</v>
      </c>
      <c r="H1983">
        <v>4.6900000000000004</v>
      </c>
      <c r="I1983" s="2" t="str">
        <f>_xlfn.XLOOKUP(F1983,DeparaIMG!D:D,DeparaIMG!F:F,,0)</f>
        <v>GCAP1.png</v>
      </c>
    </row>
    <row r="1984" spans="1:9" x14ac:dyDescent="0.25">
      <c r="A1984" s="2" t="s">
        <v>155</v>
      </c>
      <c r="B1984" t="s">
        <v>61</v>
      </c>
      <c r="C1984" t="s">
        <v>173</v>
      </c>
      <c r="D1984" t="s">
        <v>25</v>
      </c>
      <c r="E1984">
        <v>1</v>
      </c>
      <c r="F1984" t="s">
        <v>166</v>
      </c>
      <c r="G1984">
        <v>4.99</v>
      </c>
      <c r="H1984">
        <v>4.6900000000000004</v>
      </c>
      <c r="I1984" s="2" t="str">
        <f>_xlfn.XLOOKUP(F1984,DeparaIMG!D:D,DeparaIMG!F:F,,0)</f>
        <v>GCADP1.png</v>
      </c>
    </row>
    <row r="1985" spans="1:9" x14ac:dyDescent="0.25">
      <c r="A1985" s="2" t="s">
        <v>155</v>
      </c>
      <c r="B1985" t="s">
        <v>61</v>
      </c>
      <c r="C1985" t="s">
        <v>173</v>
      </c>
      <c r="D1985" t="s">
        <v>25</v>
      </c>
      <c r="E1985">
        <v>1</v>
      </c>
      <c r="F1985" t="s">
        <v>33</v>
      </c>
      <c r="G1985">
        <v>7.79</v>
      </c>
      <c r="H1985">
        <v>7.39</v>
      </c>
      <c r="I1985" s="2" t="str">
        <f>_xlfn.XLOOKUP(F1985,DeparaIMG!D:D,DeparaIMG!F:F,,0)</f>
        <v>PCP2.png</v>
      </c>
    </row>
    <row r="1986" spans="1:9" x14ac:dyDescent="0.25">
      <c r="A1986" s="2" t="s">
        <v>155</v>
      </c>
      <c r="B1986" t="s">
        <v>61</v>
      </c>
      <c r="C1986" t="s">
        <v>173</v>
      </c>
      <c r="D1986" t="s">
        <v>25</v>
      </c>
      <c r="E1986">
        <v>1</v>
      </c>
      <c r="F1986" t="s">
        <v>168</v>
      </c>
      <c r="G1986">
        <v>7.79</v>
      </c>
      <c r="H1986">
        <v>7.39</v>
      </c>
      <c r="I1986" s="2" t="str">
        <f>_xlfn.XLOOKUP(F1986,DeparaIMG!D:D,DeparaIMG!F:F,,0)</f>
        <v>PCBP2.png</v>
      </c>
    </row>
    <row r="1987" spans="1:9" x14ac:dyDescent="0.25">
      <c r="A1987" s="2" t="s">
        <v>155</v>
      </c>
      <c r="B1987" t="s">
        <v>61</v>
      </c>
      <c r="C1987" t="s">
        <v>173</v>
      </c>
      <c r="D1987" t="s">
        <v>25</v>
      </c>
      <c r="E1987">
        <v>1</v>
      </c>
      <c r="F1987" t="s">
        <v>34</v>
      </c>
      <c r="G1987">
        <v>5.79</v>
      </c>
      <c r="H1987">
        <v>5.49</v>
      </c>
      <c r="I1987" s="2" t="str">
        <f>_xlfn.XLOOKUP(F1987,DeparaIMG!D:D,DeparaIMG!F:F,,0)</f>
        <v>BAREP2.png</v>
      </c>
    </row>
    <row r="1988" spans="1:9" x14ac:dyDescent="0.25">
      <c r="A1988" s="2" t="s">
        <v>155</v>
      </c>
      <c r="B1988" t="s">
        <v>61</v>
      </c>
      <c r="C1988" t="s">
        <v>173</v>
      </c>
      <c r="D1988" t="s">
        <v>25</v>
      </c>
      <c r="E1988">
        <v>1</v>
      </c>
      <c r="F1988" t="s">
        <v>42</v>
      </c>
      <c r="G1988">
        <v>7.79</v>
      </c>
      <c r="H1988">
        <v>7.29</v>
      </c>
      <c r="I1988" s="2" t="str">
        <f>_xlfn.XLOOKUP(F1988,DeparaIMG!D:D,DeparaIMG!F:F,,0)</f>
        <v>H2OHP1,5.png</v>
      </c>
    </row>
    <row r="1989" spans="1:9" x14ac:dyDescent="0.25">
      <c r="A1989" s="2" t="s">
        <v>155</v>
      </c>
      <c r="B1989" t="s">
        <v>61</v>
      </c>
      <c r="C1989" t="s">
        <v>173</v>
      </c>
      <c r="D1989" t="s">
        <v>26</v>
      </c>
      <c r="E1989">
        <v>1</v>
      </c>
      <c r="F1989" t="s">
        <v>37</v>
      </c>
      <c r="G1989">
        <v>8.99</v>
      </c>
      <c r="H1989">
        <v>8.2900000000000009</v>
      </c>
      <c r="I1989" s="2" t="str">
        <f>_xlfn.XLOOKUP(F1989,DeparaIMG!D:D,DeparaIMG!F:F,,0)</f>
        <v>GCAP2.png</v>
      </c>
    </row>
    <row r="1990" spans="1:9" x14ac:dyDescent="0.25">
      <c r="A1990" s="2" t="s">
        <v>155</v>
      </c>
      <c r="B1990" t="s">
        <v>61</v>
      </c>
      <c r="C1990" t="s">
        <v>173</v>
      </c>
      <c r="D1990" t="s">
        <v>26</v>
      </c>
      <c r="E1990">
        <v>1</v>
      </c>
      <c r="F1990" t="s">
        <v>169</v>
      </c>
      <c r="G1990">
        <v>8.99</v>
      </c>
      <c r="H1990">
        <v>8.2900000000000009</v>
      </c>
      <c r="I1990" s="2" t="str">
        <f>_xlfn.XLOOKUP(F1990,DeparaIMG!D:D,DeparaIMG!F:F,,0)</f>
        <v>GCADP2.png</v>
      </c>
    </row>
    <row r="1991" spans="1:9" x14ac:dyDescent="0.25">
      <c r="A1991" s="2" t="s">
        <v>155</v>
      </c>
      <c r="B1991" t="s">
        <v>61</v>
      </c>
      <c r="C1991" t="s">
        <v>173</v>
      </c>
      <c r="D1991" t="s">
        <v>26</v>
      </c>
      <c r="E1991">
        <v>1</v>
      </c>
      <c r="F1991" t="s">
        <v>34</v>
      </c>
      <c r="G1991">
        <v>5.99</v>
      </c>
      <c r="H1991">
        <v>5.49</v>
      </c>
      <c r="I1991" s="2" t="str">
        <f>_xlfn.XLOOKUP(F1991,DeparaIMG!D:D,DeparaIMG!F:F,,0)</f>
        <v>BAREP2.png</v>
      </c>
    </row>
    <row r="1992" spans="1:9" x14ac:dyDescent="0.25">
      <c r="A1992" s="2" t="s">
        <v>155</v>
      </c>
      <c r="B1992" t="s">
        <v>61</v>
      </c>
      <c r="C1992" t="s">
        <v>173</v>
      </c>
      <c r="D1992" t="s">
        <v>26</v>
      </c>
      <c r="E1992">
        <v>1</v>
      </c>
      <c r="F1992" t="s">
        <v>156</v>
      </c>
      <c r="G1992">
        <v>3.39</v>
      </c>
      <c r="H1992">
        <v>2.99</v>
      </c>
      <c r="I1992" s="2" t="str">
        <f>_xlfn.XLOOKUP(F1992,DeparaIMG!D:D,DeparaIMG!F:F,,0)</f>
        <v>PC350.png</v>
      </c>
    </row>
    <row r="1993" spans="1:9" x14ac:dyDescent="0.25">
      <c r="A1993" s="2" t="s">
        <v>155</v>
      </c>
      <c r="B1993" t="s">
        <v>61</v>
      </c>
      <c r="C1993" t="s">
        <v>173</v>
      </c>
      <c r="D1993" t="s">
        <v>25</v>
      </c>
      <c r="E1993">
        <v>2</v>
      </c>
      <c r="F1993" t="s">
        <v>37</v>
      </c>
      <c r="G1993">
        <v>8.7899999999999991</v>
      </c>
      <c r="H1993">
        <v>8.09</v>
      </c>
      <c r="I1993" s="2" t="str">
        <f>_xlfn.XLOOKUP(F1993,DeparaIMG!D:D,DeparaIMG!F:F,,0)</f>
        <v>GCAP2.png</v>
      </c>
    </row>
    <row r="1994" spans="1:9" x14ac:dyDescent="0.25">
      <c r="A1994" s="2" t="s">
        <v>155</v>
      </c>
      <c r="B1994" t="s">
        <v>61</v>
      </c>
      <c r="C1994" t="s">
        <v>173</v>
      </c>
      <c r="D1994" t="s">
        <v>25</v>
      </c>
      <c r="E1994">
        <v>2</v>
      </c>
      <c r="F1994" t="s">
        <v>169</v>
      </c>
      <c r="G1994">
        <v>8.7899999999999991</v>
      </c>
      <c r="H1994">
        <v>8.09</v>
      </c>
      <c r="I1994" s="2" t="str">
        <f>_xlfn.XLOOKUP(F1994,DeparaIMG!D:D,DeparaIMG!F:F,,0)</f>
        <v>GCADP2.png</v>
      </c>
    </row>
    <row r="1995" spans="1:9" x14ac:dyDescent="0.25">
      <c r="A1995" s="2" t="s">
        <v>155</v>
      </c>
      <c r="B1995" t="s">
        <v>61</v>
      </c>
      <c r="C1995" t="s">
        <v>173</v>
      </c>
      <c r="D1995" t="s">
        <v>26</v>
      </c>
      <c r="E1995">
        <v>2</v>
      </c>
      <c r="F1995" t="s">
        <v>31</v>
      </c>
      <c r="G1995">
        <v>5.29</v>
      </c>
      <c r="H1995">
        <v>4.99</v>
      </c>
      <c r="I1995" s="2" t="str">
        <f>_xlfn.XLOOKUP(F1995,DeparaIMG!D:D,DeparaIMG!F:F,,0)</f>
        <v>GCAP1.png</v>
      </c>
    </row>
    <row r="1996" spans="1:9" x14ac:dyDescent="0.25">
      <c r="A1996" s="2" t="s">
        <v>155</v>
      </c>
      <c r="B1996" t="s">
        <v>61</v>
      </c>
      <c r="C1996" t="s">
        <v>173</v>
      </c>
      <c r="D1996" t="s">
        <v>26</v>
      </c>
      <c r="E1996">
        <v>2</v>
      </c>
      <c r="F1996" t="s">
        <v>166</v>
      </c>
      <c r="G1996">
        <v>5.29</v>
      </c>
      <c r="H1996">
        <v>4.99</v>
      </c>
      <c r="I1996" s="2" t="str">
        <f>_xlfn.XLOOKUP(F1996,DeparaIMG!D:D,DeparaIMG!F:F,,0)</f>
        <v>GCADP1.png</v>
      </c>
    </row>
    <row r="1997" spans="1:9" x14ac:dyDescent="0.25">
      <c r="A1997" s="2" t="s">
        <v>155</v>
      </c>
      <c r="B1997" t="s">
        <v>61</v>
      </c>
      <c r="C1997" t="s">
        <v>173</v>
      </c>
      <c r="D1997" t="s">
        <v>26</v>
      </c>
      <c r="E1997">
        <v>2</v>
      </c>
      <c r="F1997" t="s">
        <v>33</v>
      </c>
      <c r="G1997">
        <v>7.99</v>
      </c>
      <c r="H1997">
        <v>7.59</v>
      </c>
      <c r="I1997" s="2" t="str">
        <f>_xlfn.XLOOKUP(F1997,DeparaIMG!D:D,DeparaIMG!F:F,,0)</f>
        <v>PCP2.png</v>
      </c>
    </row>
    <row r="1998" spans="1:9" x14ac:dyDescent="0.25">
      <c r="A1998" s="2" t="s">
        <v>155</v>
      </c>
      <c r="B1998" t="s">
        <v>61</v>
      </c>
      <c r="C1998" t="s">
        <v>173</v>
      </c>
      <c r="D1998" t="s">
        <v>26</v>
      </c>
      <c r="E1998">
        <v>2</v>
      </c>
      <c r="F1998" t="s">
        <v>168</v>
      </c>
      <c r="G1998">
        <v>7.99</v>
      </c>
      <c r="H1998">
        <v>7.59</v>
      </c>
      <c r="I1998" s="2" t="str">
        <f>_xlfn.XLOOKUP(F1998,DeparaIMG!D:D,DeparaIMG!F:F,,0)</f>
        <v>PCBP2.png</v>
      </c>
    </row>
    <row r="1999" spans="1:9" x14ac:dyDescent="0.25">
      <c r="A1999" s="2" t="s">
        <v>155</v>
      </c>
      <c r="B1999" t="s">
        <v>61</v>
      </c>
      <c r="C1999" t="s">
        <v>30</v>
      </c>
      <c r="D1999" t="s">
        <v>25</v>
      </c>
      <c r="E1999">
        <v>1</v>
      </c>
      <c r="F1999" t="s">
        <v>32</v>
      </c>
      <c r="G1999">
        <v>5.99</v>
      </c>
      <c r="H1999">
        <v>5.59</v>
      </c>
      <c r="I1999" s="2" t="str">
        <f>_xlfn.XLOOKUP(F1999,DeparaIMG!D:D,DeparaIMG!F:F,,0)</f>
        <v>GCAP1,5.png</v>
      </c>
    </row>
    <row r="2000" spans="1:9" x14ac:dyDescent="0.25">
      <c r="A2000" s="2" t="s">
        <v>155</v>
      </c>
      <c r="B2000" t="s">
        <v>61</v>
      </c>
      <c r="C2000" t="s">
        <v>30</v>
      </c>
      <c r="D2000" t="s">
        <v>25</v>
      </c>
      <c r="E2000">
        <v>1</v>
      </c>
      <c r="F2000" t="s">
        <v>167</v>
      </c>
      <c r="G2000">
        <v>5.99</v>
      </c>
      <c r="H2000">
        <v>5.59</v>
      </c>
      <c r="I2000" s="2" t="str">
        <f>_xlfn.XLOOKUP(F2000,DeparaIMG!D:D,DeparaIMG!F:F,,0)</f>
        <v>GCADP1,5.png</v>
      </c>
    </row>
    <row r="2001" spans="1:9" x14ac:dyDescent="0.25">
      <c r="A2001" s="2" t="s">
        <v>155</v>
      </c>
      <c r="B2001" t="s">
        <v>61</v>
      </c>
      <c r="C2001" t="s">
        <v>30</v>
      </c>
      <c r="D2001" t="s">
        <v>25</v>
      </c>
      <c r="E2001">
        <v>1</v>
      </c>
      <c r="F2001" t="s">
        <v>33</v>
      </c>
      <c r="G2001">
        <v>7.79</v>
      </c>
      <c r="H2001">
        <v>7.39</v>
      </c>
      <c r="I2001" s="2" t="str">
        <f>_xlfn.XLOOKUP(F2001,DeparaIMG!D:D,DeparaIMG!F:F,,0)</f>
        <v>PCP2.png</v>
      </c>
    </row>
    <row r="2002" spans="1:9" x14ac:dyDescent="0.25">
      <c r="A2002" s="2" t="s">
        <v>155</v>
      </c>
      <c r="B2002" t="s">
        <v>61</v>
      </c>
      <c r="C2002" t="s">
        <v>30</v>
      </c>
      <c r="D2002" t="s">
        <v>25</v>
      </c>
      <c r="E2002">
        <v>1</v>
      </c>
      <c r="F2002" t="s">
        <v>168</v>
      </c>
      <c r="G2002">
        <v>7.79</v>
      </c>
      <c r="H2002">
        <v>7.39</v>
      </c>
      <c r="I2002" s="2" t="str">
        <f>_xlfn.XLOOKUP(F2002,DeparaIMG!D:D,DeparaIMG!F:F,,0)</f>
        <v>PCBP2.png</v>
      </c>
    </row>
    <row r="2003" spans="1:9" x14ac:dyDescent="0.25">
      <c r="A2003" s="2" t="s">
        <v>155</v>
      </c>
      <c r="B2003" t="s">
        <v>61</v>
      </c>
      <c r="C2003" t="s">
        <v>30</v>
      </c>
      <c r="D2003" t="s">
        <v>25</v>
      </c>
      <c r="E2003">
        <v>1</v>
      </c>
      <c r="F2003" t="s">
        <v>42</v>
      </c>
      <c r="G2003">
        <v>7.79</v>
      </c>
      <c r="H2003">
        <v>7.29</v>
      </c>
      <c r="I2003" s="2" t="str">
        <f>_xlfn.XLOOKUP(F2003,DeparaIMG!D:D,DeparaIMG!F:F,,0)</f>
        <v>H2OHP1,5.png</v>
      </c>
    </row>
    <row r="2004" spans="1:9" x14ac:dyDescent="0.25">
      <c r="A2004" s="2" t="s">
        <v>155</v>
      </c>
      <c r="B2004" t="s">
        <v>61</v>
      </c>
      <c r="C2004" t="s">
        <v>30</v>
      </c>
      <c r="D2004" t="s">
        <v>26</v>
      </c>
      <c r="E2004">
        <v>1</v>
      </c>
      <c r="F2004" t="s">
        <v>37</v>
      </c>
      <c r="G2004">
        <v>8.49</v>
      </c>
      <c r="H2004">
        <v>7.79</v>
      </c>
      <c r="I2004" s="2" t="str">
        <f>_xlfn.XLOOKUP(F2004,DeparaIMG!D:D,DeparaIMG!F:F,,0)</f>
        <v>GCAP2.png</v>
      </c>
    </row>
    <row r="2005" spans="1:9" x14ac:dyDescent="0.25">
      <c r="A2005" s="2" t="s">
        <v>155</v>
      </c>
      <c r="B2005" t="s">
        <v>61</v>
      </c>
      <c r="C2005" t="s">
        <v>30</v>
      </c>
      <c r="D2005" t="s">
        <v>26</v>
      </c>
      <c r="E2005">
        <v>1</v>
      </c>
      <c r="F2005" t="s">
        <v>169</v>
      </c>
      <c r="G2005">
        <v>8.49</v>
      </c>
      <c r="H2005">
        <v>7.79</v>
      </c>
      <c r="I2005" s="2" t="str">
        <f>_xlfn.XLOOKUP(F2005,DeparaIMG!D:D,DeparaIMG!F:F,,0)</f>
        <v>GCADP2.png</v>
      </c>
    </row>
    <row r="2006" spans="1:9" x14ac:dyDescent="0.25">
      <c r="A2006" s="2" t="s">
        <v>155</v>
      </c>
      <c r="B2006" t="s">
        <v>61</v>
      </c>
      <c r="C2006" t="s">
        <v>30</v>
      </c>
      <c r="D2006" t="s">
        <v>25</v>
      </c>
      <c r="E2006">
        <v>2</v>
      </c>
      <c r="F2006" t="s">
        <v>37</v>
      </c>
      <c r="G2006">
        <v>8.2899999999999991</v>
      </c>
      <c r="H2006">
        <v>7.589999999999999</v>
      </c>
      <c r="I2006" s="2" t="str">
        <f>_xlfn.XLOOKUP(F2006,DeparaIMG!D:D,DeparaIMG!F:F,,0)</f>
        <v>GCAP2.png</v>
      </c>
    </row>
    <row r="2007" spans="1:9" x14ac:dyDescent="0.25">
      <c r="A2007" s="2" t="s">
        <v>155</v>
      </c>
      <c r="B2007" t="s">
        <v>61</v>
      </c>
      <c r="C2007" t="s">
        <v>30</v>
      </c>
      <c r="D2007" t="s">
        <v>25</v>
      </c>
      <c r="E2007">
        <v>2</v>
      </c>
      <c r="F2007" t="s">
        <v>169</v>
      </c>
      <c r="G2007">
        <v>8.2899999999999991</v>
      </c>
      <c r="H2007">
        <v>7.589999999999999</v>
      </c>
      <c r="I2007" s="2" t="str">
        <f>_xlfn.XLOOKUP(F2007,DeparaIMG!D:D,DeparaIMG!F:F,,0)</f>
        <v>GCADP2.png</v>
      </c>
    </row>
    <row r="2008" spans="1:9" x14ac:dyDescent="0.25">
      <c r="A2008" s="2" t="s">
        <v>155</v>
      </c>
      <c r="B2008" t="s">
        <v>61</v>
      </c>
      <c r="C2008" t="s">
        <v>30</v>
      </c>
      <c r="D2008" t="s">
        <v>26</v>
      </c>
      <c r="E2008">
        <v>2</v>
      </c>
      <c r="F2008" t="s">
        <v>32</v>
      </c>
      <c r="G2008">
        <v>6.99</v>
      </c>
      <c r="H2008">
        <v>6.69</v>
      </c>
      <c r="I2008" s="2" t="str">
        <f>_xlfn.XLOOKUP(F2008,DeparaIMG!D:D,DeparaIMG!F:F,,0)</f>
        <v>GCAP1,5.png</v>
      </c>
    </row>
    <row r="2009" spans="1:9" x14ac:dyDescent="0.25">
      <c r="A2009" s="2" t="s">
        <v>155</v>
      </c>
      <c r="B2009" t="s">
        <v>61</v>
      </c>
      <c r="C2009" t="s">
        <v>30</v>
      </c>
      <c r="D2009" t="s">
        <v>26</v>
      </c>
      <c r="E2009">
        <v>2</v>
      </c>
      <c r="F2009" t="s">
        <v>167</v>
      </c>
      <c r="G2009">
        <v>6.99</v>
      </c>
      <c r="H2009">
        <v>6.69</v>
      </c>
      <c r="I2009" s="2" t="str">
        <f>_xlfn.XLOOKUP(F2009,DeparaIMG!D:D,DeparaIMG!F:F,,0)</f>
        <v>GCADP1,5.png</v>
      </c>
    </row>
    <row r="2010" spans="1:9" x14ac:dyDescent="0.25">
      <c r="A2010" s="2" t="s">
        <v>155</v>
      </c>
      <c r="B2010" t="s">
        <v>61</v>
      </c>
      <c r="C2010" t="s">
        <v>30</v>
      </c>
      <c r="D2010" t="s">
        <v>26</v>
      </c>
      <c r="E2010">
        <v>2</v>
      </c>
      <c r="F2010" t="s">
        <v>33</v>
      </c>
      <c r="G2010">
        <v>8.2899999999999991</v>
      </c>
      <c r="H2010">
        <v>7.89</v>
      </c>
      <c r="I2010" s="2" t="str">
        <f>_xlfn.XLOOKUP(F2010,DeparaIMG!D:D,DeparaIMG!F:F,,0)</f>
        <v>PCP2.png</v>
      </c>
    </row>
    <row r="2011" spans="1:9" x14ac:dyDescent="0.25">
      <c r="A2011" s="2" t="s">
        <v>155</v>
      </c>
      <c r="B2011" t="s">
        <v>61</v>
      </c>
      <c r="C2011" t="s">
        <v>30</v>
      </c>
      <c r="D2011" t="s">
        <v>26</v>
      </c>
      <c r="E2011">
        <v>2</v>
      </c>
      <c r="F2011" t="s">
        <v>168</v>
      </c>
      <c r="G2011">
        <v>8.2899999999999991</v>
      </c>
      <c r="H2011">
        <v>7.89</v>
      </c>
      <c r="I2011" s="2" t="str">
        <f>_xlfn.XLOOKUP(F2011,DeparaIMG!D:D,DeparaIMG!F:F,,0)</f>
        <v>PCBP2.png</v>
      </c>
    </row>
    <row r="2012" spans="1:9" x14ac:dyDescent="0.25">
      <c r="A2012" s="2" t="s">
        <v>155</v>
      </c>
      <c r="B2012" t="s">
        <v>61</v>
      </c>
      <c r="C2012" t="s">
        <v>30</v>
      </c>
      <c r="D2012" t="s">
        <v>26</v>
      </c>
      <c r="E2012">
        <v>2</v>
      </c>
      <c r="F2012" t="s">
        <v>42</v>
      </c>
      <c r="G2012">
        <v>7.99</v>
      </c>
      <c r="H2012">
        <v>7.49</v>
      </c>
      <c r="I2012" s="2" t="str">
        <f>_xlfn.XLOOKUP(F2012,DeparaIMG!D:D,DeparaIMG!F:F,,0)</f>
        <v>H2OHP1,5.png</v>
      </c>
    </row>
    <row r="2013" spans="1:9" x14ac:dyDescent="0.25">
      <c r="A2013" t="s">
        <v>155</v>
      </c>
      <c r="B2013" t="s">
        <v>62</v>
      </c>
      <c r="C2013" t="s">
        <v>113</v>
      </c>
      <c r="D2013" t="s">
        <v>25</v>
      </c>
      <c r="E2013">
        <v>2</v>
      </c>
      <c r="F2013" t="s">
        <v>124</v>
      </c>
      <c r="G2013">
        <v>4.6900000000000004</v>
      </c>
      <c r="H2013">
        <v>4.3899999999999997</v>
      </c>
      <c r="I2013" s="2" t="str">
        <f>_xlfn.XLOOKUP(F2013,DeparaIMG!D:D,DeparaIMG!F:F,,0)</f>
        <v>STEPG269.png</v>
      </c>
    </row>
    <row r="2014" spans="1:9" x14ac:dyDescent="0.25">
      <c r="A2014" t="s">
        <v>155</v>
      </c>
      <c r="B2014" t="s">
        <v>62</v>
      </c>
      <c r="C2014" t="s">
        <v>113</v>
      </c>
      <c r="D2014" t="s">
        <v>26</v>
      </c>
      <c r="E2014">
        <v>2</v>
      </c>
      <c r="F2014" t="s">
        <v>124</v>
      </c>
      <c r="G2014">
        <v>4.6900000000000004</v>
      </c>
      <c r="H2014">
        <v>4.3899999999999997</v>
      </c>
      <c r="I2014" s="2" t="str">
        <f>_xlfn.XLOOKUP(F2014,DeparaIMG!D:D,DeparaIMG!F:F,,0)</f>
        <v>STEPG269.png</v>
      </c>
    </row>
    <row r="2015" spans="1:9" x14ac:dyDescent="0.25">
      <c r="A2015" t="s">
        <v>155</v>
      </c>
      <c r="B2015" t="s">
        <v>62</v>
      </c>
      <c r="C2015" t="s">
        <v>112</v>
      </c>
      <c r="D2015" t="s">
        <v>25</v>
      </c>
      <c r="E2015">
        <v>2</v>
      </c>
      <c r="F2015" t="s">
        <v>124</v>
      </c>
      <c r="G2015">
        <v>4.6900000000000004</v>
      </c>
      <c r="H2015">
        <v>4.3899999999999997</v>
      </c>
      <c r="I2015" s="2" t="str">
        <f>_xlfn.XLOOKUP(F2015,DeparaIMG!D:D,DeparaIMG!F:F,,0)</f>
        <v>STEPG269.png</v>
      </c>
    </row>
    <row r="2016" spans="1:9" x14ac:dyDescent="0.25">
      <c r="A2016" t="s">
        <v>155</v>
      </c>
      <c r="B2016" t="s">
        <v>62</v>
      </c>
      <c r="C2016" t="s">
        <v>112</v>
      </c>
      <c r="D2016" t="s">
        <v>26</v>
      </c>
      <c r="E2016">
        <v>2</v>
      </c>
      <c r="F2016" t="s">
        <v>124</v>
      </c>
      <c r="G2016">
        <v>4.6900000000000004</v>
      </c>
      <c r="H2016">
        <v>4.3899999999999997</v>
      </c>
      <c r="I2016" s="2" t="str">
        <f>_xlfn.XLOOKUP(F2016,DeparaIMG!D:D,DeparaIMG!F:F,,0)</f>
        <v>STEPG269.png</v>
      </c>
    </row>
    <row r="2017" spans="1:9" x14ac:dyDescent="0.25">
      <c r="A2017" t="s">
        <v>155</v>
      </c>
      <c r="B2017" t="s">
        <v>62</v>
      </c>
      <c r="C2017" t="s">
        <v>29</v>
      </c>
      <c r="D2017" t="s">
        <v>25</v>
      </c>
      <c r="E2017">
        <v>2</v>
      </c>
      <c r="F2017" t="s">
        <v>124</v>
      </c>
      <c r="G2017">
        <v>4.6900000000000004</v>
      </c>
      <c r="H2017">
        <v>4.3899999999999997</v>
      </c>
      <c r="I2017" s="2" t="str">
        <f>_xlfn.XLOOKUP(F2017,DeparaIMG!D:D,DeparaIMG!F:F,,0)</f>
        <v>STEPG269.png</v>
      </c>
    </row>
    <row r="2018" spans="1:9" x14ac:dyDescent="0.25">
      <c r="A2018" t="s">
        <v>155</v>
      </c>
      <c r="B2018" t="s">
        <v>62</v>
      </c>
      <c r="C2018" t="s">
        <v>29</v>
      </c>
      <c r="D2018" t="s">
        <v>26</v>
      </c>
      <c r="E2018">
        <v>2</v>
      </c>
      <c r="F2018" t="s">
        <v>124</v>
      </c>
      <c r="G2018">
        <v>4.6900000000000004</v>
      </c>
      <c r="H2018">
        <v>4.3899999999999997</v>
      </c>
      <c r="I2018" s="2" t="str">
        <f>_xlfn.XLOOKUP(F2018,DeparaIMG!D:D,DeparaIMG!F:F,,0)</f>
        <v>STEPG269.png</v>
      </c>
    </row>
    <row r="2019" spans="1:9" x14ac:dyDescent="0.25">
      <c r="A2019" t="s">
        <v>155</v>
      </c>
      <c r="B2019" t="s">
        <v>62</v>
      </c>
      <c r="C2019" t="s">
        <v>173</v>
      </c>
      <c r="D2019" t="s">
        <v>25</v>
      </c>
      <c r="E2019">
        <v>2</v>
      </c>
      <c r="F2019" t="s">
        <v>124</v>
      </c>
      <c r="G2019">
        <v>4.6900000000000004</v>
      </c>
      <c r="H2019">
        <v>4.3899999999999997</v>
      </c>
      <c r="I2019" s="2" t="str">
        <f>_xlfn.XLOOKUP(F2019,DeparaIMG!D:D,DeparaIMG!F:F,,0)</f>
        <v>STEPG269.png</v>
      </c>
    </row>
    <row r="2020" spans="1:9" x14ac:dyDescent="0.25">
      <c r="A2020" t="s">
        <v>155</v>
      </c>
      <c r="B2020" t="s">
        <v>62</v>
      </c>
      <c r="C2020" t="s">
        <v>173</v>
      </c>
      <c r="D2020" t="s">
        <v>26</v>
      </c>
      <c r="E2020">
        <v>2</v>
      </c>
      <c r="F2020" t="s">
        <v>124</v>
      </c>
      <c r="G2020">
        <v>4.6900000000000004</v>
      </c>
      <c r="H2020">
        <v>4.3899999999999997</v>
      </c>
      <c r="I2020" s="2" t="str">
        <f>_xlfn.XLOOKUP(F2020,DeparaIMG!D:D,DeparaIMG!F:F,,0)</f>
        <v>STEPG269.png</v>
      </c>
    </row>
    <row r="2021" spans="1:9" x14ac:dyDescent="0.25">
      <c r="A2021" t="s">
        <v>155</v>
      </c>
      <c r="B2021" t="s">
        <v>62</v>
      </c>
      <c r="C2021" t="s">
        <v>89</v>
      </c>
      <c r="D2021" t="s">
        <v>25</v>
      </c>
      <c r="E2021">
        <v>2</v>
      </c>
      <c r="F2021" t="s">
        <v>124</v>
      </c>
      <c r="G2021">
        <v>4.6900000000000004</v>
      </c>
      <c r="H2021">
        <v>4.3899999999999997</v>
      </c>
      <c r="I2021" s="2" t="str">
        <f>_xlfn.XLOOKUP(F2021,DeparaIMG!D:D,DeparaIMG!F:F,,0)</f>
        <v>STEPG269.png</v>
      </c>
    </row>
    <row r="2022" spans="1:9" x14ac:dyDescent="0.25">
      <c r="A2022" t="s">
        <v>155</v>
      </c>
      <c r="B2022" t="s">
        <v>62</v>
      </c>
      <c r="C2022" t="s">
        <v>89</v>
      </c>
      <c r="D2022" t="s">
        <v>26</v>
      </c>
      <c r="E2022">
        <v>2</v>
      </c>
      <c r="F2022" t="s">
        <v>124</v>
      </c>
      <c r="G2022">
        <v>4.6900000000000004</v>
      </c>
      <c r="H2022">
        <v>4.3899999999999997</v>
      </c>
      <c r="I2022" s="2" t="str">
        <f>_xlfn.XLOOKUP(F2022,DeparaIMG!D:D,DeparaIMG!F:F,,0)</f>
        <v>STEPG269.png</v>
      </c>
    </row>
    <row r="2023" spans="1:9" x14ac:dyDescent="0.25">
      <c r="A2023" t="s">
        <v>155</v>
      </c>
      <c r="B2023" t="s">
        <v>62</v>
      </c>
      <c r="C2023" t="s">
        <v>88</v>
      </c>
      <c r="D2023" t="s">
        <v>25</v>
      </c>
      <c r="E2023">
        <v>2</v>
      </c>
      <c r="F2023" t="s">
        <v>125</v>
      </c>
      <c r="G2023">
        <v>5.99</v>
      </c>
      <c r="H2023">
        <v>5.49</v>
      </c>
      <c r="I2023" s="2" t="str">
        <f>_xlfn.XLOOKUP(F2023,DeparaIMG!D:D,DeparaIMG!F:F,,0)</f>
        <v>STEPG350.png</v>
      </c>
    </row>
    <row r="2024" spans="1:9" x14ac:dyDescent="0.25">
      <c r="A2024" t="s">
        <v>155</v>
      </c>
      <c r="B2024" t="s">
        <v>62</v>
      </c>
      <c r="C2024" t="s">
        <v>88</v>
      </c>
      <c r="D2024" t="s">
        <v>26</v>
      </c>
      <c r="E2024">
        <v>2</v>
      </c>
      <c r="F2024" t="s">
        <v>125</v>
      </c>
      <c r="G2024">
        <v>5.99</v>
      </c>
      <c r="H2024">
        <v>5.49</v>
      </c>
      <c r="I2024" s="2" t="str">
        <f>_xlfn.XLOOKUP(F2024,DeparaIMG!D:D,DeparaIMG!F:F,,0)</f>
        <v>STEPG350.png</v>
      </c>
    </row>
    <row r="2025" spans="1:9" x14ac:dyDescent="0.25">
      <c r="A2025" t="s">
        <v>155</v>
      </c>
      <c r="B2025" t="s">
        <v>62</v>
      </c>
      <c r="C2025" t="s">
        <v>87</v>
      </c>
      <c r="D2025" t="s">
        <v>25</v>
      </c>
      <c r="E2025">
        <v>2</v>
      </c>
      <c r="F2025" t="s">
        <v>125</v>
      </c>
      <c r="G2025">
        <v>5.99</v>
      </c>
      <c r="H2025">
        <v>5.49</v>
      </c>
      <c r="I2025" s="2" t="str">
        <f>_xlfn.XLOOKUP(F2025,DeparaIMG!D:D,DeparaIMG!F:F,,0)</f>
        <v>STEPG350.png</v>
      </c>
    </row>
    <row r="2026" spans="1:9" x14ac:dyDescent="0.25">
      <c r="A2026" t="s">
        <v>155</v>
      </c>
      <c r="B2026" t="s">
        <v>62</v>
      </c>
      <c r="C2026" t="s">
        <v>87</v>
      </c>
      <c r="D2026" t="s">
        <v>26</v>
      </c>
      <c r="E2026">
        <v>2</v>
      </c>
      <c r="F2026" t="s">
        <v>125</v>
      </c>
      <c r="G2026">
        <v>5.99</v>
      </c>
      <c r="H2026">
        <v>5.49</v>
      </c>
      <c r="I2026" s="2" t="str">
        <f>_xlfn.XLOOKUP(F2026,DeparaIMG!D:D,DeparaIMG!F:F,,0)</f>
        <v>STEPG350.png</v>
      </c>
    </row>
  </sheetData>
  <autoFilter ref="A1:J2026" xr:uid="{34B2C8DF-4561-40B2-8E7C-6CD69559B9AE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3827-EDAF-4453-9F0C-3166EEE86952}">
  <sheetPr codeName="Sheet5"/>
  <dimension ref="A1:B6"/>
  <sheetViews>
    <sheetView workbookViewId="0">
      <selection activeCell="G17" sqref="G17"/>
    </sheetView>
  </sheetViews>
  <sheetFormatPr defaultRowHeight="15" x14ac:dyDescent="0.25"/>
  <cols>
    <col min="1" max="1" width="15.85546875" customWidth="1"/>
    <col min="2" max="2" width="8.42578125" bestFit="1" customWidth="1"/>
  </cols>
  <sheetData>
    <row r="1" spans="1:2" x14ac:dyDescent="0.25">
      <c r="A1" s="1" t="s">
        <v>11</v>
      </c>
      <c r="B1" s="1" t="s">
        <v>12</v>
      </c>
    </row>
    <row r="2" spans="1:2" x14ac:dyDescent="0.25">
      <c r="A2" s="2" t="s">
        <v>13</v>
      </c>
      <c r="B2" s="2" t="s">
        <v>98</v>
      </c>
    </row>
    <row r="3" spans="1:2" x14ac:dyDescent="0.25">
      <c r="A3" s="2" t="s">
        <v>14</v>
      </c>
      <c r="B3" s="2">
        <v>2026</v>
      </c>
    </row>
    <row r="4" spans="1:2" x14ac:dyDescent="0.25">
      <c r="A4" s="2" t="s">
        <v>15</v>
      </c>
      <c r="B4" s="2" t="s">
        <v>28</v>
      </c>
    </row>
    <row r="5" spans="1:2" x14ac:dyDescent="0.25">
      <c r="A5" s="2" t="s">
        <v>16</v>
      </c>
      <c r="B5" s="2" t="s">
        <v>17</v>
      </c>
    </row>
    <row r="6" spans="1:2" x14ac:dyDescent="0.25">
      <c r="A6" s="2" t="s">
        <v>18</v>
      </c>
      <c r="B6" s="2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DeparaIMG</vt:lpstr>
      <vt:lpstr>CALENDARIO</vt:lpstr>
      <vt:lpstr>MECANICA</vt:lpstr>
      <vt:lpstr>PRODUTOS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De Almeida Rodrigues (XB)</dc:creator>
  <cp:lastModifiedBy>GIOVANNA PEREIRA LINHARES</cp:lastModifiedBy>
  <dcterms:created xsi:type="dcterms:W3CDTF">2015-06-05T18:17:20Z</dcterms:created>
  <dcterms:modified xsi:type="dcterms:W3CDTF">2026-10-27T16:24:59Z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1cb8bb-2555-44e0-b0a8-75f202a8c9ca_Enabled">
    <vt:lpwstr>true</vt:lpwstr>
  </property>
  <property fmtid="{D5CDD505-2E9C-101B-9397-08002B2CF9AE}" pid="3" name="MSIP_Label_e01cb8bb-2555-44e0-b0a8-75f202a8c9ca_SetDate">
    <vt:lpwstr>2026-09-03T20:11:37Z</vt:lpwstr>
  </property>
  <property fmtid="{D5CDD505-2E9C-101B-9397-08002B2CF9AE}" pid="4" name="MSIP_Label_e01cb8bb-2555-44e0-b0a8-75f202a8c9ca_Method">
    <vt:lpwstr>Privileged</vt:lpwstr>
  </property>
  <property fmtid="{D5CDD505-2E9C-101B-9397-08002B2CF9AE}" pid="5" name="MSIP_Label_e01cb8bb-2555-44e0-b0a8-75f202a8c9ca_Name">
    <vt:lpwstr>ABI_Public_MIP</vt:lpwstr>
  </property>
  <property fmtid="{D5CDD505-2E9C-101B-9397-08002B2CF9AE}" pid="6" name="MSIP_Label_e01cb8bb-2555-44e0-b0a8-75f202a8c9ca_SiteId">
    <vt:lpwstr>cef04b19-7776-4a94-b89b-375c77a8f936</vt:lpwstr>
  </property>
  <property fmtid="{D5CDD505-2E9C-101B-9397-08002B2CF9AE}" pid="7" name="MSIP_Label_e01cb8bb-2555-44e0-b0a8-75f202a8c9ca_ActionId">
    <vt:lpwstr>3b904bd4-6eea-41ad-b8cd-55c7bdb7efea</vt:lpwstr>
  </property>
  <property fmtid="{D5CDD505-2E9C-101B-9397-08002B2CF9AE}" pid="8" name="MSIP_Label_e01cb8bb-2555-44e0-b0a8-75f202a8c9ca_ContentBits">
    <vt:lpwstr>0</vt:lpwstr>
  </property>
  <property fmtid="{D5CDD505-2E9C-101B-9397-08002B2CF9AE}" pid="9" name="MSIP_Label_e01cb8bb-2555-44e0-b0a8-75f202a8c9ca_Tag">
    <vt:lpwstr>10, 0, 1, 1</vt:lpwstr>
  </property>
</Properties>
</file>