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78" documentId="11_F25DC773A252ABDACC1048AAA9DA54025ADE5901" xr6:coauthVersionLast="47" xr6:coauthVersionMax="47" xr10:uidLastSave="{757B16F3-0C7C-4F1C-8843-35D053D6DCF3}"/>
  <bookViews>
    <workbookView xWindow="-120" yWindow="-120" windowWidth="29040" windowHeight="15720" activeTab="2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3" hidden="1">PRODUTOS!$A$1:$I$75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C13" i="5"/>
  <c r="C12" i="5"/>
  <c r="C11" i="5"/>
  <c r="C10" i="5"/>
  <c r="C9" i="5"/>
  <c r="C8" i="5"/>
  <c r="C7" i="5"/>
  <c r="C6" i="5"/>
  <c r="C5" i="5"/>
  <c r="C4" i="5"/>
  <c r="C3" i="5"/>
  <c r="C2" i="5"/>
  <c r="I57" i="3" l="1"/>
  <c r="I2" i="3"/>
  <c r="I61" i="3"/>
  <c r="I60" i="3"/>
  <c r="I59" i="3"/>
  <c r="I58" i="3"/>
  <c r="I6" i="3"/>
  <c r="I5" i="3"/>
  <c r="I4" i="3"/>
  <c r="I3" i="3"/>
  <c r="I66" i="3"/>
  <c r="I65" i="3"/>
  <c r="I64" i="3"/>
  <c r="I63" i="3"/>
  <c r="I62" i="3"/>
  <c r="I11" i="3"/>
  <c r="I10" i="3"/>
  <c r="I9" i="3"/>
  <c r="I8" i="3"/>
  <c r="I7" i="3"/>
  <c r="I32" i="3"/>
  <c r="I12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46" i="3"/>
  <c r="I45" i="3"/>
  <c r="I44" i="3"/>
  <c r="I43" i="3"/>
  <c r="I42" i="3"/>
  <c r="I26" i="3"/>
  <c r="I25" i="3"/>
  <c r="I24" i="3"/>
  <c r="I23" i="3"/>
  <c r="I22" i="3"/>
  <c r="I31" i="3"/>
  <c r="I30" i="3"/>
  <c r="I29" i="3"/>
  <c r="I28" i="3"/>
  <c r="I27" i="3"/>
  <c r="I41" i="3"/>
  <c r="I40" i="3"/>
  <c r="I39" i="3"/>
  <c r="I38" i="3"/>
  <c r="I37" i="3"/>
  <c r="I51" i="3"/>
  <c r="I50" i="3"/>
  <c r="I49" i="3"/>
  <c r="I48" i="3"/>
  <c r="I47" i="3"/>
  <c r="I56" i="3"/>
  <c r="I55" i="3"/>
  <c r="I54" i="3"/>
  <c r="I53" i="3"/>
  <c r="I52" i="3"/>
  <c r="I70" i="3"/>
  <c r="I69" i="3"/>
  <c r="I68" i="3"/>
  <c r="I67" i="3"/>
</calcChain>
</file>

<file path=xl/sharedStrings.xml><?xml version="1.0" encoding="utf-8"?>
<sst xmlns="http://schemas.openxmlformats.org/spreadsheetml/2006/main" count="485" uniqueCount="64">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</sst>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C13"/>
  <sheetViews>
    <sheetView workbookViewId="0">
      <selection activeCell="B1" sqref="B1"/>
    </sheetView>
  </sheetViews>
  <sheetFormatPr defaultRowHeight="15" x14ac:dyDescent="0.25"/>
  <cols>
    <col min="1" max="1" width="11.28515625" bestFit="1" customWidth="1"/>
    <col min="2" max="2" width="10.42578125" bestFit="1" customWidth="1"/>
    <col min="3" max="3" width="10.7109375" bestFit="1" customWidth="1"/>
  </cols>
  <sheetData>
    <row r="1" spans="1:3" x14ac:dyDescent="0.25">
      <c r="A1" t="s">
        <v>7</v>
      </c>
      <c r="B1" t="s">
        <v>56</v>
      </c>
      <c r="C1" t="s">
        <v>57</v>
      </c>
    </row>
    <row r="2" spans="1:3" x14ac:dyDescent="0.25">
      <c r="A2" t="s">
        <v>32</v>
      </c>
      <c r="B2" t="s">
        <v>44</v>
      </c>
      <c r="C2" t="str">
        <f>B2&amp;".png"</f>
        <v>GCAP1.png</v>
      </c>
    </row>
    <row r="3" spans="1:3" x14ac:dyDescent="0.25">
      <c r="A3" t="s">
        <v>33</v>
      </c>
      <c r="B3" t="s">
        <v>49</v>
      </c>
      <c r="C3" t="str">
        <f t="shared" ref="C3:C13" si="0">B3&amp;".png"</f>
        <v>GCAP1,5.png</v>
      </c>
    </row>
    <row r="4" spans="1:3" x14ac:dyDescent="0.25">
      <c r="A4" t="s">
        <v>34</v>
      </c>
      <c r="B4" t="s">
        <v>45</v>
      </c>
      <c r="C4" t="str">
        <f t="shared" si="0"/>
        <v>PCP2.png</v>
      </c>
    </row>
    <row r="5" spans="1:3" x14ac:dyDescent="0.25">
      <c r="A5" t="s">
        <v>35</v>
      </c>
      <c r="B5" t="s">
        <v>46</v>
      </c>
      <c r="C5" t="str">
        <f t="shared" si="0"/>
        <v>BAREP2.png</v>
      </c>
    </row>
    <row r="6" spans="1:3" x14ac:dyDescent="0.25">
      <c r="A6" t="s">
        <v>36</v>
      </c>
      <c r="B6" t="s">
        <v>50</v>
      </c>
      <c r="C6" t="str">
        <f t="shared" si="0"/>
        <v>H2OHP500.png</v>
      </c>
    </row>
    <row r="7" spans="1:3" x14ac:dyDescent="0.25">
      <c r="A7" t="s">
        <v>37</v>
      </c>
      <c r="B7" t="s">
        <v>47</v>
      </c>
      <c r="C7" t="str">
        <f t="shared" si="0"/>
        <v>SUKP2.png</v>
      </c>
    </row>
    <row r="8" spans="1:3" x14ac:dyDescent="0.25">
      <c r="A8" t="s">
        <v>38</v>
      </c>
      <c r="B8" t="s">
        <v>48</v>
      </c>
      <c r="C8" t="str">
        <f t="shared" si="0"/>
        <v>GCAP2.png</v>
      </c>
    </row>
    <row r="9" spans="1:3" x14ac:dyDescent="0.25">
      <c r="A9" t="s">
        <v>39</v>
      </c>
      <c r="B9" t="s">
        <v>51</v>
      </c>
      <c r="C9" t="str">
        <f t="shared" si="0"/>
        <v>GCA350.png</v>
      </c>
    </row>
    <row r="10" spans="1:3" x14ac:dyDescent="0.25">
      <c r="A10" t="s">
        <v>40</v>
      </c>
      <c r="B10" t="s">
        <v>54</v>
      </c>
      <c r="C10" t="str">
        <f t="shared" si="0"/>
        <v>PCB350.png</v>
      </c>
    </row>
    <row r="11" spans="1:3" x14ac:dyDescent="0.25">
      <c r="A11" t="s">
        <v>41</v>
      </c>
      <c r="B11" t="s">
        <v>52</v>
      </c>
      <c r="C11" t="str">
        <f t="shared" si="0"/>
        <v>GCA269.png</v>
      </c>
    </row>
    <row r="12" spans="1:3" x14ac:dyDescent="0.25">
      <c r="A12" t="s">
        <v>42</v>
      </c>
      <c r="B12" t="s">
        <v>53</v>
      </c>
      <c r="C12" t="str">
        <f t="shared" si="0"/>
        <v>PC269.png</v>
      </c>
    </row>
    <row r="13" spans="1:3" x14ac:dyDescent="0.25">
      <c r="A13" t="s">
        <v>43</v>
      </c>
      <c r="B13" t="s">
        <v>55</v>
      </c>
      <c r="C13" t="str">
        <f t="shared" si="0"/>
        <v>H2OHP1,5.png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"/>
  <sheetViews>
    <sheetView workbookViewId="0">
      <selection activeCell="B2" sqref="B2:B14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35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f t="shared" si="0"/>
        <v>46293</v>
      </c>
      <c r="B29" s="2" t="s">
        <v>22</v>
      </c>
    </row>
    <row r="30" spans="1:2" x14ac:dyDescent="0.25">
      <c r="A30" s="3">
        <f t="shared" si="0"/>
        <v>46294</v>
      </c>
      <c r="B30" s="2" t="s">
        <v>22</v>
      </c>
    </row>
    <row r="31" spans="1:2" x14ac:dyDescent="0.25">
      <c r="A31" s="3">
        <f t="shared" si="0"/>
        <v>46295</v>
      </c>
      <c r="B31" s="2" t="s">
        <v>22</v>
      </c>
    </row>
    <row r="32" spans="1:2" x14ac:dyDescent="0.25">
      <c r="A32" s="3">
        <f t="shared" si="0"/>
        <v>46296</v>
      </c>
      <c r="B32" s="2" t="s">
        <v>22</v>
      </c>
    </row>
    <row r="33" spans="1:2" x14ac:dyDescent="0.25">
      <c r="A33" s="3">
        <f t="shared" si="0"/>
        <v>46297</v>
      </c>
      <c r="B33" s="2" t="s">
        <v>22</v>
      </c>
    </row>
    <row r="34" spans="1:2" x14ac:dyDescent="0.25">
      <c r="A34" s="3">
        <f t="shared" si="0"/>
        <v>46298</v>
      </c>
      <c r="B34" s="2" t="s">
        <v>22</v>
      </c>
    </row>
    <row r="35" spans="1:2" x14ac:dyDescent="0.25">
      <c r="A35" s="3">
        <f t="shared" si="0"/>
        <v>46299</v>
      </c>
      <c r="B35" s="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8"/>
  <sheetViews>
    <sheetView tabSelected="1" workbookViewId="0">
      <selection activeCell="H16" sqref="H1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x14ac:dyDescent="0.25">
      <c r="A8" s="2" t="s">
        <v>11</v>
      </c>
      <c r="B8" s="2" t="s">
        <v>63</v>
      </c>
      <c r="C8" s="2" t="s">
        <v>25</v>
      </c>
      <c r="D8" s="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76"/>
  <sheetViews>
    <sheetView workbookViewId="0">
      <selection activeCell="B1" sqref="B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</row>
    <row r="2" spans="1:9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_xlfn.XLOOKUP(F2,DeparaIMG!A:A,DeparaIMG!C:C,,0)</f>
        <v>GCAP1.png</v>
      </c>
    </row>
    <row r="3" spans="1:9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_xlfn.XLOOKUP(F3,DeparaIMG!A:A,DeparaIMG!C:C,,0)</f>
        <v>GCAP1,5.png</v>
      </c>
    </row>
    <row r="4" spans="1:9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_xlfn.XLOOKUP(F4,DeparaIMG!A:A,DeparaIMG!C:C,,0)</f>
        <v>GCAP1,5.png</v>
      </c>
    </row>
    <row r="5" spans="1:9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_xlfn.XLOOKUP(F5,DeparaIMG!A:A,DeparaIMG!C:C,,0)</f>
        <v>GCAP1,5.png</v>
      </c>
    </row>
    <row r="6" spans="1:9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_xlfn.XLOOKUP(F6,DeparaIMG!A:A,DeparaIMG!C:C,,0)</f>
        <v>GCAP1,5.png</v>
      </c>
    </row>
    <row r="7" spans="1:9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_xlfn.XLOOKUP(F7,DeparaIMG!A:A,DeparaIMG!C:C,,0)</f>
        <v>PCP2.png</v>
      </c>
    </row>
    <row r="8" spans="1:9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_xlfn.XLOOKUP(F8,DeparaIMG!A:A,DeparaIMG!C:C,,0)</f>
        <v>PCP2.png</v>
      </c>
    </row>
    <row r="9" spans="1:9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_xlfn.XLOOKUP(F9,DeparaIMG!A:A,DeparaIMG!C:C,,0)</f>
        <v>PCP2.png</v>
      </c>
    </row>
    <row r="10" spans="1:9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_xlfn.XLOOKUP(F10,DeparaIMG!A:A,DeparaIMG!C:C,,0)</f>
        <v>PCP2.png</v>
      </c>
    </row>
    <row r="11" spans="1:9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_xlfn.XLOOKUP(F11,DeparaIMG!A:A,DeparaIMG!C:C,,0)</f>
        <v>PCP2.png</v>
      </c>
    </row>
    <row r="12" spans="1:9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_xlfn.XLOOKUP(F12,DeparaIMG!A:A,DeparaIMG!C:C,,0)</f>
        <v>BAREP2.png</v>
      </c>
    </row>
    <row r="13" spans="1:9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_xlfn.XLOOKUP(F13,DeparaIMG!A:A,DeparaIMG!C:C,,0)</f>
        <v>H2OHP500.png</v>
      </c>
    </row>
    <row r="14" spans="1:9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_xlfn.XLOOKUP(F14,DeparaIMG!A:A,DeparaIMG!C:C,,0)</f>
        <v>H2OHP500.png</v>
      </c>
    </row>
    <row r="15" spans="1:9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_xlfn.XLOOKUP(F15,DeparaIMG!A:A,DeparaIMG!C:C,,0)</f>
        <v>H2OHP500.png</v>
      </c>
    </row>
    <row r="16" spans="1:9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_xlfn.XLOOKUP(F16,DeparaIMG!A:A,DeparaIMG!C:C,,0)</f>
        <v>H2OHP500.png</v>
      </c>
    </row>
    <row r="17" spans="1:9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_xlfn.XLOOKUP(F17,DeparaIMG!A:A,DeparaIMG!C:C,,0)</f>
        <v>SUKP2.png</v>
      </c>
    </row>
    <row r="18" spans="1:9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_xlfn.XLOOKUP(F18,DeparaIMG!A:A,DeparaIMG!C:C,,0)</f>
        <v>SUKP2.png</v>
      </c>
    </row>
    <row r="19" spans="1:9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_xlfn.XLOOKUP(F19,DeparaIMG!A:A,DeparaIMG!C:C,,0)</f>
        <v>SUKP2.png</v>
      </c>
    </row>
    <row r="20" spans="1:9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_xlfn.XLOOKUP(F20,DeparaIMG!A:A,DeparaIMG!C:C,,0)</f>
        <v>SUKP2.png</v>
      </c>
    </row>
    <row r="21" spans="1:9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_xlfn.XLOOKUP(F21,DeparaIMG!A:A,DeparaIMG!C:C,,0)</f>
        <v>SUKP2.png</v>
      </c>
    </row>
    <row r="22" spans="1:9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_xlfn.XLOOKUP(F22,DeparaIMG!A:A,DeparaIMG!C:C,,0)</f>
        <v>GCAP2.png</v>
      </c>
    </row>
    <row r="23" spans="1:9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_xlfn.XLOOKUP(F23,DeparaIMG!A:A,DeparaIMG!C:C,,0)</f>
        <v>GCAP2.png</v>
      </c>
    </row>
    <row r="24" spans="1:9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7.7899999999999991</v>
      </c>
      <c r="I24" s="2" t="str">
        <f>_xlfn.XLOOKUP(F24,DeparaIMG!A:A,DeparaIMG!C:C,,0)</f>
        <v>GCAP2.png</v>
      </c>
    </row>
    <row r="25" spans="1:9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7.7899999999999991</v>
      </c>
      <c r="I25" s="2" t="str">
        <f>_xlfn.XLOOKUP(F25,DeparaIMG!A:A,DeparaIMG!C:C,,0)</f>
        <v>GCAP2.png</v>
      </c>
    </row>
    <row r="26" spans="1:9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_xlfn.XLOOKUP(F26,DeparaIMG!A:A,DeparaIMG!C:C,,0)</f>
        <v>GCAP2.png</v>
      </c>
    </row>
    <row r="27" spans="1:9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3.1900000000000004</v>
      </c>
      <c r="I27" s="2" t="str">
        <f>_xlfn.XLOOKUP(F27,DeparaIMG!A:A,DeparaIMG!C:C,,0)</f>
        <v>GCA350.png</v>
      </c>
    </row>
    <row r="28" spans="1:9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3.1900000000000004</v>
      </c>
      <c r="I28" s="2" t="str">
        <f>_xlfn.XLOOKUP(F28,DeparaIMG!A:A,DeparaIMG!C:C,,0)</f>
        <v>GCA350.png</v>
      </c>
    </row>
    <row r="29" spans="1:9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3.1900000000000004</v>
      </c>
      <c r="I29" s="2" t="str">
        <f>_xlfn.XLOOKUP(F29,DeparaIMG!A:A,DeparaIMG!C:C,,0)</f>
        <v>GCA350.png</v>
      </c>
    </row>
    <row r="30" spans="1:9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3.1900000000000004</v>
      </c>
      <c r="I30" s="2" t="str">
        <f>_xlfn.XLOOKUP(F30,DeparaIMG!A:A,DeparaIMG!C:C,,0)</f>
        <v>GCA350.png</v>
      </c>
    </row>
    <row r="31" spans="1:9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3.1900000000000004</v>
      </c>
      <c r="I31" s="2" t="str">
        <f>_xlfn.XLOOKUP(F31,DeparaIMG!A:A,DeparaIMG!C:C,,0)</f>
        <v>GCA350.png</v>
      </c>
    </row>
    <row r="32" spans="1:9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_xlfn.XLOOKUP(F32,DeparaIMG!A:A,DeparaIMG!C:C,,0)</f>
        <v>BAREP2.png</v>
      </c>
    </row>
    <row r="33" spans="1:9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_xlfn.XLOOKUP(F33,DeparaIMG!A:A,DeparaIMG!C:C,,0)</f>
        <v>H2OHP500.png</v>
      </c>
    </row>
    <row r="34" spans="1:9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_xlfn.XLOOKUP(F34,DeparaIMG!A:A,DeparaIMG!C:C,,0)</f>
        <v>H2OHP500.png</v>
      </c>
    </row>
    <row r="35" spans="1:9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_xlfn.XLOOKUP(F35,DeparaIMG!A:A,DeparaIMG!C:C,,0)</f>
        <v>H2OHP500.png</v>
      </c>
    </row>
    <row r="36" spans="1:9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_xlfn.XLOOKUP(F36,DeparaIMG!A:A,DeparaIMG!C:C,,0)</f>
        <v>H2OHP500.png</v>
      </c>
    </row>
    <row r="37" spans="1:9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_xlfn.XLOOKUP(F37,DeparaIMG!A:A,DeparaIMG!C:C,,0)</f>
        <v>PCB350.png</v>
      </c>
    </row>
    <row r="38" spans="1:9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_xlfn.XLOOKUP(F38,DeparaIMG!A:A,DeparaIMG!C:C,,0)</f>
        <v>PCB350.png</v>
      </c>
    </row>
    <row r="39" spans="1:9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_xlfn.XLOOKUP(F39,DeparaIMG!A:A,DeparaIMG!C:C,,0)</f>
        <v>PCB350.png</v>
      </c>
    </row>
    <row r="40" spans="1:9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_xlfn.XLOOKUP(F40,DeparaIMG!A:A,DeparaIMG!C:C,,0)</f>
        <v>PCB350.png</v>
      </c>
    </row>
    <row r="41" spans="1:9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_xlfn.XLOOKUP(F41,DeparaIMG!A:A,DeparaIMG!C:C,,0)</f>
        <v>PCB350.png</v>
      </c>
    </row>
    <row r="42" spans="1:9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_xlfn.XLOOKUP(F42,DeparaIMG!A:A,DeparaIMG!C:C,,0)</f>
        <v>GCAP2.png</v>
      </c>
    </row>
    <row r="43" spans="1:9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_xlfn.XLOOKUP(F43,DeparaIMG!A:A,DeparaIMG!C:C,,0)</f>
        <v>GCAP2.png</v>
      </c>
    </row>
    <row r="44" spans="1:9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_xlfn.XLOOKUP(F44,DeparaIMG!A:A,DeparaIMG!C:C,,0)</f>
        <v>GCAP2.png</v>
      </c>
    </row>
    <row r="45" spans="1:9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_xlfn.XLOOKUP(F45,DeparaIMG!A:A,DeparaIMG!C:C,,0)</f>
        <v>GCAP2.png</v>
      </c>
    </row>
    <row r="46" spans="1:9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_xlfn.XLOOKUP(F46,DeparaIMG!A:A,DeparaIMG!C:C,,0)</f>
        <v>GCAP2.png</v>
      </c>
    </row>
    <row r="47" spans="1:9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_xlfn.XLOOKUP(F47,DeparaIMG!A:A,DeparaIMG!C:C,,0)</f>
        <v>GCA269.png</v>
      </c>
    </row>
    <row r="48" spans="1:9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_xlfn.XLOOKUP(F48,DeparaIMG!A:A,DeparaIMG!C:C,,0)</f>
        <v>GCA269.png</v>
      </c>
    </row>
    <row r="49" spans="1:9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_xlfn.XLOOKUP(F49,DeparaIMG!A:A,DeparaIMG!C:C,,0)</f>
        <v>GCA269.png</v>
      </c>
    </row>
    <row r="50" spans="1:9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_xlfn.XLOOKUP(F50,DeparaIMG!A:A,DeparaIMG!C:C,,0)</f>
        <v>GCA269.png</v>
      </c>
    </row>
    <row r="51" spans="1:9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_xlfn.XLOOKUP(F51,DeparaIMG!A:A,DeparaIMG!C:C,,0)</f>
        <v>GCA269.png</v>
      </c>
    </row>
    <row r="52" spans="1:9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_xlfn.XLOOKUP(F52,DeparaIMG!A:A,DeparaIMG!C:C,,0)</f>
        <v>PC269.png</v>
      </c>
    </row>
    <row r="53" spans="1:9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_xlfn.XLOOKUP(F53,DeparaIMG!A:A,DeparaIMG!C:C,,0)</f>
        <v>PC269.png</v>
      </c>
    </row>
    <row r="54" spans="1:9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_xlfn.XLOOKUP(F54,DeparaIMG!A:A,DeparaIMG!C:C,,0)</f>
        <v>PC269.png</v>
      </c>
    </row>
    <row r="55" spans="1:9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_xlfn.XLOOKUP(F55,DeparaIMG!A:A,DeparaIMG!C:C,,0)</f>
        <v>PC269.png</v>
      </c>
    </row>
    <row r="56" spans="1:9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_xlfn.XLOOKUP(F56,DeparaIMG!A:A,DeparaIMG!C:C,,0)</f>
        <v>PC269.png</v>
      </c>
    </row>
    <row r="57" spans="1:9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_xlfn.XLOOKUP(F57,DeparaIMG!A:A,DeparaIMG!C:C,,0)</f>
        <v>GCAP1.png</v>
      </c>
    </row>
    <row r="58" spans="1:9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_xlfn.XLOOKUP(F58,DeparaIMG!A:A,DeparaIMG!C:C,,0)</f>
        <v>GCAP1,5.png</v>
      </c>
    </row>
    <row r="59" spans="1:9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_xlfn.XLOOKUP(F59,DeparaIMG!A:A,DeparaIMG!C:C,,0)</f>
        <v>GCAP1,5.png</v>
      </c>
    </row>
    <row r="60" spans="1:9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_xlfn.XLOOKUP(F60,DeparaIMG!A:A,DeparaIMG!C:C,,0)</f>
        <v>GCAP1,5.png</v>
      </c>
    </row>
    <row r="61" spans="1:9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_xlfn.XLOOKUP(F61,DeparaIMG!A:A,DeparaIMG!C:C,,0)</f>
        <v>GCAP1,5.png</v>
      </c>
    </row>
    <row r="62" spans="1:9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_xlfn.XLOOKUP(F62,DeparaIMG!A:A,DeparaIMG!C:C,,0)</f>
        <v>PCP2.png</v>
      </c>
    </row>
    <row r="63" spans="1:9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_xlfn.XLOOKUP(F63,DeparaIMG!A:A,DeparaIMG!C:C,,0)</f>
        <v>PCP2.png</v>
      </c>
    </row>
    <row r="64" spans="1:9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_xlfn.XLOOKUP(F64,DeparaIMG!A:A,DeparaIMG!C:C,,0)</f>
        <v>PCP2.png</v>
      </c>
    </row>
    <row r="65" spans="1:9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_xlfn.XLOOKUP(F65,DeparaIMG!A:A,DeparaIMG!C:C,,0)</f>
        <v>PCP2.png</v>
      </c>
    </row>
    <row r="66" spans="1:9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_xlfn.XLOOKUP(F66,DeparaIMG!A:A,DeparaIMG!C:C,,0)</f>
        <v>PCP2.png</v>
      </c>
    </row>
    <row r="67" spans="1:9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_xlfn.XLOOKUP(F67,DeparaIMG!A:A,DeparaIMG!C:C,,0)</f>
        <v>H2OHP1,5.png</v>
      </c>
    </row>
    <row r="68" spans="1:9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_xlfn.XLOOKUP(F68,DeparaIMG!A:A,DeparaIMG!C:C,,0)</f>
        <v>H2OHP1,5.png</v>
      </c>
    </row>
    <row r="69" spans="1:9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_xlfn.XLOOKUP(F69,DeparaIMG!A:A,DeparaIMG!C:C,,0)</f>
        <v>H2OHP1,5.png</v>
      </c>
    </row>
    <row r="70" spans="1:9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_xlfn.XLOOKUP(F70,DeparaIMG!A:A,DeparaIMG!C:C,,0)</f>
        <v>H2OHP1,5.png</v>
      </c>
    </row>
    <row r="71" spans="1:9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_xlfn.XLOOKUP(F71,DeparaIMG!A:A,DeparaIMG!C:C,,0)</f>
        <v>SUKP2.png</v>
      </c>
    </row>
    <row r="72" spans="1:9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_xlfn.XLOOKUP(F72,DeparaIMG!A:A,DeparaIMG!C:C,,0)</f>
        <v>SUKP2.png</v>
      </c>
    </row>
    <row r="73" spans="1:9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_xlfn.XLOOKUP(F73,DeparaIMG!A:A,DeparaIMG!C:C,,0)</f>
        <v>SUKP2.png</v>
      </c>
    </row>
    <row r="74" spans="1:9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_xlfn.XLOOKUP(F74,DeparaIMG!A:A,DeparaIMG!C:C,,0)</f>
        <v>SUKP2.png</v>
      </c>
    </row>
    <row r="75" spans="1:9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_xlfn.XLOOKUP(F75,DeparaIMG!A:A,DeparaIMG!C:C,,0)</f>
        <v>SUKP2.png</v>
      </c>
    </row>
    <row r="76" spans="1:9" x14ac:dyDescent="0.25">
      <c r="E76" s="2"/>
    </row>
  </sheetData>
  <autoFilter ref="A1:I7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2026-09-09T15:56:46Z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