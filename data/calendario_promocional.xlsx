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64" documentId="13_ncr:1_{B92F5DA4-8825-4FA1-97C6-23568D76854D}" xr6:coauthVersionLast="47" xr6:coauthVersionMax="47" xr10:uidLastSave="{EA481E14-D7EB-431D-8ADD-442D5928C475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DeparaIMG!$A$1:$D$49</definedName>
    <definedName name="_xlnm._FilterDatabase" localSheetId="2" hidden="1">MECANICA!$A$1:$D$49</definedName>
    <definedName name="_xlnm._FilterDatabase" localSheetId="3" hidden="1">PRODUTOS!$A$1:$I$1239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5" l="1"/>
  <c r="D53" i="5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<sst xmlns="http://schemas.openxmlformats.org/spreadsheetml/2006/main" count="7425" uniqueCount="133">
  <si>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</si>
  <si>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</si>
  <si>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</si>
  <si>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</si>
  <si>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</si>
  <si>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</si>
  <si>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</si>
  <si>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</si>
  <si>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</si>
  <si>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</si>
  <si>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</si>
  <si>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</si>
  <si>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</si>
  <si>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</si>
  <si>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</si>
  <si>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</si>
  <si>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</si>
  <si>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</si>
  <si>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</si>
  <si>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</si>
  <si>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</si>
  <si>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</si>
  <si>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</si>
  <si>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</si>
  <si>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</si>
  <si>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</si>
  <si>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</si>
  <si>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</si>
  <si>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</si>
  <si>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</si>
  <si>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</si>
  <si>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</si>
  <si>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</si>
  <si>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</si>
  <si>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</si>
  <si>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</si>
  <si>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</si>
  <si>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</si>
  <si>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</si>
  <si>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</si>
  <si>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</si>
  <si>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</si>
  <si>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</si>
  <si>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</si>
  <si>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</si>
  <si>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</si>
  <si>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</si>
  <si>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</si>
  <si>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</si>
  <si>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</si>
  <si>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</si>
  <si>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</si>
  <si>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</si>
  <si>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</si>
  <si>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</si>
  <si>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</si>
  <si>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</si>
  <si>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</si>
  <si>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</si>
  <si>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</si>
  <si>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</si>
  <si>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</si>
  <si>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</si>
  <si>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</si>
  <si>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</si>
  <si>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</si>
  <si>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</si>
  <si>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</si>
  <si>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</si>
  <si>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</si>
  <si>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</si>
  <si>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</si>
  <si>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</si>
  <si>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</si>
  <si>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</si>
  <si>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</si>
  <si>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</si>
  <si>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</si>
  <si>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</si>
  <si>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</si>
  <si>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</si>
  <si>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</si>
  <si>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</si>
  <si>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</si>
  <si>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</si>
  <si>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</si>
  <si>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</si>
  <si>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</si>
  <si>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</si>
  <si>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</si>
  <si>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</si>
  <si>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</si>
  <si>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</si>
  <si>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</si>
  <si>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</si>
  <si>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</si>
  <si>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</si>
  <si>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</si>
  <si>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</si>
  <si>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</si>
  <si>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</si>
  <si>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</si>
  <si>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</si>
  <si>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</si>
  <si>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</si>
  <si>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</si>
  <si>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</si>
  <si>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</si>
  <si>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</si>
  <si>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</si>
  <si>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</si>
  <si>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</si>
  <si>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</si>
  <si>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</si>
  <si>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</si>
  <si>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</si>
  <si>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</si>
  <si>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</si>
  <si>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</si>
  <si>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</si>
  <si>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</si>
  <si>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</si>
  <si>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</si>
  <si>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Teste</t>
  </si>
  <si>
    <t>STEPG269</t>
  </si>
  <si>
    <t>STE PG 269</t>
  </si>
  <si>
    <t>STE PG 350</t>
  </si>
  <si>
    <t>STEPG350</t>
  </si>
  <si>
    <t>MERCAPROMO</t>
  </si>
  <si>
    <t>MercaCO</t>
  </si>
  <si>
    <t>MercaFORT</t>
  </si>
  <si>
    <t>Merca/MercaCO</t>
  </si>
  <si>
    <t>Merca/MercaFORT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</si>
</sst>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3"/>
  <sheetViews>
    <sheetView topLeftCell="A14" workbookViewId="0">
      <selection activeCell="D53" sqref="D53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125</v>
      </c>
      <c r="C50" t="s">
        <v>124</v>
      </c>
      <c r="D50" t="str">
        <f t="shared" ref="D50:D53" si="3">C50&amp;".png"</f>
        <v>STEPG269.png</v>
      </c>
    </row>
    <row r="51" spans="1:4" x14ac:dyDescent="0.25">
      <c r="A51" t="s">
        <v>62</v>
      </c>
      <c r="B51" t="s">
        <v>126</v>
      </c>
      <c r="C51" t="s">
        <v>127</v>
      </c>
      <c r="D51" t="str">
        <f t="shared" si="3"/>
        <v>STEPG350.png</v>
      </c>
    </row>
    <row r="52" spans="1:4" x14ac:dyDescent="0.25">
      <c r="A52" t="s">
        <v>128</v>
      </c>
      <c r="B52" t="s">
        <v>129</v>
      </c>
      <c r="C52" t="s">
        <v>131</v>
      </c>
      <c r="D52" t="str">
        <f>C52&amp;".png"</f>
        <v>Merca/MercaCO.png</v>
      </c>
    </row>
    <row r="53" spans="1:4" x14ac:dyDescent="0.25">
      <c r="A53" t="s">
        <v>128</v>
      </c>
      <c r="B53" t="s">
        <v>130</v>
      </c>
      <c r="C53" t="s">
        <v>132</v>
      </c>
      <c r="D53" t="str">
        <f t="shared" si="3"/>
        <v>Merca/MercaFORT.png</v>
      </c>
    </row>
  </sheetData>
  <autoFilter ref="A1:D49" xr:uid="{C0BF5819-473C-445D-A53D-FC51ACB237C6}"/>
  <conditionalFormatting sqref="C1:C51 C54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33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128</v>
      </c>
      <c r="B467" s="3">
        <v>46296</v>
      </c>
      <c r="C467" s="2" t="s">
        <v>20</v>
      </c>
    </row>
    <row r="468" spans="1:3" x14ac:dyDescent="0.25">
      <c r="A468" t="s">
        <v>128</v>
      </c>
      <c r="B468" s="3">
        <v>46297</v>
      </c>
      <c r="C468" s="2" t="s">
        <v>20</v>
      </c>
    </row>
    <row r="469" spans="1:3" x14ac:dyDescent="0.25">
      <c r="A469" t="s">
        <v>128</v>
      </c>
      <c r="B469" s="3">
        <v>46298</v>
      </c>
      <c r="C469" s="2" t="s">
        <v>20</v>
      </c>
    </row>
    <row r="470" spans="1:3" x14ac:dyDescent="0.25">
      <c r="A470" t="s">
        <v>128</v>
      </c>
      <c r="B470" s="3">
        <v>46299</v>
      </c>
      <c r="C470" s="2" t="s">
        <v>20</v>
      </c>
    </row>
    <row r="471" spans="1:3" x14ac:dyDescent="0.25">
      <c r="A471" t="s">
        <v>128</v>
      </c>
      <c r="B471" s="3">
        <v>46300</v>
      </c>
      <c r="C471" s="2" t="s">
        <v>20</v>
      </c>
    </row>
    <row r="472" spans="1:3" x14ac:dyDescent="0.25">
      <c r="A472" t="s">
        <v>128</v>
      </c>
      <c r="B472" s="3">
        <v>46301</v>
      </c>
      <c r="C472" s="2" t="s">
        <v>20</v>
      </c>
    </row>
    <row r="473" spans="1:3" x14ac:dyDescent="0.25">
      <c r="A473" t="s">
        <v>128</v>
      </c>
      <c r="B473" s="3">
        <v>46302</v>
      </c>
      <c r="C473" s="2" t="s">
        <v>20</v>
      </c>
    </row>
    <row r="474" spans="1:3" x14ac:dyDescent="0.25">
      <c r="A474" t="s">
        <v>128</v>
      </c>
      <c r="B474" s="3">
        <v>46303</v>
      </c>
      <c r="C474" s="2" t="s">
        <v>20</v>
      </c>
    </row>
    <row r="475" spans="1:3" x14ac:dyDescent="0.25">
      <c r="A475" t="s">
        <v>128</v>
      </c>
      <c r="B475" s="3">
        <v>46304</v>
      </c>
      <c r="C475" s="2" t="s">
        <v>20</v>
      </c>
    </row>
    <row r="476" spans="1:3" x14ac:dyDescent="0.25">
      <c r="A476" t="s">
        <v>128</v>
      </c>
      <c r="B476" s="3">
        <v>46305</v>
      </c>
      <c r="C476" s="2" t="s">
        <v>20</v>
      </c>
    </row>
    <row r="477" spans="1:3" x14ac:dyDescent="0.25">
      <c r="A477" t="s">
        <v>128</v>
      </c>
      <c r="B477" s="3">
        <v>46306</v>
      </c>
      <c r="C477" s="2" t="s">
        <v>20</v>
      </c>
    </row>
    <row r="478" spans="1:3" x14ac:dyDescent="0.25">
      <c r="A478" t="s">
        <v>128</v>
      </c>
      <c r="B478" s="3">
        <v>46307</v>
      </c>
      <c r="C478" s="2" t="s">
        <v>20</v>
      </c>
    </row>
    <row r="479" spans="1:3" x14ac:dyDescent="0.25">
      <c r="A479" t="s">
        <v>128</v>
      </c>
      <c r="B479" s="3">
        <v>46308</v>
      </c>
      <c r="C479" s="2" t="s">
        <v>21</v>
      </c>
    </row>
    <row r="480" spans="1:3" x14ac:dyDescent="0.25">
      <c r="A480" t="s">
        <v>128</v>
      </c>
      <c r="B480" s="3">
        <v>46309</v>
      </c>
      <c r="C480" s="2" t="s">
        <v>21</v>
      </c>
    </row>
    <row r="481" spans="1:3" x14ac:dyDescent="0.25">
      <c r="A481" t="s">
        <v>128</v>
      </c>
      <c r="B481" s="3">
        <v>46310</v>
      </c>
      <c r="C481" s="2" t="s">
        <v>21</v>
      </c>
    </row>
    <row r="482" spans="1:3" x14ac:dyDescent="0.25">
      <c r="A482" t="s">
        <v>128</v>
      </c>
      <c r="B482" s="3">
        <v>46311</v>
      </c>
      <c r="C482" s="2" t="s">
        <v>21</v>
      </c>
    </row>
    <row r="483" spans="1:3" x14ac:dyDescent="0.25">
      <c r="A483" t="s">
        <v>128</v>
      </c>
      <c r="B483" s="3">
        <v>46312</v>
      </c>
      <c r="C483" s="2" t="s">
        <v>21</v>
      </c>
    </row>
    <row r="484" spans="1:3" x14ac:dyDescent="0.25">
      <c r="A484" t="s">
        <v>128</v>
      </c>
      <c r="B484" s="3">
        <v>46313</v>
      </c>
      <c r="C484" s="2" t="s">
        <v>21</v>
      </c>
    </row>
    <row r="485" spans="1:3" x14ac:dyDescent="0.25">
      <c r="A485" t="s">
        <v>128</v>
      </c>
      <c r="B485" s="3">
        <v>46314</v>
      </c>
      <c r="C485" s="2" t="s">
        <v>21</v>
      </c>
    </row>
    <row r="486" spans="1:3" x14ac:dyDescent="0.25">
      <c r="A486" t="s">
        <v>128</v>
      </c>
      <c r="B486" s="3">
        <v>46315</v>
      </c>
      <c r="C486" s="2" t="s">
        <v>21</v>
      </c>
    </row>
    <row r="487" spans="1:3" x14ac:dyDescent="0.25">
      <c r="A487" t="s">
        <v>128</v>
      </c>
      <c r="B487" s="3">
        <v>46316</v>
      </c>
      <c r="C487" s="2" t="s">
        <v>21</v>
      </c>
    </row>
    <row r="488" spans="1:3" x14ac:dyDescent="0.25">
      <c r="A488" t="s">
        <v>128</v>
      </c>
      <c r="B488" s="3">
        <v>46317</v>
      </c>
      <c r="C488" s="2" t="s">
        <v>21</v>
      </c>
    </row>
    <row r="489" spans="1:3" x14ac:dyDescent="0.25">
      <c r="A489" t="s">
        <v>128</v>
      </c>
      <c r="B489" s="3">
        <v>46318</v>
      </c>
      <c r="C489" s="2" t="s">
        <v>21</v>
      </c>
    </row>
    <row r="490" spans="1:3" x14ac:dyDescent="0.25">
      <c r="A490" t="s">
        <v>128</v>
      </c>
      <c r="B490" s="3">
        <v>46319</v>
      </c>
      <c r="C490" s="2" t="s">
        <v>21</v>
      </c>
    </row>
    <row r="491" spans="1:3" x14ac:dyDescent="0.25">
      <c r="A491" t="s">
        <v>128</v>
      </c>
      <c r="B491" s="3">
        <v>46320</v>
      </c>
      <c r="C491" s="2" t="s">
        <v>21</v>
      </c>
    </row>
    <row r="492" spans="1:3" x14ac:dyDescent="0.25">
      <c r="A492" t="s">
        <v>128</v>
      </c>
      <c r="B492" s="5">
        <v>46321</v>
      </c>
      <c r="C492" s="2" t="s">
        <v>21</v>
      </c>
    </row>
    <row r="493" spans="1:3" x14ac:dyDescent="0.25">
      <c r="A493" t="s">
        <v>128</v>
      </c>
      <c r="B493" s="5">
        <v>46322</v>
      </c>
      <c r="C493" s="2" t="s">
        <v>21</v>
      </c>
    </row>
    <row r="494" spans="1:3" x14ac:dyDescent="0.25">
      <c r="A494" t="s">
        <v>128</v>
      </c>
      <c r="B494" s="5">
        <v>46323</v>
      </c>
      <c r="C494" s="2" t="s">
        <v>21</v>
      </c>
    </row>
    <row r="495" spans="1:3" x14ac:dyDescent="0.25">
      <c r="A495" t="s">
        <v>128</v>
      </c>
      <c r="B495" s="5">
        <v>46324</v>
      </c>
      <c r="C495" s="2" t="s">
        <v>21</v>
      </c>
    </row>
    <row r="496" spans="1:3" x14ac:dyDescent="0.25">
      <c r="A496" t="s">
        <v>128</v>
      </c>
      <c r="B496" s="5">
        <v>46325</v>
      </c>
      <c r="C496" s="2" t="s">
        <v>21</v>
      </c>
    </row>
    <row r="497" spans="1:3" x14ac:dyDescent="0.25">
      <c r="A497" t="s">
        <v>128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B1" sqref="B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39"/>
  <sheetViews>
    <sheetView tabSelected="1" topLeftCell="A1211" workbookViewId="0">
      <selection activeCell="I1240" sqref="A1240:XFD1241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x14ac:dyDescent="0.25">
      <c r="A1221" s="2" t="s">
        <v>98</v>
      </c>
      <c r="B1221" s="2" t="s">
        <v>62</v>
      </c>
      <c r="C1221" t="s">
        <v>123</v>
      </c>
      <c r="D1221" t="s">
        <v>25</v>
      </c>
      <c r="E1221" s="2">
        <v>1</v>
      </c>
      <c r="F1221" t="s">
        <v>67</v>
      </c>
      <c r="G1221">
        <v>3.29</v>
      </c>
      <c r="H1221">
        <v>2.99</v>
      </c>
      <c r="I1221" s="2" t="str">
        <f>_xlfn.XLOOKUP(F1221,DeparaIMG!B:B,DeparaIMG!D:D,,0)</f>
        <v>AP269.png</v>
      </c>
    </row>
    <row r="1222" spans="1:9" x14ac:dyDescent="0.25">
      <c r="A1222" s="2" t="s">
        <v>98</v>
      </c>
      <c r="B1222" s="2" t="s">
        <v>62</v>
      </c>
      <c r="C1222" t="s">
        <v>123</v>
      </c>
      <c r="D1222" t="s">
        <v>25</v>
      </c>
      <c r="E1222" s="2">
        <v>2</v>
      </c>
      <c r="F1222" t="s">
        <v>63</v>
      </c>
      <c r="G1222">
        <v>3.19</v>
      </c>
      <c r="H1222">
        <v>2.99</v>
      </c>
      <c r="I1222" s="2" t="str">
        <f>_xlfn.XLOOKUP(F1222,DeparaIMG!B:B,DeparaIMG!D:D,,0)</f>
        <v>SKZERO269.png</v>
      </c>
    </row>
    <row r="1223" spans="1:9" x14ac:dyDescent="0.25">
      <c r="A1223" s="2" t="s">
        <v>98</v>
      </c>
      <c r="B1223" s="2" t="s">
        <v>62</v>
      </c>
      <c r="C1223" t="s">
        <v>123</v>
      </c>
      <c r="D1223" t="s">
        <v>25</v>
      </c>
      <c r="E1223" s="2">
        <v>2</v>
      </c>
      <c r="F1223" t="s">
        <v>66</v>
      </c>
      <c r="G1223">
        <v>3.29</v>
      </c>
      <c r="H1223">
        <v>2.99</v>
      </c>
      <c r="I1223" s="2" t="str">
        <f>_xlfn.XLOOKUP(F1223,DeparaIMG!B:B,DeparaIMG!D:D,,0)</f>
        <v>SK269.png</v>
      </c>
    </row>
    <row r="1224" spans="1:9" x14ac:dyDescent="0.25">
      <c r="A1224" s="2" t="s">
        <v>98</v>
      </c>
      <c r="B1224" s="2" t="s">
        <v>62</v>
      </c>
      <c r="C1224" t="s">
        <v>123</v>
      </c>
      <c r="D1224" t="s">
        <v>25</v>
      </c>
      <c r="E1224" s="2">
        <v>1</v>
      </c>
      <c r="F1224" t="s">
        <v>68</v>
      </c>
      <c r="G1224">
        <v>3.29</v>
      </c>
      <c r="H1224">
        <v>2.99</v>
      </c>
      <c r="I1224" s="2" t="str">
        <f>_xlfn.XLOOKUP(F1224,DeparaIMG!B:B,DeparaIMG!D:D,,0)</f>
        <v>BC269.png</v>
      </c>
    </row>
    <row r="1225" spans="1:9" x14ac:dyDescent="0.25">
      <c r="A1225" s="2" t="s">
        <v>98</v>
      </c>
      <c r="B1225" s="2" t="s">
        <v>62</v>
      </c>
      <c r="C1225" t="s">
        <v>123</v>
      </c>
      <c r="D1225" t="s">
        <v>25</v>
      </c>
      <c r="E1225" s="2">
        <v>1</v>
      </c>
      <c r="F1225" t="s">
        <v>70</v>
      </c>
      <c r="G1225">
        <v>3.69</v>
      </c>
      <c r="H1225">
        <v>3.19</v>
      </c>
      <c r="I1225" s="2" t="str">
        <f>_xlfn.XLOOKUP(F1225,DeparaIMG!B:B,DeparaIMG!D:D,,0)</f>
        <v>BC0350.png</v>
      </c>
    </row>
    <row r="1226" spans="1:9" x14ac:dyDescent="0.25">
      <c r="A1226" s="2" t="s">
        <v>98</v>
      </c>
      <c r="B1226" s="2" t="s">
        <v>62</v>
      </c>
      <c r="C1226" t="s">
        <v>123</v>
      </c>
      <c r="D1226" t="s">
        <v>25</v>
      </c>
      <c r="E1226" s="2">
        <v>2</v>
      </c>
      <c r="F1226" t="s">
        <v>70</v>
      </c>
      <c r="G1226">
        <v>3.69</v>
      </c>
      <c r="H1226">
        <v>3.19</v>
      </c>
      <c r="I1226" s="2" t="str">
        <f>_xlfn.XLOOKUP(F1226,DeparaIMG!B:B,DeparaIMG!D:D,,0)</f>
        <v>BC0350.png</v>
      </c>
    </row>
    <row r="1227" spans="1:9" x14ac:dyDescent="0.25">
      <c r="A1227" s="2" t="s">
        <v>98</v>
      </c>
      <c r="B1227" s="2" t="s">
        <v>62</v>
      </c>
      <c r="C1227" t="s">
        <v>123</v>
      </c>
      <c r="D1227" t="s">
        <v>25</v>
      </c>
      <c r="E1227" s="2">
        <v>2</v>
      </c>
      <c r="F1227" t="s">
        <v>64</v>
      </c>
      <c r="G1227">
        <v>3.89</v>
      </c>
      <c r="H1227">
        <v>3.69</v>
      </c>
      <c r="I1227" s="2" t="str">
        <f>_xlfn.XLOOKUP(F1227,DeparaIMG!B:B,DeparaIMG!D:D,,0)</f>
        <v>SKZERO350.png</v>
      </c>
    </row>
    <row r="1228" spans="1:9" x14ac:dyDescent="0.25">
      <c r="A1228" s="2" t="s">
        <v>98</v>
      </c>
      <c r="B1228" s="2" t="s">
        <v>62</v>
      </c>
      <c r="C1228" t="s">
        <v>123</v>
      </c>
      <c r="D1228" t="s">
        <v>25</v>
      </c>
      <c r="E1228" s="2">
        <v>2</v>
      </c>
      <c r="F1228" t="s">
        <v>72</v>
      </c>
      <c r="G1228">
        <v>3.89</v>
      </c>
      <c r="H1228">
        <v>3.59</v>
      </c>
      <c r="I1228" s="2" t="str">
        <f>_xlfn.XLOOKUP(F1228,DeparaIMG!B:B,DeparaIMG!D:D,,0)</f>
        <v>ORI269.png</v>
      </c>
    </row>
    <row r="1229" spans="1:9" x14ac:dyDescent="0.25">
      <c r="A1229" s="2" t="s">
        <v>98</v>
      </c>
      <c r="B1229" s="2" t="s">
        <v>62</v>
      </c>
      <c r="C1229" t="s">
        <v>123</v>
      </c>
      <c r="D1229" t="s">
        <v>25</v>
      </c>
      <c r="E1229" s="2">
        <v>1</v>
      </c>
      <c r="F1229" t="s">
        <v>74</v>
      </c>
      <c r="G1229">
        <v>4.49</v>
      </c>
      <c r="H1229">
        <v>3.49</v>
      </c>
      <c r="I1229" s="2" t="str">
        <f>_xlfn.XLOOKUP(F1229,DeparaIMG!B:B,DeparaIMG!D:D,,0)</f>
        <v>BUDZERO350.png</v>
      </c>
    </row>
    <row r="1230" spans="1:9" x14ac:dyDescent="0.25">
      <c r="A1230" s="2" t="s">
        <v>98</v>
      </c>
      <c r="B1230" s="2" t="s">
        <v>62</v>
      </c>
      <c r="C1230" t="s">
        <v>123</v>
      </c>
      <c r="D1230" t="s">
        <v>25</v>
      </c>
      <c r="E1230" s="2">
        <v>1</v>
      </c>
      <c r="F1230" t="s">
        <v>125</v>
      </c>
      <c r="G1230">
        <v>4.6900000000000004</v>
      </c>
      <c r="H1230">
        <v>4.3899999999999997</v>
      </c>
      <c r="I1230" s="2" t="str">
        <f>_xlfn.XLOOKUP(F1230,DeparaIMG!B:B,DeparaIMG!D:D,,0)</f>
        <v>STEPG269.png</v>
      </c>
    </row>
    <row r="1231" spans="1:9" x14ac:dyDescent="0.25">
      <c r="A1231" s="2" t="s">
        <v>98</v>
      </c>
      <c r="B1231" s="2" t="s">
        <v>62</v>
      </c>
      <c r="C1231" t="s">
        <v>123</v>
      </c>
      <c r="D1231" t="s">
        <v>25</v>
      </c>
      <c r="E1231" s="2">
        <v>1</v>
      </c>
      <c r="F1231" t="s">
        <v>78</v>
      </c>
      <c r="G1231">
        <v>5.49</v>
      </c>
      <c r="H1231">
        <v>4.99</v>
      </c>
      <c r="I1231" s="2" t="str">
        <f>_xlfn.XLOOKUP(F1231,DeparaIMG!B:B,DeparaIMG!D:D,,0)</f>
        <v>MIC350.png</v>
      </c>
    </row>
    <row r="1232" spans="1:9" x14ac:dyDescent="0.25">
      <c r="A1232" s="2" t="s">
        <v>98</v>
      </c>
      <c r="B1232" s="2" t="s">
        <v>62</v>
      </c>
      <c r="C1232" t="s">
        <v>123</v>
      </c>
      <c r="D1232" t="s">
        <v>25</v>
      </c>
      <c r="E1232" s="2">
        <v>2</v>
      </c>
      <c r="F1232" t="s">
        <v>80</v>
      </c>
      <c r="G1232">
        <v>6.29</v>
      </c>
      <c r="H1232">
        <v>5.49</v>
      </c>
      <c r="I1232" s="2" t="str">
        <f>_xlfn.XLOOKUP(F1232,DeparaIMG!B:B,DeparaIMG!D:D,,0)</f>
        <v>CORCERO350.png</v>
      </c>
    </row>
    <row r="1233" spans="1:9" x14ac:dyDescent="0.25">
      <c r="A1233" s="2" t="s">
        <v>98</v>
      </c>
      <c r="B1233" s="2" t="s">
        <v>62</v>
      </c>
      <c r="C1233" t="s">
        <v>123</v>
      </c>
      <c r="D1233" t="s">
        <v>25</v>
      </c>
      <c r="E1233" s="2">
        <v>2</v>
      </c>
      <c r="F1233" t="s">
        <v>83</v>
      </c>
      <c r="G1233">
        <v>6.69</v>
      </c>
      <c r="H1233">
        <v>5.99</v>
      </c>
      <c r="I1233" s="2" t="str">
        <f>_xlfn.XLOOKUP(F1233,DeparaIMG!B:B,DeparaIMG!D:D,,0)</f>
        <v>MICLN.png</v>
      </c>
    </row>
    <row r="1234" spans="1:9" x14ac:dyDescent="0.25">
      <c r="A1234" s="2" t="s">
        <v>98</v>
      </c>
      <c r="B1234" s="2" t="s">
        <v>62</v>
      </c>
      <c r="C1234" t="s">
        <v>123</v>
      </c>
      <c r="D1234" t="s">
        <v>25</v>
      </c>
      <c r="E1234" s="2">
        <v>1</v>
      </c>
      <c r="F1234" t="s">
        <v>84</v>
      </c>
      <c r="G1234">
        <v>6.99</v>
      </c>
      <c r="H1234">
        <v>6.19</v>
      </c>
      <c r="I1234" s="2" t="str">
        <f>_xlfn.XLOOKUP(F1234,DeparaIMG!B:B,DeparaIMG!D:D,,0)</f>
        <v>STELN.png</v>
      </c>
    </row>
    <row r="1235" spans="1:9" x14ac:dyDescent="0.25">
      <c r="A1235" s="2" t="s">
        <v>98</v>
      </c>
      <c r="B1235" s="2" t="s">
        <v>62</v>
      </c>
      <c r="C1235" t="s">
        <v>123</v>
      </c>
      <c r="D1235" t="s">
        <v>25</v>
      </c>
      <c r="E1235" s="2">
        <v>1</v>
      </c>
      <c r="F1235" t="s">
        <v>85</v>
      </c>
      <c r="G1235">
        <v>7.99</v>
      </c>
      <c r="H1235">
        <v>6.99</v>
      </c>
      <c r="I1235" s="2" t="str">
        <f>_xlfn.XLOOKUP(F1235,DeparaIMG!B:B,DeparaIMG!D:D,,0)</f>
        <v>CORLN.png</v>
      </c>
    </row>
    <row r="1236" spans="1:9" x14ac:dyDescent="0.25">
      <c r="A1236" s="2" t="s">
        <v>98</v>
      </c>
      <c r="B1236" s="2" t="s">
        <v>62</v>
      </c>
      <c r="C1236" t="s">
        <v>123</v>
      </c>
      <c r="D1236" t="s">
        <v>25</v>
      </c>
      <c r="E1236" s="2">
        <v>1</v>
      </c>
      <c r="F1236" t="s">
        <v>86</v>
      </c>
      <c r="G1236">
        <v>7.99</v>
      </c>
      <c r="H1236">
        <v>6.99</v>
      </c>
      <c r="I1236" s="2" t="str">
        <f>_xlfn.XLOOKUP(F1236,DeparaIMG!B:B,DeparaIMG!D:D,,0)</f>
        <v>CORCEROLN.png</v>
      </c>
    </row>
    <row r="1237" spans="1:9" x14ac:dyDescent="0.25">
      <c r="A1237" s="2" t="s">
        <v>98</v>
      </c>
      <c r="B1237" s="2" t="s">
        <v>62</v>
      </c>
      <c r="C1237" t="s">
        <v>123</v>
      </c>
      <c r="D1237" t="s">
        <v>25</v>
      </c>
      <c r="E1237" s="2">
        <v>1</v>
      </c>
      <c r="F1237" t="s">
        <v>69</v>
      </c>
      <c r="G1237">
        <v>3.49</v>
      </c>
      <c r="H1237">
        <v>2.99</v>
      </c>
      <c r="I1237" s="2" t="str">
        <f>_xlfn.XLOOKUP(F1237,DeparaIMG!B:B,DeparaIMG!D:D,,0)</f>
        <v>BUD269.png</v>
      </c>
    </row>
    <row r="1238" spans="1:9" x14ac:dyDescent="0.25">
      <c r="A1238" s="2" t="s">
        <v>98</v>
      </c>
      <c r="B1238" s="2" t="s">
        <v>62</v>
      </c>
      <c r="C1238" t="s">
        <v>123</v>
      </c>
      <c r="D1238" t="s">
        <v>25</v>
      </c>
      <c r="E1238" s="2">
        <v>2</v>
      </c>
      <c r="F1238" t="s">
        <v>75</v>
      </c>
      <c r="G1238">
        <v>4.29</v>
      </c>
      <c r="H1238">
        <v>3.49</v>
      </c>
      <c r="I1238" s="2" t="str">
        <f>_xlfn.XLOOKUP(F1238,DeparaIMG!B:B,DeparaIMG!D:D,,0)</f>
        <v>STE269.png</v>
      </c>
    </row>
    <row r="1239" spans="1:9" x14ac:dyDescent="0.25">
      <c r="A1239" s="2" t="s">
        <v>98</v>
      </c>
      <c r="B1239" s="2" t="s">
        <v>62</v>
      </c>
      <c r="C1239" t="s">
        <v>123</v>
      </c>
      <c r="D1239" t="s">
        <v>25</v>
      </c>
      <c r="E1239" s="2">
        <v>2</v>
      </c>
      <c r="F1239" t="s">
        <v>126</v>
      </c>
      <c r="G1239">
        <v>5.99</v>
      </c>
      <c r="H1239">
        <v>5.49</v>
      </c>
      <c r="I1239" s="2" t="str">
        <f>_xlfn.XLOOKUP(F1239,DeparaIMG!B:B,DeparaIMG!D:D,,0)</f>
        <v>STEPG350.png</v>
      </c>
    </row>
  </sheetData>
  <autoFilter ref="A1:I1239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2026-10-07T15:33:34Z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