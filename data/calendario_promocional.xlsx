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54257_ab-inbev_com/Documents/Pasta H OneDrive/Documents/"/>
    </mc:Choice>
  </mc:AlternateContent>
  <xr:revisionPtr revIDLastSave="107" documentId="13_ncr:1_{A3E51377-40B1-46DE-BFCA-D767C6F94B35}" xr6:coauthVersionLast="47" xr6:coauthVersionMax="47" xr10:uidLastSave="{53C7994D-B8F8-48A6-9E42-256214A2E6AD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MECANICA!$A$1:$D$49</definedName>
    <definedName name="_xlnm._FilterDatabase" localSheetId="3" hidden="1">PRODUTOS!$A$1:$I$1208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08" i="3" l="1"/>
  <c r="I1207" i="3"/>
  <c r="I1206" i="3"/>
  <c r="C44" i="5"/>
  <c r="D44" i="5" s="1"/>
  <c r="I1205" i="3"/>
  <c r="C43" i="5"/>
  <c r="D43" i="5" s="1"/>
  <c r="C42" i="5"/>
  <c r="D42" i="5" s="1"/>
  <c r="C41" i="5"/>
  <c r="D41" i="5" s="1"/>
  <c r="C40" i="5"/>
  <c r="D40" i="5" s="1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6" i="3"/>
  <c r="I615" i="3"/>
  <c r="I614" i="3"/>
  <c r="I613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8" i="5" l="1"/>
  <c r="D48" i="5" s="1"/>
  <c r="C47" i="5"/>
  <c r="D47" i="5" s="1"/>
  <c r="C46" i="5"/>
  <c r="D46" i="5" s="1"/>
  <c r="C45" i="5"/>
  <c r="D45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36" i="5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<sst xmlns="http://schemas.openxmlformats.org/spreadsheetml/2006/main" count="6506" uniqueCount="121">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</sst>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8"/>
  <sheetViews>
    <sheetView topLeftCell="A22" workbookViewId="0">
      <selection activeCell="B45" sqref="B45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61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61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61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61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61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61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61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61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61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61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61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62</v>
      </c>
      <c r="B14" t="s">
        <v>66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62</v>
      </c>
      <c r="B15" t="s">
        <v>63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62</v>
      </c>
      <c r="B16" t="s">
        <v>67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62</v>
      </c>
      <c r="B17" t="s">
        <v>68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62</v>
      </c>
      <c r="B18" t="s">
        <v>69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62</v>
      </c>
      <c r="B19" t="s">
        <v>70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62</v>
      </c>
      <c r="B20" t="s">
        <v>71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62</v>
      </c>
      <c r="B21" t="s">
        <v>64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62</v>
      </c>
      <c r="B22" t="s">
        <v>72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62</v>
      </c>
      <c r="B23" t="s">
        <v>73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62</v>
      </c>
      <c r="B24" t="s">
        <v>74</v>
      </c>
      <c r="C24" t="s">
        <v>94</v>
      </c>
      <c r="D24" t="str">
        <f t="shared" si="0"/>
        <v>BUDZERO350.png</v>
      </c>
    </row>
    <row r="25" spans="1:4" x14ac:dyDescent="0.25">
      <c r="A25" t="s">
        <v>62</v>
      </c>
      <c r="B25" t="s">
        <v>75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62</v>
      </c>
      <c r="B26" t="s">
        <v>76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62</v>
      </c>
      <c r="B27" t="s">
        <v>77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62</v>
      </c>
      <c r="B28" t="s">
        <v>65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62</v>
      </c>
      <c r="B29" t="s">
        <v>78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62</v>
      </c>
      <c r="B30" t="s">
        <v>79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62</v>
      </c>
      <c r="B31" t="s">
        <v>80</v>
      </c>
      <c r="C31" t="s">
        <v>93</v>
      </c>
      <c r="D31" t="str">
        <f t="shared" si="0"/>
        <v>CORCERO350.png</v>
      </c>
    </row>
    <row r="32" spans="1:4" x14ac:dyDescent="0.25">
      <c r="A32" t="s">
        <v>62</v>
      </c>
      <c r="B32" t="s">
        <v>81</v>
      </c>
      <c r="C32" t="s">
        <v>91</v>
      </c>
      <c r="D32" t="str">
        <f t="shared" si="0"/>
        <v>BUDZEROLN.png</v>
      </c>
    </row>
    <row r="33" spans="1:4" x14ac:dyDescent="0.25">
      <c r="A33" t="s">
        <v>62</v>
      </c>
      <c r="B33" t="s">
        <v>82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62</v>
      </c>
      <c r="B34" t="s">
        <v>83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62</v>
      </c>
      <c r="B35" t="s">
        <v>84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62</v>
      </c>
      <c r="B36" t="s">
        <v>85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62</v>
      </c>
      <c r="B37" t="s">
        <v>86</v>
      </c>
      <c r="C37" t="s">
        <v>92</v>
      </c>
      <c r="D37" t="str">
        <f t="shared" si="0"/>
        <v>CORCEROLN.png</v>
      </c>
    </row>
    <row r="38" spans="1:4" x14ac:dyDescent="0.25">
      <c r="A38" t="s">
        <v>62</v>
      </c>
      <c r="B38" t="s">
        <v>101</v>
      </c>
      <c r="C38" t="str">
        <f t="shared" si="1"/>
        <v>SPT350</v>
      </c>
      <c r="D38" t="str">
        <f t="shared" ref="D38:D44" si="2">C38&amp;".png"</f>
        <v>SPT350.png</v>
      </c>
    </row>
    <row r="39" spans="1:4" x14ac:dyDescent="0.25">
      <c r="A39" t="s">
        <v>62</v>
      </c>
      <c r="B39" t="s">
        <v>100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t="s">
        <v>62</v>
      </c>
      <c r="B40" t="s">
        <v>115</v>
      </c>
      <c r="C40" t="str">
        <f t="shared" ref="C40" si="3">SUBSTITUTE(B40," ","")</f>
        <v>AP269MP</v>
      </c>
      <c r="D40" t="str">
        <f t="shared" si="2"/>
        <v>AP269MP.png</v>
      </c>
    </row>
    <row r="41" spans="1:4" x14ac:dyDescent="0.25">
      <c r="A41" t="s">
        <v>62</v>
      </c>
      <c r="B41" t="s">
        <v>116</v>
      </c>
      <c r="C41" t="str">
        <f>SUBSTITUTE(B41," ","")</f>
        <v>SK269MP</v>
      </c>
      <c r="D41" t="str">
        <f t="shared" si="2"/>
        <v>SK269MP.png</v>
      </c>
    </row>
    <row r="42" spans="1:4" x14ac:dyDescent="0.25">
      <c r="A42" t="s">
        <v>62</v>
      </c>
      <c r="B42" t="s">
        <v>117</v>
      </c>
      <c r="C42" t="str">
        <f t="shared" ref="C42:C44" si="4">SUBSTITUTE(B42," ","")</f>
        <v>BUD269MP</v>
      </c>
      <c r="D42" t="str">
        <f t="shared" si="2"/>
        <v>BUD269MP.png</v>
      </c>
    </row>
    <row r="43" spans="1:4" x14ac:dyDescent="0.25">
      <c r="A43" t="s">
        <v>62</v>
      </c>
      <c r="B43" t="s">
        <v>118</v>
      </c>
      <c r="C43" t="str">
        <f t="shared" si="4"/>
        <v>ORI269MP</v>
      </c>
      <c r="D43" t="str">
        <f t="shared" si="2"/>
        <v>ORI269MP.png</v>
      </c>
    </row>
    <row r="44" spans="1:4" x14ac:dyDescent="0.25">
      <c r="A44" t="s">
        <v>62</v>
      </c>
      <c r="B44" t="s">
        <v>119</v>
      </c>
      <c r="C44" t="str">
        <f t="shared" si="4"/>
        <v>BC269MP</v>
      </c>
      <c r="D44" t="str">
        <f t="shared" si="2"/>
        <v>BC269MP.png</v>
      </c>
    </row>
    <row r="45" spans="1:4" x14ac:dyDescent="0.25">
      <c r="A45" s="2" t="s">
        <v>104</v>
      </c>
      <c r="B45" s="2" t="s">
        <v>106</v>
      </c>
      <c r="C45" t="str">
        <f t="shared" ref="C45:C48" si="5">SUBSTITUTE(B45," ","")</f>
        <v>BEATSLT</v>
      </c>
      <c r="D45" t="str">
        <f>C45&amp;".png"</f>
        <v>BEATSLT.png</v>
      </c>
    </row>
    <row r="46" spans="1:4" x14ac:dyDescent="0.25">
      <c r="A46" s="2" t="s">
        <v>104</v>
      </c>
      <c r="B46" s="2" t="s">
        <v>107</v>
      </c>
      <c r="C46" t="str">
        <f t="shared" si="5"/>
        <v>BEATSLN</v>
      </c>
      <c r="D46" t="str">
        <f>C46&amp;".png"</f>
        <v>BEATSLN.png</v>
      </c>
    </row>
    <row r="47" spans="1:4" x14ac:dyDescent="0.25">
      <c r="A47" s="2" t="s">
        <v>104</v>
      </c>
      <c r="B47" s="2" t="s">
        <v>108</v>
      </c>
      <c r="C47" t="str">
        <f t="shared" si="5"/>
        <v>FF350</v>
      </c>
      <c r="D47" t="str">
        <f>C47&amp;".png"</f>
        <v>FF350.png</v>
      </c>
    </row>
    <row r="48" spans="1:4" x14ac:dyDescent="0.25">
      <c r="A48" s="2" t="s">
        <v>104</v>
      </c>
      <c r="B48" s="2" t="s">
        <v>109</v>
      </c>
      <c r="C48" t="str">
        <f t="shared" si="5"/>
        <v>FFLN</v>
      </c>
      <c r="D48" t="str">
        <f>C48&amp;".png"</f>
        <v>FFLN.png</v>
      </c>
    </row>
  </sheetData>
  <autoFilter ref="A1:D37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8" workbookViewId="0">
      <selection activeCell="A82" sqref="A8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8" sqref="D8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hidden="1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hidden="1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hidden="1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hidden="1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hidden="1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hidden="1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hidden="1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hidden="1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hidden="1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hidden="1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hidden="1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hidden="1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hidden="1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hidden="1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hidden="1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hidden="1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hidden="1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hidden="1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hidden="1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hidden="1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hidden="1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hidden="1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hidden="1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hidden="1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hidden="1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hidden="1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hidden="1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hidden="1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hidden="1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hidden="1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hidden="1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hidden="1" x14ac:dyDescent="0.25">
      <c r="A47" s="2" t="s">
        <v>98</v>
      </c>
      <c r="B47" s="2" t="s">
        <v>62</v>
      </c>
      <c r="C47" s="2" t="s">
        <v>23</v>
      </c>
      <c r="D47" s="2" t="s">
        <v>114</v>
      </c>
    </row>
    <row r="48" spans="1:4" hidden="1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hidden="1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>
    <filterColumn colId="1">
      <filters>
        <filter val="NAB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208"/>
  <sheetViews>
    <sheetView tabSelected="1" workbookViewId="0">
      <selection activeCell="F1209" sqref="F1209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hidden="1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3.09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3.09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3.99</v>
      </c>
      <c r="H1042">
        <v>3.69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3.99</v>
      </c>
      <c r="H1043">
        <v>3.69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3.99</v>
      </c>
      <c r="H1044">
        <v>3.69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3.99</v>
      </c>
      <c r="H1045">
        <v>3.69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3.99</v>
      </c>
      <c r="H1046">
        <v>3.69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3.99</v>
      </c>
      <c r="H1047">
        <v>3.69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3.99</v>
      </c>
      <c r="H1048">
        <v>3.69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3.99</v>
      </c>
      <c r="H1049">
        <v>3.69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3.99</v>
      </c>
      <c r="H1050">
        <v>3.69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3.99</v>
      </c>
      <c r="H1051">
        <v>3.69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3.99</v>
      </c>
      <c r="H1052">
        <v>3.69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3.99</v>
      </c>
      <c r="H1053">
        <v>3.69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78</v>
      </c>
      <c r="G1116">
        <v>5.49</v>
      </c>
      <c r="H1116">
        <v>4.99</v>
      </c>
      <c r="I1116" s="2" t="str">
        <f>_xlfn.XLOOKUP(F1116,DeparaIMG!B:B,DeparaIMG!D:D,,0)</f>
        <v>MIC350.png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78</v>
      </c>
      <c r="G1117">
        <v>5.49</v>
      </c>
      <c r="H1117">
        <v>4.99</v>
      </c>
      <c r="I1117" s="2" t="str">
        <f>_xlfn.XLOOKUP(F1117,DeparaIMG!B:B,DeparaIMG!D:D,,0)</f>
        <v>MIC350.png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 t="s">
        <v>98</v>
      </c>
      <c r="B1148" s="2" t="s">
        <v>62</v>
      </c>
      <c r="C1148" t="s">
        <v>90</v>
      </c>
      <c r="D1148" t="s">
        <v>26</v>
      </c>
      <c r="E1148" s="2">
        <v>1</v>
      </c>
      <c r="F1148" t="s">
        <v>81</v>
      </c>
      <c r="G1148">
        <v>6.39</v>
      </c>
      <c r="H1148">
        <v>5.69</v>
      </c>
      <c r="I1148" s="2" t="str">
        <f>_xlfn.XLOOKUP(F1148,DeparaIMG!B:B,DeparaIMG!D:D,,0)</f>
        <v>BUDZEROLN.png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2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2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2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2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x14ac:dyDescent="0.2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</sheetData>
  <autoFilter ref="A1:I1208" xr:uid="{34B2C8DF-4561-40B2-8E7C-6CD69559B9AE}">
    <filterColumn colId="0">
      <filters>
        <filter val="Outubro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2" sqref="G12"/>
    </sheetView>
  </sheetViews>
  <sheetFormatPr defaultRowHeight="15" x14ac:dyDescent="0.25"/>
  <cols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PEDRO HENRIQUE GUIMARAES MARTINS SANTOS</cp:lastModifiedBy>
  <dcterms:created xsi:type="dcterms:W3CDTF">2015-06-05T18:17:20Z</dcterms:created>
  <dcterms:modified xsi:type="dcterms:W3CDTF">2026-09-22T17:35:36Z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