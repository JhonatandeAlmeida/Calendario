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492" documentId="13_ncr:1_{B92F5DA4-8825-4FA1-97C6-23568D76854D}" xr6:coauthVersionLast="47" xr6:coauthVersionMax="47" xr10:uidLastSave="{D9CFBA5F-BD28-4EE7-A8D0-95EB3276B4B9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DeparaIMG!$A$1:$D$51</definedName>
    <definedName name="_xlnm._FilterDatabase" localSheetId="2" hidden="1">MECANICA!$A$1:$D$49</definedName>
    <definedName name="_xlnm._FilterDatabase" localSheetId="3" hidden="1">PRODUTOS!$A$1:$I$1337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5" l="1"/>
  <c r="D56" i="5" s="1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5" i="5"/>
  <c r="C54" i="5"/>
  <c r="D54" i="5"/>
  <c r="C53" i="5"/>
  <c r="D53" i="5" s="1"/>
  <c r="C52" i="5"/>
  <c r="D52" i="5" s="1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<sst xmlns="http://schemas.openxmlformats.org/spreadsheetml/2006/main" count="8502" uniqueCount="161">
  <si>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</si>
  <si>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</si>
  <si>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</si>
  <si>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</si>
  <si>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</si>
  <si>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</si>
  <si>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</si>
  <si>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</si>
  <si>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</si>
  <si>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</si>
  <si>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</si>
  <si>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</si>
  <si>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</si>
  <si>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</si>
  <si>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</si>
  <si>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</si>
  <si>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</si>
  <si>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</si>
  <si>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</si>
  <si>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</si>
  <si>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</si>
  <si>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</si>
  <si>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</si>
  <si>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</si>
  <si>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</si>
  <si>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</si>
  <si>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</si>
  <si>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</si>
  <si>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</si>
  <si>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</si>
  <si>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</si>
  <si>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</si>
  <si>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</si>
  <si>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</si>
  <si>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</si>
  <si>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</si>
  <si>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</si>
  <si>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</si>
  <si>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</si>
  <si>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</si>
  <si>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</si>
  <si>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</si>
  <si>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</si>
  <si>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</si>
  <si>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</si>
  <si>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</si>
  <si>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</si>
  <si>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</si>
  <si>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</si>
  <si>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</si>
  <si>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</si>
  <si>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</si>
  <si>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</si>
  <si>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</si>
  <si>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</si>
  <si>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</si>
  <si>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</si>
  <si>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</si>
  <si>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</si>
  <si>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</si>
  <si>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</si>
  <si>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</si>
  <si>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</si>
  <si>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</si>
  <si>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</si>
  <si>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</si>
  <si>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</si>
  <si>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</si>
  <si>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</si>
  <si>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</si>
  <si>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</si>
  <si>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</si>
  <si>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</si>
  <si>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</si>
  <si>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</si>
  <si>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</si>
  <si>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</si>
  <si>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</si>
  <si>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</si>
  <si>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</si>
  <si>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</si>
  <si>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</si>
  <si>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</si>
  <si>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</si>
  <si>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</si>
  <si>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</si>
  <si>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</si>
  <si>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</si>
  <si>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</si>
  <si>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</si>
  <si>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</si>
  <si>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</si>
  <si>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</si>
  <si>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</si>
  <si>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</si>
  <si>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</si>
  <si>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</si>
  <si>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</si>
  <si>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</si>
  <si>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</si>
  <si>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</si>
  <si>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</si>
  <si>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</si>
  <si>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</si>
  <si>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</si>
  <si>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</si>
  <si>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</si>
  <si>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</si>
  <si>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</si>
  <si>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</si>
  <si>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</si>
  <si>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</si>
  <si>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</si>
  <si>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</si>
  <si>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</si>
  <si>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</si>
  <si>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</si>
  <si>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</si>
  <si>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</si>
  <si>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</si>
  <si>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</si>
  <si>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</si>
  <si>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</si>
  <si>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</si>
  <si>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</si>
  <si>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</si>
  <si>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</si>
  <si>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</si>
  <si>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</si>
  <si>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</si>
  <si>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</si>
  <si>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</si>
  <si>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</si>
  <si>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</si>
  <si>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</si>
  <si>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</si>
  <si>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</si>
  <si>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</si>
  <si>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</si>
  <si>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</si>
  <si>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</si>
  <si>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</si>
  <si>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</si>
  <si>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</si>
  <si>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</si>
  <si>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</si>
  <si>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</si>
  <si>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</si>
  <si>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</si>
  <si>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</si>
  <si>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</si>
  <si>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sk 269</t>
  </si>
  <si>
    <t>bdm 269</t>
  </si>
  <si>
    <t>spt 269</t>
  </si>
  <si>
    <t>ste 269</t>
  </si>
  <si>
    <t>cor 269</t>
  </si>
  <si>
    <t>bc 350</t>
  </si>
  <si>
    <t>spt ln</t>
  </si>
  <si>
    <t>bud 269</t>
  </si>
  <si>
    <t>BDM 269</t>
  </si>
  <si>
    <t>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</si>
</sst>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6"/>
  <sheetViews>
    <sheetView topLeftCell="A33" workbookViewId="0">
      <selection activeCell="C55" sqref="C55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x14ac:dyDescent="0.25">
      <c r="A50" t="s">
        <v>62</v>
      </c>
      <c r="B50" t="s">
        <v>124</v>
      </c>
      <c r="C50" t="s">
        <v>123</v>
      </c>
      <c r="D50" t="str">
        <f t="shared" ref="D50:D52" si="3">C50&amp;".png"</f>
        <v>STEPG269.png</v>
      </c>
    </row>
    <row r="51" spans="1:4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62</v>
      </c>
      <c r="B52" t="s">
        <v>139</v>
      </c>
      <c r="C52" t="str">
        <f t="shared" ref="C52" si="4">SUBSTITUTE(B52," ","")</f>
        <v>SPTLN</v>
      </c>
      <c r="D52" t="str">
        <f t="shared" si="3"/>
        <v>SPTLN.png</v>
      </c>
    </row>
    <row r="53" spans="1:4" x14ac:dyDescent="0.25">
      <c r="A53" t="s">
        <v>61</v>
      </c>
      <c r="B53" t="s">
        <v>142</v>
      </c>
      <c r="C53" t="str">
        <f t="shared" ref="C53:C54" si="5">SUBSTITUTE(B53," ","")</f>
        <v>PCSAB350</v>
      </c>
      <c r="D53" t="str">
        <f t="shared" ref="D53:D56" si="6">C53&amp;".png"</f>
        <v>PCSAB350.png</v>
      </c>
    </row>
    <row r="54" spans="1:4" x14ac:dyDescent="0.25">
      <c r="A54" t="s">
        <v>61</v>
      </c>
      <c r="B54" t="s">
        <v>143</v>
      </c>
      <c r="C54" t="str">
        <f t="shared" si="5"/>
        <v>GATORADE</v>
      </c>
      <c r="D54" t="str">
        <f t="shared" si="6"/>
        <v>GATORADE.png</v>
      </c>
    </row>
    <row r="55" spans="1:4" x14ac:dyDescent="0.25">
      <c r="A55" t="s">
        <v>62</v>
      </c>
      <c r="B55" t="s">
        <v>144</v>
      </c>
      <c r="C55" t="s">
        <v>145</v>
      </c>
      <c r="D55" t="str">
        <f t="shared" si="6"/>
        <v>BEATSFF.png</v>
      </c>
    </row>
    <row r="56" spans="1:4" x14ac:dyDescent="0.25">
      <c r="A56" t="s">
        <v>62</v>
      </c>
      <c r="B56" t="s">
        <v>159</v>
      </c>
      <c r="C56" t="str">
        <f>SUBSTITUTE(B56," ","")</f>
        <v>BDM269</v>
      </c>
      <c r="D56" t="str">
        <f t="shared" si="6"/>
        <v>BDM269.png</v>
      </c>
    </row>
  </sheetData>
  <autoFilter ref="A1:D51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393"/>
  <sheetViews>
    <sheetView tabSelected="1" topLeftCell="A1199" zoomScale="70" zoomScaleNormal="70" workbookViewId="0">
      <selection activeCell="E1339" sqref="E1339:E1393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hidden="1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hidden="1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hidden="1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hidden="1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hidden="1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hidden="1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hidden="1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hidden="1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hidden="1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hidden="1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hidden="1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hidden="1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hidden="1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hidden="1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hidden="1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hidden="1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hidden="1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hidden="1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hidden="1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hidden="1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hidden="1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hidden="1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hidden="1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hidden="1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hidden="1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hidden="1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hidden="1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hidden="1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hidden="1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hidden="1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hidden="1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hidden="1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hidden="1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hidden="1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hidden="1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hidden="1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hidden="1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hidden="1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hidden="1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hidden="1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hidden="1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hidden="1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hidden="1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hidden="1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hidden="1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hidden="1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hidden="1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hidden="1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hidden="1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hidden="1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hidden="1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hidden="1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hidden="1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hidden="1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hidden="1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hidden="1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hidden="1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hidden="1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hidden="1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hidden="1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hidden="1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hidden="1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hidden="1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hidden="1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hidden="1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hidden="1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hidden="1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hidden="1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hidden="1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hidden="1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hidden="1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hidden="1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hidden="1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hidden="1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hidden="1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_xlfn.XLOOKUP(F1221,DeparaIMG!B:B,DeparaIMG!D:D,,0)</f>
        <v>AP269.png</v>
      </c>
    </row>
    <row r="1222" spans="1:9" hidden="1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_xlfn.XLOOKUP(F1222,DeparaIMG!B:B,DeparaIMG!D:D,,0)</f>
        <v>AP269.png</v>
      </c>
    </row>
    <row r="1223" spans="1:9" hidden="1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_xlfn.XLOOKUP(F1223,DeparaIMG!B:B,DeparaIMG!D:D,,0)</f>
        <v>AP269.png</v>
      </c>
    </row>
    <row r="1224" spans="1:9" hidden="1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_xlfn.XLOOKUP(F1224,DeparaIMG!B:B,DeparaIMG!D:D,,0)</f>
        <v>AP269.png</v>
      </c>
    </row>
    <row r="1225" spans="1:9" hidden="1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_xlfn.XLOOKUP(F1225,DeparaIMG!B:B,DeparaIMG!D:D,,0)</f>
        <v>SK269.png</v>
      </c>
    </row>
    <row r="1226" spans="1:9" hidden="1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_xlfn.XLOOKUP(F1226,DeparaIMG!B:B,DeparaIMG!D:D,,0)</f>
        <v>SK269.png</v>
      </c>
    </row>
    <row r="1227" spans="1:9" hidden="1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_xlfn.XLOOKUP(F1227,DeparaIMG!B:B,DeparaIMG!D:D,,0)</f>
        <v>SK269.png</v>
      </c>
    </row>
    <row r="1228" spans="1:9" hidden="1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_xlfn.XLOOKUP(F1228,DeparaIMG!B:B,DeparaIMG!D:D,,0)</f>
        <v>BC269.png</v>
      </c>
    </row>
    <row r="1229" spans="1:9" hidden="1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_xlfn.XLOOKUP(F1229,DeparaIMG!B:B,DeparaIMG!D:D,,0)</f>
        <v>BC269.png</v>
      </c>
    </row>
    <row r="1230" spans="1:9" hidden="1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_xlfn.XLOOKUP(F1230,DeparaIMG!B:B,DeparaIMG!D:D,,0)</f>
        <v>BC269.png</v>
      </c>
    </row>
    <row r="1231" spans="1:9" hidden="1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_xlfn.XLOOKUP(F1231,DeparaIMG!B:B,DeparaIMG!D:D,,0)</f>
        <v>BC269.png</v>
      </c>
    </row>
    <row r="1232" spans="1:9" hidden="1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_xlfn.XLOOKUP(F1232,DeparaIMG!B:B,DeparaIMG!D:D,,0)</f>
        <v>BC269.png</v>
      </c>
    </row>
    <row r="1233" spans="1:9" hidden="1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_xlfn.XLOOKUP(F1233,DeparaIMG!B:B,DeparaIMG!D:D,,0)</f>
        <v>BC269.png</v>
      </c>
    </row>
    <row r="1234" spans="1:9" hidden="1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_xlfn.XLOOKUP(F1234,DeparaIMG!B:B,DeparaIMG!D:D,,0)</f>
        <v>BUD269.png</v>
      </c>
    </row>
    <row r="1235" spans="1:9" hidden="1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_xlfn.XLOOKUP(F1235,DeparaIMG!B:B,DeparaIMG!D:D,,0)</f>
        <v>BUD269.png</v>
      </c>
    </row>
    <row r="1236" spans="1:9" hidden="1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_xlfn.XLOOKUP(F1236,DeparaIMG!B:B,DeparaIMG!D:D,,0)</f>
        <v>BUD269.png</v>
      </c>
    </row>
    <row r="1237" spans="1:9" hidden="1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_xlfn.XLOOKUP(F1237,DeparaIMG!B:B,DeparaIMG!D:D,,0)</f>
        <v>BUD269.png</v>
      </c>
    </row>
    <row r="1238" spans="1:9" hidden="1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_xlfn.XLOOKUP(F1238,DeparaIMG!B:B,DeparaIMG!D:D,,0)</f>
        <v>BUD269.png</v>
      </c>
    </row>
    <row r="1239" spans="1:9" hidden="1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_xlfn.XLOOKUP(F1239,DeparaIMG!B:B,DeparaIMG!D:D,,0)</f>
        <v>BUD269.png</v>
      </c>
    </row>
    <row r="1240" spans="1:9" hidden="1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_xlfn.XLOOKUP(F1240,DeparaIMG!B:B,DeparaIMG!D:D,,0)</f>
        <v>ORI269.png</v>
      </c>
    </row>
    <row r="1241" spans="1:9" hidden="1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_xlfn.XLOOKUP(F1241,DeparaIMG!B:B,DeparaIMG!D:D,,0)</f>
        <v>ORI269.png</v>
      </c>
    </row>
    <row r="1242" spans="1:9" hidden="1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_xlfn.XLOOKUP(F1242,DeparaIMG!B:B,DeparaIMG!D:D,,0)</f>
        <v>MIC350.png</v>
      </c>
    </row>
    <row r="1243" spans="1:9" hidden="1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_xlfn.XLOOKUP(F1243,DeparaIMG!B:B,DeparaIMG!D:D,,0)</f>
        <v>MIC350.png</v>
      </c>
    </row>
    <row r="1244" spans="1:9" hidden="1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_xlfn.XLOOKUP(F1244,DeparaIMG!B:B,DeparaIMG!D:D,,0)</f>
        <v>MIC350.png</v>
      </c>
    </row>
    <row r="1245" spans="1:9" hidden="1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_xlfn.XLOOKUP(F1245,DeparaIMG!B:B,DeparaIMG!D:D,,0)</f>
        <v>MIC350.png</v>
      </c>
    </row>
    <row r="1246" spans="1:9" hidden="1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_xlfn.XLOOKUP(F1246,DeparaIMG!B:B,DeparaIMG!D:D,,0)</f>
        <v>MIC350.png</v>
      </c>
    </row>
    <row r="1247" spans="1:9" hidden="1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_xlfn.XLOOKUP(F1247,DeparaIMG!B:B,DeparaIMG!D:D,,0)</f>
        <v>MIC350.png</v>
      </c>
    </row>
    <row r="1248" spans="1:9" hidden="1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_xlfn.XLOOKUP(F1248,DeparaIMG!B:B,DeparaIMG!D:D,,0)</f>
        <v>CORCERO350.png</v>
      </c>
    </row>
    <row r="1249" spans="1:9" hidden="1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_xlfn.XLOOKUP(F1249,DeparaIMG!B:B,DeparaIMG!D:D,,0)</f>
        <v>CORCERO350.png</v>
      </c>
    </row>
    <row r="1250" spans="1:9" hidden="1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_xlfn.XLOOKUP(F1250,DeparaIMG!B:B,DeparaIMG!D:D,,0)</f>
        <v>CORCERO350.png</v>
      </c>
    </row>
    <row r="1251" spans="1:9" hidden="1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_xlfn.XLOOKUP(F1251,DeparaIMG!B:B,DeparaIMG!D:D,,0)</f>
        <v>CORCERO350.png</v>
      </c>
    </row>
    <row r="1252" spans="1:9" hidden="1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_xlfn.XLOOKUP(F1252,DeparaIMG!B:B,DeparaIMG!D:D,,0)</f>
        <v>CORCERO350.png</v>
      </c>
    </row>
    <row r="1253" spans="1:9" hidden="1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_xlfn.XLOOKUP(F1253,DeparaIMG!B:B,DeparaIMG!D:D,,0)</f>
        <v>CORCERO350.png</v>
      </c>
    </row>
    <row r="1254" spans="1:9" hidden="1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_xlfn.XLOOKUP(F1254,DeparaIMG!B:B,DeparaIMG!D:D,,0)</f>
        <v>SPTLN.png</v>
      </c>
    </row>
    <row r="1255" spans="1:9" hidden="1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_xlfn.XLOOKUP(F1255,DeparaIMG!B:B,DeparaIMG!D:D,,0)</f>
        <v>SPTLN.png</v>
      </c>
    </row>
    <row r="1256" spans="1:9" hidden="1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_xlfn.XLOOKUP(F1256,DeparaIMG!B:B,DeparaIMG!D:D,,0)</f>
        <v>SPTLN.png</v>
      </c>
    </row>
    <row r="1257" spans="1:9" hidden="1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_xlfn.XLOOKUP(F1257,DeparaIMG!B:B,DeparaIMG!D:D,,0)</f>
        <v>SPTLN.png</v>
      </c>
    </row>
    <row r="1258" spans="1:9" hidden="1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_xlfn.XLOOKUP(F1258,DeparaIMG!B:B,DeparaIMG!D:D,,0)</f>
        <v>STELN.png</v>
      </c>
    </row>
    <row r="1259" spans="1:9" hidden="1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_xlfn.XLOOKUP(F1259,DeparaIMG!B:B,DeparaIMG!D:D,,0)</f>
        <v>STELN.png</v>
      </c>
    </row>
    <row r="1260" spans="1:9" hidden="1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_xlfn.XLOOKUP(F1260,DeparaIMG!B:B,DeparaIMG!D:D,,0)</f>
        <v>STELN.png</v>
      </c>
    </row>
    <row r="1261" spans="1:9" hidden="1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_xlfn.XLOOKUP(F1261,DeparaIMG!B:B,DeparaIMG!D:D,,0)</f>
        <v>STELN.png</v>
      </c>
    </row>
    <row r="1262" spans="1:9" hidden="1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_xlfn.XLOOKUP(F1262,DeparaIMG!B:B,DeparaIMG!D:D,,0)</f>
        <v>STELN.png</v>
      </c>
    </row>
    <row r="1263" spans="1:9" hidden="1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_xlfn.XLOOKUP(F1263,DeparaIMG!B:B,DeparaIMG!D:D,,0)</f>
        <v>STELN.png</v>
      </c>
    </row>
    <row r="1264" spans="1:9" hidden="1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_xlfn.XLOOKUP(F1264,DeparaIMG!B:B,DeparaIMG!D:D,,0)</f>
        <v>STELN.png</v>
      </c>
    </row>
    <row r="1265" spans="1:9" hidden="1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_xlfn.XLOOKUP(F1265,DeparaIMG!B:B,DeparaIMG!D:D,,0)</f>
        <v>STELN.png</v>
      </c>
    </row>
    <row r="1266" spans="1:9" hidden="1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_xlfn.XLOOKUP(F1266,DeparaIMG!B:B,DeparaIMG!D:D,,0)</f>
        <v>MICLN.png</v>
      </c>
    </row>
    <row r="1267" spans="1:9" hidden="1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_xlfn.XLOOKUP(F1267,DeparaIMG!B:B,DeparaIMG!D:D,,0)</f>
        <v>MICLN.png</v>
      </c>
    </row>
    <row r="1268" spans="1:9" hidden="1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_xlfn.XLOOKUP(F1268,DeparaIMG!B:B,DeparaIMG!D:D,,0)</f>
        <v>MICLN.png</v>
      </c>
    </row>
    <row r="1269" spans="1:9" hidden="1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_xlfn.XLOOKUP(F1269,DeparaIMG!B:B,DeparaIMG!D:D,,0)</f>
        <v>MICLN.png</v>
      </c>
    </row>
    <row r="1270" spans="1:9" hidden="1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_xlfn.XLOOKUP(F1270,DeparaIMG!B:B,DeparaIMG!D:D,,0)</f>
        <v>MICLN.png</v>
      </c>
    </row>
    <row r="1271" spans="1:9" hidden="1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_xlfn.XLOOKUP(F1271,DeparaIMG!B:B,DeparaIMG!D:D,,0)</f>
        <v>MICLN.png</v>
      </c>
    </row>
    <row r="1272" spans="1:9" hidden="1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_xlfn.XLOOKUP(F1272,DeparaIMG!B:B,DeparaIMG!D:D,,0)</f>
        <v>CORCEROLN.png</v>
      </c>
    </row>
    <row r="1273" spans="1:9" hidden="1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_xlfn.XLOOKUP(F1273,DeparaIMG!B:B,DeparaIMG!D:D,,0)</f>
        <v>CORCEROLN.png</v>
      </c>
    </row>
    <row r="1274" spans="1:9" hidden="1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_xlfn.XLOOKUP(F1274,DeparaIMG!B:B,DeparaIMG!D:D,,0)</f>
        <v>CORCEROLN.png</v>
      </c>
    </row>
    <row r="1275" spans="1:9" hidden="1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_xlfn.XLOOKUP(F1275,DeparaIMG!B:B,DeparaIMG!D:D,,0)</f>
        <v>CORCEROLN.png</v>
      </c>
    </row>
    <row r="1276" spans="1:9" hidden="1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_xlfn.XLOOKUP(F1276,DeparaIMG!B:B,DeparaIMG!D:D,,0)</f>
        <v>CORCEROLN.png</v>
      </c>
    </row>
    <row r="1277" spans="1:9" hidden="1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_xlfn.XLOOKUP(F1277,DeparaIMG!B:B,DeparaIMG!D:D,,0)</f>
        <v>CORCEROLN.png</v>
      </c>
    </row>
    <row r="1278" spans="1:9" hidden="1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_xlfn.XLOOKUP(F1278,DeparaIMG!B:B,DeparaIMG!D:D,,0)</f>
        <v>GCA350.png</v>
      </c>
    </row>
    <row r="1279" spans="1:9" hidden="1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_xlfn.XLOOKUP(F1279,DeparaIMG!B:B,DeparaIMG!D:D,,0)</f>
        <v>PCSAB350.png</v>
      </c>
    </row>
    <row r="1280" spans="1:9" hidden="1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_xlfn.XLOOKUP(F1280,DeparaIMG!B:B,DeparaIMG!D:D,,0)</f>
        <v>GCAP2.png</v>
      </c>
    </row>
    <row r="1281" spans="1:9" hidden="1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_xlfn.XLOOKUP(F1281,DeparaIMG!B:B,DeparaIMG!D:D,,0)</f>
        <v>GATORADE.png</v>
      </c>
    </row>
    <row r="1282" spans="1:9" hidden="1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_xlfn.XLOOKUP(F1282,DeparaIMG!B:B,DeparaIMG!D:D,,0)</f>
        <v>PCP2.png</v>
      </c>
    </row>
    <row r="1283" spans="1:9" hidden="1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_xlfn.XLOOKUP(F1283,DeparaIMG!B:B,DeparaIMG!D:D,,0)</f>
        <v>H2OHP500.png</v>
      </c>
    </row>
    <row r="1284" spans="1:9" hidden="1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_xlfn.XLOOKUP(F1284,DeparaIMG!B:B,DeparaIMG!D:D,,0)</f>
        <v>GCA350.png</v>
      </c>
    </row>
    <row r="1285" spans="1:9" hidden="1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_xlfn.XLOOKUP(F1285,DeparaIMG!B:B,DeparaIMG!D:D,,0)</f>
        <v>PCSAB350.png</v>
      </c>
    </row>
    <row r="1286" spans="1:9" hidden="1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_xlfn.XLOOKUP(F1286,DeparaIMG!B:B,DeparaIMG!D:D,,0)</f>
        <v>GCAP2.png</v>
      </c>
    </row>
    <row r="1287" spans="1:9" hidden="1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_xlfn.XLOOKUP(F1287,DeparaIMG!B:B,DeparaIMG!D:D,,0)</f>
        <v>GATORADE.png</v>
      </c>
    </row>
    <row r="1288" spans="1:9" hidden="1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_xlfn.XLOOKUP(F1288,DeparaIMG!B:B,DeparaIMG!D:D,,0)</f>
        <v>PCP2.png</v>
      </c>
    </row>
    <row r="1289" spans="1:9" hidden="1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_xlfn.XLOOKUP(F1289,DeparaIMG!B:B,DeparaIMG!D:D,,0)</f>
        <v>H2OHP500.png</v>
      </c>
    </row>
    <row r="1290" spans="1:9" hidden="1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_xlfn.XLOOKUP(F1290,DeparaIMG!B:B,DeparaIMG!D:D,,0)</f>
        <v>GCA350.png</v>
      </c>
    </row>
    <row r="1291" spans="1:9" hidden="1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_xlfn.XLOOKUP(F1291,DeparaIMG!B:B,DeparaIMG!D:D,,0)</f>
        <v>PCSAB350.png</v>
      </c>
    </row>
    <row r="1292" spans="1:9" hidden="1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_xlfn.XLOOKUP(F1292,DeparaIMG!B:B,DeparaIMG!D:D,,0)</f>
        <v>GCAP2.png</v>
      </c>
    </row>
    <row r="1293" spans="1:9" hidden="1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_xlfn.XLOOKUP(F1293,DeparaIMG!B:B,DeparaIMG!D:D,,0)</f>
        <v>GATORADE.png</v>
      </c>
    </row>
    <row r="1294" spans="1:9" hidden="1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_xlfn.XLOOKUP(F1294,DeparaIMG!B:B,DeparaIMG!D:D,,0)</f>
        <v>PCP2.png</v>
      </c>
    </row>
    <row r="1295" spans="1:9" hidden="1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_xlfn.XLOOKUP(F1295,DeparaIMG!B:B,DeparaIMG!D:D,,0)</f>
        <v>H2OHP500.png</v>
      </c>
    </row>
    <row r="1296" spans="1:9" hidden="1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_xlfn.XLOOKUP(F1296,DeparaIMG!B:B,DeparaIMG!D:D,,0)</f>
        <v>GCA350.png</v>
      </c>
    </row>
    <row r="1297" spans="1:9" hidden="1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_xlfn.XLOOKUP(F1297,DeparaIMG!B:B,DeparaIMG!D:D,,0)</f>
        <v>PCSAB350.png</v>
      </c>
    </row>
    <row r="1298" spans="1:9" hidden="1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_xlfn.XLOOKUP(F1298,DeparaIMG!B:B,DeparaIMG!D:D,,0)</f>
        <v>GCAP2.png</v>
      </c>
    </row>
    <row r="1299" spans="1:9" hidden="1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_xlfn.XLOOKUP(F1299,DeparaIMG!B:B,DeparaIMG!D:D,,0)</f>
        <v>GATORADE.png</v>
      </c>
    </row>
    <row r="1300" spans="1:9" hidden="1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_xlfn.XLOOKUP(F1300,DeparaIMG!B:B,DeparaIMG!D:D,,0)</f>
        <v>PCP2.png</v>
      </c>
    </row>
    <row r="1301" spans="1:9" hidden="1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_xlfn.XLOOKUP(F1301,DeparaIMG!B:B,DeparaIMG!D:D,,0)</f>
        <v>H2OHP500.png</v>
      </c>
    </row>
    <row r="1302" spans="1:9" hidden="1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_xlfn.XLOOKUP(F1302,DeparaIMG!B:B,DeparaIMG!D:D,,0)</f>
        <v>GCA350.png</v>
      </c>
    </row>
    <row r="1303" spans="1:9" hidden="1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_xlfn.XLOOKUP(F1303,DeparaIMG!B:B,DeparaIMG!D:D,,0)</f>
        <v>PCSAB350.png</v>
      </c>
    </row>
    <row r="1304" spans="1:9" hidden="1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_xlfn.XLOOKUP(F1304,DeparaIMG!B:B,DeparaIMG!D:D,,0)</f>
        <v>GCAP2.png</v>
      </c>
    </row>
    <row r="1305" spans="1:9" hidden="1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_xlfn.XLOOKUP(F1305,DeparaIMG!B:B,DeparaIMG!D:D,,0)</f>
        <v>GATORADE.png</v>
      </c>
    </row>
    <row r="1306" spans="1:9" hidden="1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_xlfn.XLOOKUP(F1306,DeparaIMG!B:B,DeparaIMG!D:D,,0)</f>
        <v>PCP2.png</v>
      </c>
    </row>
    <row r="1307" spans="1:9" hidden="1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_xlfn.XLOOKUP(F1307,DeparaIMG!B:B,DeparaIMG!D:D,,0)</f>
        <v>H2OHP500.png</v>
      </c>
    </row>
    <row r="1308" spans="1:9" hidden="1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_xlfn.XLOOKUP(F1308,DeparaIMG!B:B,DeparaIMG!D:D,,0)</f>
        <v>GCA350.png</v>
      </c>
    </row>
    <row r="1309" spans="1:9" hidden="1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_xlfn.XLOOKUP(F1309,DeparaIMG!B:B,DeparaIMG!D:D,,0)</f>
        <v>PCSAB350.png</v>
      </c>
    </row>
    <row r="1310" spans="1:9" hidden="1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_xlfn.XLOOKUP(F1310,DeparaIMG!B:B,DeparaIMG!D:D,,0)</f>
        <v>GCAP2.png</v>
      </c>
    </row>
    <row r="1311" spans="1:9" hidden="1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_xlfn.XLOOKUP(F1311,DeparaIMG!B:B,DeparaIMG!D:D,,0)</f>
        <v>GATORADE.png</v>
      </c>
    </row>
    <row r="1312" spans="1:9" hidden="1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_xlfn.XLOOKUP(F1312,DeparaIMG!B:B,DeparaIMG!D:D,,0)</f>
        <v>PCP2.png</v>
      </c>
    </row>
    <row r="1313" spans="1:9" hidden="1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_xlfn.XLOOKUP(F1313,DeparaIMG!B:B,DeparaIMG!D:D,,0)</f>
        <v>H2OHP500.png</v>
      </c>
    </row>
    <row r="1314" spans="1:9" hidden="1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_xlfn.XLOOKUP(F1314,DeparaIMG!B:B,DeparaIMG!D:D,,0)</f>
        <v>BEATSLT.png</v>
      </c>
    </row>
    <row r="1315" spans="1:9" hidden="1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_xlfn.XLOOKUP(F1315,DeparaIMG!B:B,DeparaIMG!D:D,,0)</f>
        <v>BEATSLT.png</v>
      </c>
    </row>
    <row r="1316" spans="1:9" hidden="1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_xlfn.XLOOKUP(F1316,DeparaIMG!B:B,DeparaIMG!D:D,,0)</f>
        <v>BEATSLT.png</v>
      </c>
    </row>
    <row r="1317" spans="1:9" hidden="1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_xlfn.XLOOKUP(F1317,DeparaIMG!B:B,DeparaIMG!D:D,,0)</f>
        <v>BEATSLT.png</v>
      </c>
    </row>
    <row r="1318" spans="1:9" hidden="1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_xlfn.XLOOKUP(F1318,DeparaIMG!B:B,DeparaIMG!D:D,,0)</f>
        <v>BEATSLN.png</v>
      </c>
    </row>
    <row r="1319" spans="1:9" hidden="1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_xlfn.XLOOKUP(F1319,DeparaIMG!B:B,DeparaIMG!D:D,,0)</f>
        <v>BEATSLN.png</v>
      </c>
    </row>
    <row r="1320" spans="1:9" hidden="1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_xlfn.XLOOKUP(F1320,DeparaIMG!B:B,DeparaIMG!D:D,,0)</f>
        <v>BEATSLN.png</v>
      </c>
    </row>
    <row r="1321" spans="1:9" hidden="1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_xlfn.XLOOKUP(F1321,DeparaIMG!B:B,DeparaIMG!D:D,,0)</f>
        <v>BEATSLN.png</v>
      </c>
    </row>
    <row r="1322" spans="1:9" hidden="1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_xlfn.XLOOKUP(F1322,DeparaIMG!B:B,DeparaIMG!D:D,,0)</f>
        <v>BEATSFF.png</v>
      </c>
    </row>
    <row r="1323" spans="1:9" hidden="1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_xlfn.XLOOKUP(F1323,DeparaIMG!B:B,DeparaIMG!D:D,,0)</f>
        <v>BEATSFF.png</v>
      </c>
    </row>
    <row r="1324" spans="1:9" hidden="1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_xlfn.XLOOKUP(F1324,DeparaIMG!B:B,DeparaIMG!D:D,,0)</f>
        <v>BEATSFF.png</v>
      </c>
    </row>
    <row r="1325" spans="1:9" hidden="1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_xlfn.XLOOKUP(F1325,DeparaIMG!B:B,DeparaIMG!D:D,,0)</f>
        <v>BEATSFF.png</v>
      </c>
    </row>
    <row r="1326" spans="1:9" hidden="1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_xlfn.XLOOKUP(F1326,DeparaIMG!B:B,DeparaIMG!D:D,,0)</f>
        <v>BEATSFF.png</v>
      </c>
    </row>
    <row r="1327" spans="1:9" hidden="1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_xlfn.XLOOKUP(F1327,DeparaIMG!B:B,DeparaIMG!D:D,,0)</f>
        <v>BEATSFF.png</v>
      </c>
    </row>
    <row r="1328" spans="1:9" hidden="1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_xlfn.XLOOKUP(F1328,DeparaIMG!B:B,DeparaIMG!D:D,,0)</f>
        <v>BEATSFF.png</v>
      </c>
    </row>
    <row r="1329" spans="1:9" hidden="1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_xlfn.XLOOKUP(F1329,DeparaIMG!B:B,DeparaIMG!D:D,,0)</f>
        <v>BEATSFF.png</v>
      </c>
    </row>
    <row r="1330" spans="1:9" hidden="1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_xlfn.XLOOKUP(F1330,DeparaIMG!B:B,DeparaIMG!D:D,,0)</f>
        <v>BEATSLT.png</v>
      </c>
    </row>
    <row r="1331" spans="1:9" hidden="1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_xlfn.XLOOKUP(F1331,DeparaIMG!B:B,DeparaIMG!D:D,,0)</f>
        <v>BEATSLT.png</v>
      </c>
    </row>
    <row r="1332" spans="1:9" hidden="1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_xlfn.XLOOKUP(F1332,DeparaIMG!B:B,DeparaIMG!D:D,,0)</f>
        <v>BEATSLN.png</v>
      </c>
    </row>
    <row r="1333" spans="1:9" hidden="1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_xlfn.XLOOKUP(F1333,DeparaIMG!B:B,DeparaIMG!D:D,,0)</f>
        <v>BEATSLN.png</v>
      </c>
    </row>
    <row r="1334" spans="1:9" hidden="1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_xlfn.XLOOKUP(F1334,DeparaIMG!B:B,DeparaIMG!D:D,,0)</f>
        <v>BEATSFF.png</v>
      </c>
    </row>
    <row r="1335" spans="1:9" hidden="1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_xlfn.XLOOKUP(F1335,DeparaIMG!B:B,DeparaIMG!D:D,,0)</f>
        <v>BEATSFF.png</v>
      </c>
    </row>
    <row r="1336" spans="1:9" hidden="1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_xlfn.XLOOKUP(F1336,DeparaIMG!B:B,DeparaIMG!D:D,,0)</f>
        <v>BEATSFF.png</v>
      </c>
    </row>
    <row r="1337" spans="1:9" hidden="1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_xlfn.XLOOKUP(F1337,DeparaIMG!B:B,DeparaIMG!D:D,,0)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151</v>
      </c>
      <c r="G1338">
        <v>3.29</v>
      </c>
      <c r="H1338">
        <v>2.99</v>
      </c>
      <c r="I1338" s="2" t="str">
        <f>_xlfn.XLOOKUP(F1338,DeparaIMG!B:B,DeparaIMG!D:D,,0)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152</v>
      </c>
      <c r="G1339">
        <v>3.39</v>
      </c>
      <c r="H1339">
        <v>2.4900000000000002</v>
      </c>
      <c r="I1339" s="2" t="str">
        <f>_xlfn.XLOOKUP(F1339,DeparaIMG!B:B,DeparaIMG!D:D,,0)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153</v>
      </c>
      <c r="G1340">
        <v>3.99</v>
      </c>
      <c r="H1340">
        <v>3.49</v>
      </c>
      <c r="I1340" s="2" t="str">
        <f>_xlfn.XLOOKUP(F1340,DeparaIMG!B:B,DeparaIMG!D:D,,0)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154</v>
      </c>
      <c r="G1341">
        <v>4.29</v>
      </c>
      <c r="H1341">
        <v>3.49</v>
      </c>
      <c r="I1341" s="2" t="str">
        <f>_xlfn.XLOOKUP(F1341,DeparaIMG!B:B,DeparaIMG!D:D,,0)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155</v>
      </c>
      <c r="G1342">
        <v>4.6900000000000004</v>
      </c>
      <c r="H1342">
        <v>3.99</v>
      </c>
      <c r="I1342" s="2" t="str">
        <f>_xlfn.XLOOKUP(F1342,DeparaIMG!B:B,DeparaIMG!D:D,,0)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156</v>
      </c>
      <c r="G1343">
        <v>3.79</v>
      </c>
      <c r="H1343">
        <v>3.39</v>
      </c>
      <c r="I1343" s="2" t="str">
        <f>_xlfn.XLOOKUP(F1343,DeparaIMG!B:B,DeparaIMG!D:D,,0)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157</v>
      </c>
      <c r="G1344">
        <v>6.49</v>
      </c>
      <c r="H1344">
        <v>5.99</v>
      </c>
      <c r="I1344" s="2" t="str">
        <f>_xlfn.XLOOKUP(F1344,DeparaIMG!B:B,DeparaIMG!D:D,,0)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151</v>
      </c>
      <c r="G1345">
        <v>3.29</v>
      </c>
      <c r="H1345">
        <v>3.09</v>
      </c>
      <c r="I1345" s="2" t="str">
        <f>_xlfn.XLOOKUP(F1345,DeparaIMG!B:B,DeparaIMG!D:D,,0)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158</v>
      </c>
      <c r="G1346">
        <v>3.49</v>
      </c>
      <c r="H1346">
        <v>2.99</v>
      </c>
      <c r="I1346" s="2" t="str">
        <f>_xlfn.XLOOKUP(F1346,DeparaIMG!B:B,DeparaIMG!D:D,,0)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152</v>
      </c>
      <c r="G1347">
        <v>3.59</v>
      </c>
      <c r="H1347">
        <v>3.09</v>
      </c>
      <c r="I1347" s="2" t="str">
        <f>_xlfn.XLOOKUP(F1347,DeparaIMG!B:B,DeparaIMG!D:D,,0)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153</v>
      </c>
      <c r="G1348">
        <v>3.99</v>
      </c>
      <c r="H1348">
        <v>3.49</v>
      </c>
      <c r="I1348" s="2" t="str">
        <f>_xlfn.XLOOKUP(F1348,DeparaIMG!B:B,DeparaIMG!D:D,,0)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154</v>
      </c>
      <c r="G1349">
        <v>4.29</v>
      </c>
      <c r="H1349">
        <v>3.49</v>
      </c>
      <c r="I1349" s="2" t="str">
        <f>_xlfn.XLOOKUP(F1349,DeparaIMG!B:B,DeparaIMG!D:D,,0)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155</v>
      </c>
      <c r="G1350">
        <v>4.6900000000000004</v>
      </c>
      <c r="H1350">
        <v>3.99</v>
      </c>
      <c r="I1350" s="2" t="str">
        <f>_xlfn.XLOOKUP(F1350,DeparaIMG!B:B,DeparaIMG!D:D,,0)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156</v>
      </c>
      <c r="G1351">
        <v>3.99</v>
      </c>
      <c r="H1351">
        <v>3.69</v>
      </c>
      <c r="I1351" s="2" t="str">
        <f>_xlfn.XLOOKUP(F1351,DeparaIMG!B:B,DeparaIMG!D:D,,0)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157</v>
      </c>
      <c r="G1352">
        <v>6.49</v>
      </c>
      <c r="H1352">
        <v>5.99</v>
      </c>
      <c r="I1352" s="2" t="str">
        <f>_xlfn.XLOOKUP(F1352,DeparaIMG!B:B,DeparaIMG!D:D,,0)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_xlfn.XLOOKUP(F1353,DeparaIMG!B:B,DeparaIMG!D:D,,0)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152</v>
      </c>
      <c r="G1354">
        <v>3.49</v>
      </c>
      <c r="H1354">
        <v>2.99</v>
      </c>
      <c r="I1354" s="2" t="str">
        <f>_xlfn.XLOOKUP(F1354,DeparaIMG!B:B,DeparaIMG!D:D,,0)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_xlfn.XLOOKUP(F1355,DeparaIMG!B:B,DeparaIMG!D:D,,0)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_xlfn.XLOOKUP(F1356,DeparaIMG!B:B,DeparaIMG!D:D,,0)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_xlfn.XLOOKUP(F1357,DeparaIMG!B:B,DeparaIMG!D:D,,0)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_xlfn.XLOOKUP(F1358,DeparaIMG!B:B,DeparaIMG!D:D,,0)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_xlfn.XLOOKUP(F1359,DeparaIMG!B:B,DeparaIMG!D:D,,0)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_xlfn.XLOOKUP(F1360,DeparaIMG!B:B,DeparaIMG!D:D,,0)</f>
        <v>SPTLN.png</v>
      </c>
    </row>
    <row r="1361" spans="1:9" x14ac:dyDescent="0.25">
      <c r="A1361" t="s">
        <v>98</v>
      </c>
      <c r="B1361" t="s">
        <v>62</v>
      </c>
      <c r="C1361" t="s">
        <v>28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_xlfn.XLOOKUP(F1361,DeparaIMG!B:B,DeparaIMG!D:D,,0)</f>
        <v>SK269.png</v>
      </c>
    </row>
    <row r="1362" spans="1:9" x14ac:dyDescent="0.25">
      <c r="A1362" t="s">
        <v>98</v>
      </c>
      <c r="B1362" t="s">
        <v>62</v>
      </c>
      <c r="C1362" t="s">
        <v>28</v>
      </c>
      <c r="D1362" t="s">
        <v>25</v>
      </c>
      <c r="E1362" t="s">
        <v>160</v>
      </c>
      <c r="F1362" t="s">
        <v>152</v>
      </c>
      <c r="G1362">
        <v>3.49</v>
      </c>
      <c r="H1362">
        <v>2.99</v>
      </c>
      <c r="I1362" s="2" t="str">
        <f>_xlfn.XLOOKUP(F1362,DeparaIMG!B:B,DeparaIMG!D:D,,0)</f>
        <v>BDM269.png</v>
      </c>
    </row>
    <row r="1363" spans="1:9" x14ac:dyDescent="0.25">
      <c r="A1363" t="s">
        <v>98</v>
      </c>
      <c r="B1363" t="s">
        <v>62</v>
      </c>
      <c r="C1363" t="s">
        <v>28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_xlfn.XLOOKUP(F1363,DeparaIMG!B:B,DeparaIMG!D:D,,0)</f>
        <v>SPT269.png</v>
      </c>
    </row>
    <row r="1364" spans="1:9" x14ac:dyDescent="0.25">
      <c r="A1364" t="s">
        <v>98</v>
      </c>
      <c r="B1364" t="s">
        <v>62</v>
      </c>
      <c r="C1364" t="s">
        <v>28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_xlfn.XLOOKUP(F1364,DeparaIMG!B:B,DeparaIMG!D:D,,0)</f>
        <v>STE269.png</v>
      </c>
    </row>
    <row r="1365" spans="1:9" x14ac:dyDescent="0.25">
      <c r="A1365" t="s">
        <v>98</v>
      </c>
      <c r="B1365" t="s">
        <v>62</v>
      </c>
      <c r="C1365" t="s">
        <v>28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_xlfn.XLOOKUP(F1365,DeparaIMG!B:B,DeparaIMG!D:D,,0)</f>
        <v>COR269.png</v>
      </c>
    </row>
    <row r="1366" spans="1:9" x14ac:dyDescent="0.25">
      <c r="A1366" t="s">
        <v>98</v>
      </c>
      <c r="B1366" t="s">
        <v>62</v>
      </c>
      <c r="C1366" t="s">
        <v>28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_xlfn.XLOOKUP(F1366,DeparaIMG!B:B,DeparaIMG!D:D,,0)</f>
        <v>BC350.png</v>
      </c>
    </row>
    <row r="1367" spans="1:9" x14ac:dyDescent="0.25">
      <c r="A1367" t="s">
        <v>98</v>
      </c>
      <c r="B1367" t="s">
        <v>62</v>
      </c>
      <c r="C1367" t="s">
        <v>28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_xlfn.XLOOKUP(F1367,DeparaIMG!B:B,DeparaIMG!D:D,,0)</f>
        <v>SPT350.png</v>
      </c>
    </row>
    <row r="1368" spans="1:9" x14ac:dyDescent="0.25">
      <c r="A1368" t="s">
        <v>98</v>
      </c>
      <c r="B1368" t="s">
        <v>62</v>
      </c>
      <c r="C1368" t="s">
        <v>28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_xlfn.XLOOKUP(F1368,DeparaIMG!B:B,DeparaIMG!D:D,,0)</f>
        <v>STE350.png</v>
      </c>
    </row>
    <row r="1369" spans="1:9" x14ac:dyDescent="0.25">
      <c r="A1369" t="s">
        <v>98</v>
      </c>
      <c r="B1369" t="s">
        <v>62</v>
      </c>
      <c r="C1369" t="s">
        <v>28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_xlfn.XLOOKUP(F1369,DeparaIMG!B:B,DeparaIMG!D:D,,0)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151</v>
      </c>
      <c r="G1370">
        <v>3.09</v>
      </c>
      <c r="H1370">
        <v>2.89</v>
      </c>
      <c r="I1370" s="2" t="str">
        <f>_xlfn.XLOOKUP(F1370,DeparaIMG!B:B,DeparaIMG!D:D,,0)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158</v>
      </c>
      <c r="G1371">
        <v>3.49</v>
      </c>
      <c r="H1371">
        <v>3.09</v>
      </c>
      <c r="I1371" s="2" t="str">
        <f>_xlfn.XLOOKUP(F1371,DeparaIMG!B:B,DeparaIMG!D:D,,0)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152</v>
      </c>
      <c r="G1372">
        <v>3.49</v>
      </c>
      <c r="H1372">
        <v>2.99</v>
      </c>
      <c r="I1372" s="2" t="str">
        <f>_xlfn.XLOOKUP(F1372,DeparaIMG!B:B,DeparaIMG!D:D,,0)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153</v>
      </c>
      <c r="G1373">
        <v>3.99</v>
      </c>
      <c r="H1373">
        <v>3.49</v>
      </c>
      <c r="I1373" s="2" t="str">
        <f>_xlfn.XLOOKUP(F1373,DeparaIMG!B:B,DeparaIMG!D:D,,0)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154</v>
      </c>
      <c r="G1374">
        <v>4.29</v>
      </c>
      <c r="H1374">
        <v>3.49</v>
      </c>
      <c r="I1374" s="2" t="str">
        <f>_xlfn.XLOOKUP(F1374,DeparaIMG!B:B,DeparaIMG!D:D,,0)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155</v>
      </c>
      <c r="G1375">
        <v>4.6900000000000004</v>
      </c>
      <c r="H1375">
        <v>3.99</v>
      </c>
      <c r="I1375" s="2" t="str">
        <f>_xlfn.XLOOKUP(F1375,DeparaIMG!B:B,DeparaIMG!D:D,,0)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156</v>
      </c>
      <c r="G1376">
        <v>3.99</v>
      </c>
      <c r="H1376">
        <v>3.69</v>
      </c>
      <c r="I1376" s="2" t="str">
        <f>_xlfn.XLOOKUP(F1376,DeparaIMG!B:B,DeparaIMG!D:D,,0)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157</v>
      </c>
      <c r="G1377">
        <v>6.49</v>
      </c>
      <c r="H1377">
        <v>5.99</v>
      </c>
      <c r="I1377" s="2" t="str">
        <f>_xlfn.XLOOKUP(F1377,DeparaIMG!B:B,DeparaIMG!D:D,,0)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151</v>
      </c>
      <c r="G1378">
        <v>3.39</v>
      </c>
      <c r="H1378">
        <v>3.09</v>
      </c>
      <c r="I1378" s="2" t="str">
        <f>_xlfn.XLOOKUP(F1378,DeparaIMG!B:B,DeparaIMG!D:D,,0)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158</v>
      </c>
      <c r="G1379">
        <v>3.49</v>
      </c>
      <c r="H1379">
        <v>3.09</v>
      </c>
      <c r="I1379" s="2" t="str">
        <f>_xlfn.XLOOKUP(F1379,DeparaIMG!B:B,DeparaIMG!D:D,,0)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152</v>
      </c>
      <c r="G1380">
        <v>3.49</v>
      </c>
      <c r="H1380">
        <v>2.99</v>
      </c>
      <c r="I1380" s="2" t="str">
        <f>_xlfn.XLOOKUP(F1380,DeparaIMG!B:B,DeparaIMG!D:D,,0)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153</v>
      </c>
      <c r="G1381">
        <v>3.99</v>
      </c>
      <c r="H1381">
        <v>3.49</v>
      </c>
      <c r="I1381" s="2" t="str">
        <f>_xlfn.XLOOKUP(F1381,DeparaIMG!B:B,DeparaIMG!D:D,,0)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154</v>
      </c>
      <c r="G1382">
        <v>4.29</v>
      </c>
      <c r="H1382">
        <v>3.49</v>
      </c>
      <c r="I1382" s="2" t="str">
        <f>_xlfn.XLOOKUP(F1382,DeparaIMG!B:B,DeparaIMG!D:D,,0)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155</v>
      </c>
      <c r="G1383">
        <v>4.6900000000000004</v>
      </c>
      <c r="H1383">
        <v>3.99</v>
      </c>
      <c r="I1383" s="2" t="str">
        <f>_xlfn.XLOOKUP(F1383,DeparaIMG!B:B,DeparaIMG!D:D,,0)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156</v>
      </c>
      <c r="G1384">
        <v>3.79</v>
      </c>
      <c r="H1384">
        <v>3.69</v>
      </c>
      <c r="I1384" s="2" t="str">
        <f>_xlfn.XLOOKUP(F1384,DeparaIMG!B:B,DeparaIMG!D:D,,0)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157</v>
      </c>
      <c r="G1385">
        <v>6.49</v>
      </c>
      <c r="H1385">
        <v>5.99</v>
      </c>
      <c r="I1385" s="2" t="str">
        <f>_xlfn.XLOOKUP(F1385,DeparaIMG!B:B,DeparaIMG!D:D,,0)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151</v>
      </c>
      <c r="G1386">
        <v>3.39</v>
      </c>
      <c r="H1386">
        <v>3.09</v>
      </c>
      <c r="I1386" s="2" t="str">
        <f>_xlfn.XLOOKUP(F1386,DeparaIMG!B:B,DeparaIMG!D:D,,0)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158</v>
      </c>
      <c r="G1387">
        <v>3.49</v>
      </c>
      <c r="H1387">
        <v>3.09</v>
      </c>
      <c r="I1387" s="2" t="str">
        <f>_xlfn.XLOOKUP(F1387,DeparaIMG!B:B,DeparaIMG!D:D,,0)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152</v>
      </c>
      <c r="G1388">
        <v>3.49</v>
      </c>
      <c r="H1388">
        <v>2.99</v>
      </c>
      <c r="I1388" s="2" t="str">
        <f>_xlfn.XLOOKUP(F1388,DeparaIMG!B:B,DeparaIMG!D:D,,0)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153</v>
      </c>
      <c r="G1389">
        <v>3.99</v>
      </c>
      <c r="H1389">
        <v>3.49</v>
      </c>
      <c r="I1389" s="2" t="str">
        <f>_xlfn.XLOOKUP(F1389,DeparaIMG!B:B,DeparaIMG!D:D,,0)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154</v>
      </c>
      <c r="G1390">
        <v>4.29</v>
      </c>
      <c r="H1390">
        <v>3.49</v>
      </c>
      <c r="I1390" s="2" t="str">
        <f>_xlfn.XLOOKUP(F1390,DeparaIMG!B:B,DeparaIMG!D:D,,0)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155</v>
      </c>
      <c r="G1391">
        <v>4.6900000000000004</v>
      </c>
      <c r="H1391">
        <v>3.99</v>
      </c>
      <c r="I1391" s="2" t="str">
        <f>_xlfn.XLOOKUP(F1391,DeparaIMG!B:B,DeparaIMG!D:D,,0)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156</v>
      </c>
      <c r="G1392">
        <v>3.79</v>
      </c>
      <c r="H1392">
        <v>3.69</v>
      </c>
      <c r="I1392" s="2" t="str">
        <f>_xlfn.XLOOKUP(F1392,DeparaIMG!B:B,DeparaIMG!D:D,,0)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157</v>
      </c>
      <c r="G1393">
        <v>6.49</v>
      </c>
      <c r="H1393">
        <v>5.99</v>
      </c>
      <c r="I1393" s="2" t="str">
        <f>_xlfn.XLOOKUP(F1393,DeparaIMG!B:B,DeparaIMG!D:D,,0)</f>
        <v>SPTLN.png</v>
      </c>
    </row>
  </sheetData>
  <autoFilter ref="A1:I1337" xr:uid="{34B2C8DF-4561-40B2-8E7C-6CD69559B9AE}">
    <filterColumn colId="0">
      <filters>
        <filter val="Outu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2026-10-14T14:57:21Z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