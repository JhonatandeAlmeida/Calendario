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309" documentId="11_F25DC773A252ABDACC1048AAA9DA54025ADE5901" xr6:coauthVersionLast="47" xr6:coauthVersionMax="47" xr10:uidLastSave="{A21155BC-A283-4D6C-B0AA-77D18E383556}"/>
  <bookViews>
    <workbookView xWindow="-120" yWindow="-120" windowWidth="29040" windowHeight="15720" activeTab="2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0" hidden="1">DeparaIMG!$A$1:$D$37</definedName>
    <definedName name="_xlnm._FilterDatabase" localSheetId="3" hidden="1">PRODUTOS!$Q$1:$V$361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3" i="3" l="1"/>
  <c r="I105" i="3"/>
  <c r="I80" i="3"/>
  <c r="I79" i="3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X2" i="3" a="1"/>
  <c r="X2" i="3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D13" i="5"/>
  <c r="D12" i="5"/>
  <c r="D11" i="5"/>
  <c r="D10" i="5"/>
  <c r="D9" i="5"/>
  <c r="D8" i="5"/>
  <c r="D7" i="5"/>
  <c r="D6" i="5"/>
  <c r="D5" i="5"/>
  <c r="D4" i="5"/>
  <c r="D3" i="5"/>
  <c r="D2" i="5"/>
  <c r="I369" i="3" l="1"/>
  <c r="I368" i="3"/>
  <c r="I332" i="3"/>
  <c r="I331" i="3"/>
  <c r="I117" i="3"/>
  <c r="I116" i="3"/>
  <c r="I107" i="3"/>
  <c r="I106" i="3"/>
  <c r="I104" i="3"/>
  <c r="I103" i="3"/>
  <c r="I78" i="3"/>
  <c r="I77" i="3"/>
  <c r="I76" i="3"/>
  <c r="I404" i="3"/>
  <c r="I403" i="3"/>
  <c r="I366" i="3"/>
  <c r="I365" i="3"/>
  <c r="I329" i="3"/>
  <c r="I328" i="3"/>
  <c r="I96" i="3"/>
  <c r="I95" i="3"/>
  <c r="I94" i="3"/>
  <c r="I93" i="3"/>
  <c r="I92" i="3"/>
  <c r="I91" i="3"/>
  <c r="I90" i="3"/>
  <c r="I89" i="3"/>
  <c r="I88" i="3"/>
  <c r="I87" i="3"/>
  <c r="I86" i="3"/>
  <c r="I85" i="3"/>
  <c r="I82" i="3"/>
  <c r="I81" i="3"/>
  <c r="I402" i="3"/>
  <c r="I114" i="3"/>
  <c r="I108" i="3"/>
  <c r="I84" i="3"/>
  <c r="I83" i="3"/>
  <c r="I406" i="3"/>
  <c r="I405" i="3"/>
  <c r="I367" i="3"/>
  <c r="I330" i="3"/>
  <c r="I115" i="3"/>
  <c r="I113" i="3"/>
  <c r="I112" i="3"/>
  <c r="I111" i="3"/>
  <c r="I110" i="3"/>
  <c r="I109" i="3"/>
  <c r="I102" i="3"/>
  <c r="I101" i="3"/>
  <c r="I100" i="3"/>
  <c r="I99" i="3"/>
  <c r="I98" i="3"/>
  <c r="I97" i="3"/>
  <c r="I407" i="3"/>
  <c r="I370" i="3"/>
  <c r="I333" i="3"/>
  <c r="I128" i="3"/>
  <c r="I127" i="3"/>
  <c r="I126" i="3"/>
  <c r="I125" i="3"/>
  <c r="I124" i="3"/>
  <c r="I123" i="3"/>
  <c r="I122" i="3"/>
  <c r="I121" i="3"/>
  <c r="I120" i="3"/>
  <c r="I119" i="3"/>
  <c r="I118" i="3"/>
  <c r="I415" i="3"/>
  <c r="I414" i="3"/>
  <c r="I409" i="3"/>
  <c r="I408" i="3"/>
  <c r="I378" i="3"/>
  <c r="I377" i="3"/>
  <c r="I372" i="3"/>
  <c r="I371" i="3"/>
  <c r="I341" i="3"/>
  <c r="I340" i="3"/>
  <c r="I335" i="3"/>
  <c r="I334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373" i="3"/>
  <c r="I336" i="3"/>
  <c r="I145" i="3"/>
  <c r="I144" i="3"/>
  <c r="I416" i="3"/>
  <c r="I410" i="3"/>
  <c r="I381" i="3"/>
  <c r="I374" i="3"/>
  <c r="I344" i="3"/>
  <c r="I337" i="3"/>
  <c r="I191" i="3"/>
  <c r="I190" i="3"/>
  <c r="I189" i="3"/>
  <c r="I188" i="3"/>
  <c r="I187" i="3"/>
  <c r="I186" i="3"/>
  <c r="I185" i="3"/>
  <c r="I152" i="3"/>
  <c r="I151" i="3"/>
  <c r="I150" i="3"/>
  <c r="I149" i="3"/>
  <c r="I148" i="3"/>
  <c r="I147" i="3"/>
  <c r="I146" i="3"/>
  <c r="I412" i="3"/>
  <c r="I411" i="3"/>
  <c r="I376" i="3"/>
  <c r="I375" i="3"/>
  <c r="I339" i="3"/>
  <c r="I338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413" i="3"/>
  <c r="I168" i="3"/>
  <c r="I167" i="3"/>
  <c r="I419" i="3"/>
  <c r="I417" i="3"/>
  <c r="I380" i="3"/>
  <c r="I379" i="3"/>
  <c r="I343" i="3"/>
  <c r="I342" i="3"/>
  <c r="I214" i="3"/>
  <c r="I213" i="3"/>
  <c r="I212" i="3"/>
  <c r="I211" i="3"/>
  <c r="I210" i="3"/>
  <c r="I209" i="3"/>
  <c r="I208" i="3"/>
  <c r="I207" i="3"/>
  <c r="I206" i="3"/>
  <c r="I204" i="3"/>
  <c r="I203" i="3"/>
  <c r="I201" i="3"/>
  <c r="I184" i="3"/>
  <c r="I183" i="3"/>
  <c r="I199" i="3"/>
  <c r="I198" i="3"/>
  <c r="I197" i="3"/>
  <c r="I196" i="3"/>
  <c r="I195" i="3"/>
  <c r="I194" i="3"/>
  <c r="I193" i="3"/>
  <c r="I192" i="3"/>
  <c r="I418" i="3"/>
  <c r="I382" i="3"/>
  <c r="I345" i="3"/>
  <c r="I205" i="3"/>
  <c r="I202" i="3"/>
  <c r="I200" i="3"/>
  <c r="I218" i="3"/>
  <c r="I217" i="3"/>
  <c r="I216" i="3"/>
  <c r="I215" i="3"/>
  <c r="I423" i="3"/>
  <c r="I420" i="3"/>
  <c r="I386" i="3"/>
  <c r="I385" i="3"/>
  <c r="I349" i="3"/>
  <c r="I348" i="3"/>
  <c r="I238" i="3"/>
  <c r="I231" i="3"/>
  <c r="I230" i="3"/>
  <c r="I229" i="3"/>
  <c r="I220" i="3"/>
  <c r="I219" i="3"/>
  <c r="I422" i="3"/>
  <c r="I421" i="3"/>
  <c r="I384" i="3"/>
  <c r="I383" i="3"/>
  <c r="I347" i="3"/>
  <c r="I346" i="3"/>
  <c r="I237" i="3"/>
  <c r="I236" i="3"/>
  <c r="I235" i="3"/>
  <c r="I234" i="3"/>
  <c r="I233" i="3"/>
  <c r="I232" i="3"/>
  <c r="I228" i="3"/>
  <c r="I227" i="3"/>
  <c r="I226" i="3"/>
  <c r="I225" i="3"/>
  <c r="I224" i="3"/>
  <c r="I223" i="3"/>
  <c r="I222" i="3"/>
  <c r="I221" i="3"/>
  <c r="I424" i="3"/>
  <c r="I387" i="3"/>
  <c r="I350" i="3"/>
  <c r="I243" i="3"/>
  <c r="I242" i="3"/>
  <c r="I239" i="3"/>
  <c r="I426" i="3"/>
  <c r="I425" i="3"/>
  <c r="I389" i="3"/>
  <c r="I388" i="3"/>
  <c r="I352" i="3"/>
  <c r="I351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1" i="3"/>
  <c r="I240" i="3"/>
  <c r="I427" i="3"/>
  <c r="I393" i="3"/>
  <c r="I392" i="3"/>
  <c r="I356" i="3"/>
  <c r="I355" i="3"/>
  <c r="I271" i="3"/>
  <c r="I264" i="3"/>
  <c r="I263" i="3"/>
  <c r="I262" i="3"/>
  <c r="I259" i="3"/>
  <c r="I258" i="3"/>
  <c r="I257" i="3"/>
  <c r="I256" i="3"/>
  <c r="I428" i="3"/>
  <c r="I391" i="3"/>
  <c r="I390" i="3"/>
  <c r="I354" i="3"/>
  <c r="I353" i="3"/>
  <c r="I270" i="3"/>
  <c r="I269" i="3"/>
  <c r="I268" i="3"/>
  <c r="I267" i="3"/>
  <c r="I266" i="3"/>
  <c r="I265" i="3"/>
  <c r="I261" i="3"/>
  <c r="I260" i="3"/>
  <c r="I430" i="3"/>
  <c r="I429" i="3"/>
  <c r="I395" i="3"/>
  <c r="I394" i="3"/>
  <c r="I358" i="3"/>
  <c r="I357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432" i="3"/>
  <c r="I431" i="3"/>
  <c r="I397" i="3"/>
  <c r="I396" i="3"/>
  <c r="I360" i="3"/>
  <c r="I359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434" i="3"/>
  <c r="I433" i="3"/>
  <c r="I400" i="3"/>
  <c r="I398" i="3"/>
  <c r="I363" i="3"/>
  <c r="I361" i="3"/>
  <c r="I319" i="3"/>
  <c r="I318" i="3"/>
  <c r="I317" i="3"/>
  <c r="I316" i="3"/>
  <c r="I315" i="3"/>
  <c r="I314" i="3"/>
  <c r="I313" i="3"/>
  <c r="I312" i="3"/>
  <c r="I305" i="3"/>
  <c r="I304" i="3"/>
  <c r="I303" i="3"/>
  <c r="I302" i="3"/>
  <c r="I301" i="3"/>
  <c r="I300" i="3"/>
  <c r="I436" i="3"/>
  <c r="I435" i="3"/>
  <c r="I401" i="3"/>
  <c r="I399" i="3"/>
  <c r="I364" i="3"/>
  <c r="I362" i="3"/>
  <c r="I327" i="3"/>
  <c r="I326" i="3"/>
  <c r="I325" i="3"/>
  <c r="I324" i="3"/>
  <c r="I323" i="3"/>
  <c r="I322" i="3"/>
  <c r="I321" i="3"/>
  <c r="I320" i="3"/>
  <c r="I311" i="3"/>
  <c r="I310" i="3"/>
  <c r="I309" i="3"/>
  <c r="I308" i="3"/>
  <c r="I307" i="3"/>
  <c r="I306" i="3"/>
  <c r="I57" i="3"/>
  <c r="I2" i="3"/>
  <c r="I61" i="3"/>
  <c r="I60" i="3"/>
  <c r="I59" i="3"/>
  <c r="I58" i="3"/>
  <c r="I6" i="3"/>
  <c r="I5" i="3"/>
  <c r="I4" i="3"/>
  <c r="I3" i="3"/>
  <c r="I66" i="3"/>
  <c r="I65" i="3"/>
  <c r="I64" i="3"/>
  <c r="I63" i="3"/>
  <c r="I62" i="3"/>
  <c r="I11" i="3"/>
  <c r="I10" i="3"/>
  <c r="I9" i="3"/>
  <c r="I8" i="3"/>
  <c r="I7" i="3"/>
  <c r="I32" i="3"/>
  <c r="I12" i="3"/>
  <c r="I36" i="3"/>
  <c r="I35" i="3"/>
  <c r="I34" i="3"/>
  <c r="I33" i="3"/>
  <c r="I16" i="3"/>
  <c r="I15" i="3"/>
  <c r="I14" i="3"/>
  <c r="I13" i="3"/>
  <c r="I75" i="3"/>
  <c r="I74" i="3"/>
  <c r="I73" i="3"/>
  <c r="I72" i="3"/>
  <c r="I71" i="3"/>
  <c r="I21" i="3"/>
  <c r="I20" i="3"/>
  <c r="I19" i="3"/>
  <c r="I18" i="3"/>
  <c r="I17" i="3"/>
  <c r="I46" i="3"/>
  <c r="I45" i="3"/>
  <c r="I44" i="3"/>
  <c r="I43" i="3"/>
  <c r="I42" i="3"/>
  <c r="I26" i="3"/>
  <c r="I25" i="3"/>
  <c r="I24" i="3"/>
  <c r="I23" i="3"/>
  <c r="I22" i="3"/>
  <c r="I31" i="3"/>
  <c r="I30" i="3"/>
  <c r="I29" i="3"/>
  <c r="I28" i="3"/>
  <c r="I27" i="3"/>
  <c r="I41" i="3"/>
  <c r="I40" i="3"/>
  <c r="I39" i="3"/>
  <c r="I38" i="3"/>
  <c r="I37" i="3"/>
  <c r="I51" i="3"/>
  <c r="I50" i="3"/>
  <c r="I49" i="3"/>
  <c r="I48" i="3"/>
  <c r="I47" i="3"/>
  <c r="I56" i="3"/>
  <c r="I55" i="3"/>
  <c r="I54" i="3"/>
  <c r="I53" i="3"/>
  <c r="I52" i="3"/>
  <c r="I70" i="3"/>
  <c r="I69" i="3"/>
  <c r="I68" i="3"/>
  <c r="I67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<sst xmlns="http://schemas.openxmlformats.org/spreadsheetml/2006/main" count="4186" uniqueCount="115">
  <si>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</si>
  <si>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</si>
  <si>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</si>
  <si>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</si>
  <si>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</si>
  <si>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</si>
  <si>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</si>
  <si>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</si>
  <si>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</si>
  <si>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</si>
  <si>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Imagem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</si>
  <si>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</si>
  <si>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</si>
  <si>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</si>
  <si>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</si>
  <si>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</si>
  <si>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</si>
  <si>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</si>
  <si>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</si>
  <si>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</si>
  <si>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</si>
  <si>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</si>
  <si>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</si>
  <si>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</si>
  <si>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</si>
  <si>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</si>
  <si>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</si>
  <si>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</si>
  <si>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</si>
  <si>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</si>
  <si>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</si>
  <si>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</si>
  <si>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</si>
  <si>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</si>
  <si>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</si>
  <si>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</si>
  <si>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</si>
  <si>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</si>
  <si>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</si>
  <si>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</si>
  <si>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</si>
  <si>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</si>
  <si>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</si>
  <si>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</si>
  <si>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</si>
  <si>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</si>
  <si>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</si>
  <si>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</si>
  <si>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</si>
  <si>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</si>
  <si>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</si>
  <si>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</si>
  <si>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</si>
  <si>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</si>
  <si>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</si>
  <si>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</si>
  <si>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</si>
  <si>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</si>
  <si>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</si>
  <si>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</si>
  <si>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</si>
  <si>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</si>
  <si>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</si>
  <si>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</si>
  <si>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</si>
  <si>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2Q</t>
  </si>
  <si>
    <t>SK ZERO 269</t>
  </si>
  <si>
    <t>SK ZERO 350</t>
  </si>
  <si>
    <t>STE 350</t>
  </si>
  <si>
    <t>CLUSTER</t>
  </si>
  <si>
    <t>Q1/Q2</t>
  </si>
  <si>
    <t>PARA</t>
  </si>
  <si>
    <t>SK 269</t>
  </si>
  <si>
    <t>SK 269 MP</t>
  </si>
  <si>
    <t>1Q</t>
  </si>
  <si>
    <t>BC 269 MP</t>
  </si>
  <si>
    <t>AP 269</t>
  </si>
  <si>
    <t>BC 269</t>
  </si>
  <si>
    <t>BUD 269 MP</t>
  </si>
  <si>
    <t>BUD 269</t>
  </si>
  <si>
    <t>BC 0 350</t>
  </si>
  <si>
    <t>ORI 269 MP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</si>
  <si>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</si>
  <si>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</si>
  <si>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</si>
  <si>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</si>
  <si>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</si>
  <si>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</si>
  <si>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</si>
  <si>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</si>
  <si>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</si>
  <si>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</si>
  <si>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</si>
  <si>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</si>
  <si>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</si>
  <si>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</si>
  <si>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</si>
  <si>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</si>
  <si>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UF</t>
  </si>
  <si>
    <t>MS</t>
  </si>
  <si>
    <t>MT</t>
  </si>
  <si>
    <t>RO</t>
  </si>
  <si>
    <t>AC</t>
  </si>
  <si>
    <t>ac</t>
  </si>
  <si>
    <t>PA</t>
  </si>
  <si>
    <t>RR</t>
  </si>
  <si>
    <t>TO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</si>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</sst>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37"/>
  <sheetViews>
    <sheetView workbookViewId="0">
      <selection activeCell="C1" sqref="C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56</v>
      </c>
      <c r="D1" s="4" t="s">
        <v>57</v>
      </c>
    </row>
    <row r="2" spans="1:4" x14ac:dyDescent="0.25">
      <c r="A2" t="s">
        <v>63</v>
      </c>
      <c r="B2" t="s">
        <v>32</v>
      </c>
      <c r="C2" t="s">
        <v>44</v>
      </c>
      <c r="D2" t="str">
        <f>C2&amp;".png"</f>
        <v>GCAP1.png</v>
      </c>
    </row>
    <row r="3" spans="1:4" x14ac:dyDescent="0.25">
      <c r="A3" t="s">
        <v>63</v>
      </c>
      <c r="B3" t="s">
        <v>33</v>
      </c>
      <c r="C3" t="s">
        <v>49</v>
      </c>
      <c r="D3" t="str">
        <f t="shared" ref="D3:D37" si="0">C3&amp;".png"</f>
        <v>GCAP1,5.png</v>
      </c>
    </row>
    <row r="4" spans="1:4" x14ac:dyDescent="0.25">
      <c r="A4" t="s">
        <v>63</v>
      </c>
      <c r="B4" t="s">
        <v>34</v>
      </c>
      <c r="C4" t="s">
        <v>45</v>
      </c>
      <c r="D4" t="str">
        <f t="shared" si="0"/>
        <v>PCP2.png</v>
      </c>
    </row>
    <row r="5" spans="1:4" x14ac:dyDescent="0.25">
      <c r="A5" t="s">
        <v>63</v>
      </c>
      <c r="B5" t="s">
        <v>35</v>
      </c>
      <c r="C5" t="s">
        <v>46</v>
      </c>
      <c r="D5" t="str">
        <f t="shared" si="0"/>
        <v>BAREP2.png</v>
      </c>
    </row>
    <row r="6" spans="1:4" x14ac:dyDescent="0.25">
      <c r="A6" t="s">
        <v>63</v>
      </c>
      <c r="B6" t="s">
        <v>36</v>
      </c>
      <c r="C6" t="s">
        <v>50</v>
      </c>
      <c r="D6" t="str">
        <f t="shared" si="0"/>
        <v>H2OHP500.png</v>
      </c>
    </row>
    <row r="7" spans="1:4" x14ac:dyDescent="0.25">
      <c r="A7" t="s">
        <v>63</v>
      </c>
      <c r="B7" t="s">
        <v>37</v>
      </c>
      <c r="C7" t="s">
        <v>47</v>
      </c>
      <c r="D7" t="str">
        <f t="shared" si="0"/>
        <v>SUKP2.png</v>
      </c>
    </row>
    <row r="8" spans="1:4" x14ac:dyDescent="0.25">
      <c r="A8" t="s">
        <v>63</v>
      </c>
      <c r="B8" t="s">
        <v>38</v>
      </c>
      <c r="C8" t="s">
        <v>48</v>
      </c>
      <c r="D8" t="str">
        <f t="shared" si="0"/>
        <v>GCAP2.png</v>
      </c>
    </row>
    <row r="9" spans="1:4" x14ac:dyDescent="0.25">
      <c r="A9" t="s">
        <v>63</v>
      </c>
      <c r="B9" t="s">
        <v>39</v>
      </c>
      <c r="C9" t="s">
        <v>51</v>
      </c>
      <c r="D9" t="str">
        <f t="shared" si="0"/>
        <v>GCA350.png</v>
      </c>
    </row>
    <row r="10" spans="1:4" x14ac:dyDescent="0.25">
      <c r="A10" t="s">
        <v>63</v>
      </c>
      <c r="B10" t="s">
        <v>40</v>
      </c>
      <c r="C10" t="s">
        <v>54</v>
      </c>
      <c r="D10" t="str">
        <f t="shared" si="0"/>
        <v>PCB350.png</v>
      </c>
    </row>
    <row r="11" spans="1:4" x14ac:dyDescent="0.25">
      <c r="A11" t="s">
        <v>63</v>
      </c>
      <c r="B11" t="s">
        <v>41</v>
      </c>
      <c r="C11" t="s">
        <v>52</v>
      </c>
      <c r="D11" t="str">
        <f t="shared" si="0"/>
        <v>GCA269.png</v>
      </c>
    </row>
    <row r="12" spans="1:4" x14ac:dyDescent="0.25">
      <c r="A12" t="s">
        <v>63</v>
      </c>
      <c r="B12" t="s">
        <v>42</v>
      </c>
      <c r="C12" t="s">
        <v>53</v>
      </c>
      <c r="D12" t="str">
        <f t="shared" si="0"/>
        <v>PC269.png</v>
      </c>
    </row>
    <row r="13" spans="1:4" x14ac:dyDescent="0.25">
      <c r="A13" t="s">
        <v>63</v>
      </c>
      <c r="B13" t="s">
        <v>43</v>
      </c>
      <c r="C13" t="s">
        <v>55</v>
      </c>
      <c r="D13" t="str">
        <f t="shared" si="0"/>
        <v>H2OHP1,5.png</v>
      </c>
    </row>
    <row r="14" spans="1:4" x14ac:dyDescent="0.25">
      <c r="A14" t="s">
        <v>64</v>
      </c>
      <c r="B14" t="s">
        <v>72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64</v>
      </c>
      <c r="B15" t="s">
        <v>66</v>
      </c>
      <c r="C15" t="str">
        <f t="shared" ref="C15:C37" si="1">SUBSTITUTE(B15," ","")</f>
        <v>SKZERO269</v>
      </c>
      <c r="D15" t="str">
        <f t="shared" si="0"/>
        <v>SKZERO269.png</v>
      </c>
    </row>
    <row r="16" spans="1:4" x14ac:dyDescent="0.25">
      <c r="A16" t="s">
        <v>64</v>
      </c>
      <c r="B16" t="s">
        <v>76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64</v>
      </c>
      <c r="B17" t="s">
        <v>77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64</v>
      </c>
      <c r="B18" t="s">
        <v>79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64</v>
      </c>
      <c r="B19" t="s">
        <v>80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64</v>
      </c>
      <c r="B20" t="s">
        <v>82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64</v>
      </c>
      <c r="B21" t="s">
        <v>67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64</v>
      </c>
      <c r="B22" t="s">
        <v>83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64</v>
      </c>
      <c r="B23" t="s">
        <v>84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64</v>
      </c>
      <c r="B24" t="s">
        <v>85</v>
      </c>
      <c r="C24" t="s">
        <v>110</v>
      </c>
      <c r="D24" t="str">
        <f t="shared" si="0"/>
        <v>BUDZERO350.png</v>
      </c>
    </row>
    <row r="25" spans="1:4" x14ac:dyDescent="0.25">
      <c r="A25" t="s">
        <v>64</v>
      </c>
      <c r="B25" t="s">
        <v>86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64</v>
      </c>
      <c r="B26" t="s">
        <v>87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64</v>
      </c>
      <c r="B27" t="s">
        <v>88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64</v>
      </c>
      <c r="B28" t="s">
        <v>68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64</v>
      </c>
      <c r="B29" t="s">
        <v>89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64</v>
      </c>
      <c r="B30" t="s">
        <v>90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64</v>
      </c>
      <c r="B31" t="s">
        <v>91</v>
      </c>
      <c r="C31" t="s">
        <v>109</v>
      </c>
      <c r="D31" t="str">
        <f t="shared" si="0"/>
        <v>CORCERO350.png</v>
      </c>
    </row>
    <row r="32" spans="1:4" x14ac:dyDescent="0.25">
      <c r="A32" t="s">
        <v>64</v>
      </c>
      <c r="B32" t="s">
        <v>92</v>
      </c>
      <c r="C32" t="s">
        <v>107</v>
      </c>
      <c r="D32" t="str">
        <f t="shared" si="0"/>
        <v>BUDZEROLN.png</v>
      </c>
    </row>
    <row r="33" spans="1:4" x14ac:dyDescent="0.25">
      <c r="A33" t="s">
        <v>64</v>
      </c>
      <c r="B33" t="s">
        <v>93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64</v>
      </c>
      <c r="B34" t="s">
        <v>94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64</v>
      </c>
      <c r="B35" t="s">
        <v>95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64</v>
      </c>
      <c r="B36" t="s">
        <v>96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64</v>
      </c>
      <c r="B37" t="s">
        <v>97</v>
      </c>
      <c r="C37" t="s">
        <v>108</v>
      </c>
      <c r="D37" t="str">
        <f t="shared" si="0"/>
        <v>CORCEROLN.png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5"/>
  <sheetViews>
    <sheetView workbookViewId="0">
      <selection activeCell="B2" sqref="B2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21</v>
      </c>
    </row>
    <row r="3" spans="1:2" x14ac:dyDescent="0.25">
      <c r="A3" s="3">
        <f>A2+1</f>
        <v>46267</v>
      </c>
      <c r="B3" s="2" t="s">
        <v>21</v>
      </c>
    </row>
    <row r="4" spans="1:2" x14ac:dyDescent="0.25">
      <c r="A4" s="3">
        <f t="shared" ref="A4:A35" si="0">A3+1</f>
        <v>46268</v>
      </c>
      <c r="B4" s="2" t="s">
        <v>21</v>
      </c>
    </row>
    <row r="5" spans="1:2" x14ac:dyDescent="0.25">
      <c r="A5" s="3">
        <f t="shared" si="0"/>
        <v>46269</v>
      </c>
      <c r="B5" s="2" t="s">
        <v>21</v>
      </c>
    </row>
    <row r="6" spans="1:2" x14ac:dyDescent="0.25">
      <c r="A6" s="3">
        <f t="shared" si="0"/>
        <v>46270</v>
      </c>
      <c r="B6" s="2" t="s">
        <v>21</v>
      </c>
    </row>
    <row r="7" spans="1:2" x14ac:dyDescent="0.25">
      <c r="A7" s="3">
        <f t="shared" si="0"/>
        <v>46271</v>
      </c>
      <c r="B7" s="2" t="s">
        <v>21</v>
      </c>
    </row>
    <row r="8" spans="1:2" x14ac:dyDescent="0.25">
      <c r="A8" s="3">
        <f t="shared" si="0"/>
        <v>46272</v>
      </c>
      <c r="B8" s="2" t="s">
        <v>21</v>
      </c>
    </row>
    <row r="9" spans="1:2" x14ac:dyDescent="0.25">
      <c r="A9" s="3">
        <f t="shared" si="0"/>
        <v>46273</v>
      </c>
      <c r="B9" s="2" t="s">
        <v>21</v>
      </c>
    </row>
    <row r="10" spans="1:2" x14ac:dyDescent="0.25">
      <c r="A10" s="3">
        <f t="shared" si="0"/>
        <v>46274</v>
      </c>
      <c r="B10" s="2" t="s">
        <v>21</v>
      </c>
    </row>
    <row r="11" spans="1:2" x14ac:dyDescent="0.25">
      <c r="A11" s="3">
        <f t="shared" si="0"/>
        <v>46275</v>
      </c>
      <c r="B11" s="2" t="s">
        <v>21</v>
      </c>
    </row>
    <row r="12" spans="1:2" x14ac:dyDescent="0.25">
      <c r="A12" s="3">
        <f t="shared" si="0"/>
        <v>46276</v>
      </c>
      <c r="B12" s="2" t="s">
        <v>21</v>
      </c>
    </row>
    <row r="13" spans="1:2" x14ac:dyDescent="0.25">
      <c r="A13" s="3">
        <f t="shared" si="0"/>
        <v>46277</v>
      </c>
      <c r="B13" s="2" t="s">
        <v>21</v>
      </c>
    </row>
    <row r="14" spans="1:2" x14ac:dyDescent="0.25">
      <c r="A14" s="3">
        <f t="shared" si="0"/>
        <v>46278</v>
      </c>
      <c r="B14" s="2" t="s">
        <v>21</v>
      </c>
    </row>
    <row r="15" spans="1:2" x14ac:dyDescent="0.25">
      <c r="A15" s="3">
        <f t="shared" si="0"/>
        <v>46279</v>
      </c>
      <c r="B15" s="2" t="s">
        <v>22</v>
      </c>
    </row>
    <row r="16" spans="1:2" x14ac:dyDescent="0.25">
      <c r="A16" s="3">
        <f t="shared" si="0"/>
        <v>46280</v>
      </c>
      <c r="B16" s="2" t="s">
        <v>22</v>
      </c>
    </row>
    <row r="17" spans="1:2" x14ac:dyDescent="0.25">
      <c r="A17" s="3">
        <f t="shared" si="0"/>
        <v>46281</v>
      </c>
      <c r="B17" s="2" t="s">
        <v>22</v>
      </c>
    </row>
    <row r="18" spans="1:2" x14ac:dyDescent="0.25">
      <c r="A18" s="3">
        <f t="shared" si="0"/>
        <v>46282</v>
      </c>
      <c r="B18" s="2" t="s">
        <v>22</v>
      </c>
    </row>
    <row r="19" spans="1:2" x14ac:dyDescent="0.25">
      <c r="A19" s="3">
        <f t="shared" si="0"/>
        <v>46283</v>
      </c>
      <c r="B19" s="2" t="s">
        <v>22</v>
      </c>
    </row>
    <row r="20" spans="1:2" x14ac:dyDescent="0.25">
      <c r="A20" s="3">
        <f t="shared" si="0"/>
        <v>46284</v>
      </c>
      <c r="B20" s="2" t="s">
        <v>22</v>
      </c>
    </row>
    <row r="21" spans="1:2" x14ac:dyDescent="0.25">
      <c r="A21" s="3">
        <f t="shared" si="0"/>
        <v>46285</v>
      </c>
      <c r="B21" s="2" t="s">
        <v>22</v>
      </c>
    </row>
    <row r="22" spans="1:2" x14ac:dyDescent="0.25">
      <c r="A22" s="3">
        <f t="shared" si="0"/>
        <v>46286</v>
      </c>
      <c r="B22" s="2" t="s">
        <v>22</v>
      </c>
    </row>
    <row r="23" spans="1:2" x14ac:dyDescent="0.25">
      <c r="A23" s="3">
        <f t="shared" si="0"/>
        <v>46287</v>
      </c>
      <c r="B23" s="2" t="s">
        <v>22</v>
      </c>
    </row>
    <row r="24" spans="1:2" x14ac:dyDescent="0.25">
      <c r="A24" s="3">
        <f t="shared" si="0"/>
        <v>46288</v>
      </c>
      <c r="B24" s="2" t="s">
        <v>22</v>
      </c>
    </row>
    <row r="25" spans="1:2" x14ac:dyDescent="0.25">
      <c r="A25" s="3">
        <f t="shared" si="0"/>
        <v>46289</v>
      </c>
      <c r="B25" s="2" t="s">
        <v>22</v>
      </c>
    </row>
    <row r="26" spans="1:2" x14ac:dyDescent="0.25">
      <c r="A26" s="3">
        <f t="shared" si="0"/>
        <v>46290</v>
      </c>
      <c r="B26" s="2" t="s">
        <v>22</v>
      </c>
    </row>
    <row r="27" spans="1:2" x14ac:dyDescent="0.25">
      <c r="A27" s="3">
        <f t="shared" si="0"/>
        <v>46291</v>
      </c>
      <c r="B27" s="2" t="s">
        <v>22</v>
      </c>
    </row>
    <row r="28" spans="1:2" x14ac:dyDescent="0.25">
      <c r="A28" s="3">
        <f t="shared" si="0"/>
        <v>46292</v>
      </c>
      <c r="B28" s="2" t="s">
        <v>22</v>
      </c>
    </row>
    <row r="29" spans="1:2" x14ac:dyDescent="0.25">
      <c r="A29" s="3">
        <f t="shared" si="0"/>
        <v>46293</v>
      </c>
      <c r="B29" s="2" t="s">
        <v>22</v>
      </c>
    </row>
    <row r="30" spans="1:2" x14ac:dyDescent="0.25">
      <c r="A30" s="3">
        <f t="shared" si="0"/>
        <v>46294</v>
      </c>
      <c r="B30" s="2" t="s">
        <v>22</v>
      </c>
    </row>
    <row r="31" spans="1:2" x14ac:dyDescent="0.25">
      <c r="A31" s="3">
        <f t="shared" si="0"/>
        <v>46295</v>
      </c>
      <c r="B31" s="2" t="s">
        <v>22</v>
      </c>
    </row>
    <row r="32" spans="1:2" x14ac:dyDescent="0.25">
      <c r="A32" s="3">
        <f t="shared" si="0"/>
        <v>46296</v>
      </c>
      <c r="B32" s="2" t="s">
        <v>22</v>
      </c>
    </row>
    <row r="33" spans="1:2" x14ac:dyDescent="0.25">
      <c r="A33" s="3">
        <f t="shared" si="0"/>
        <v>46297</v>
      </c>
      <c r="B33" s="2" t="s">
        <v>22</v>
      </c>
    </row>
    <row r="34" spans="1:2" x14ac:dyDescent="0.25">
      <c r="A34" s="3">
        <f t="shared" si="0"/>
        <v>46298</v>
      </c>
      <c r="B34" s="2" t="s">
        <v>22</v>
      </c>
    </row>
    <row r="35" spans="1:2" x14ac:dyDescent="0.25">
      <c r="A35" s="3">
        <f t="shared" si="0"/>
        <v>46299</v>
      </c>
      <c r="B35" s="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14"/>
  <sheetViews>
    <sheetView tabSelected="1" workbookViewId="0">
      <selection activeCell="D13" sqref="D13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11</v>
      </c>
      <c r="B2" s="2" t="s">
        <v>63</v>
      </c>
      <c r="C2" s="2" t="s">
        <v>24</v>
      </c>
      <c r="D2" s="2" t="s">
        <v>58</v>
      </c>
    </row>
    <row r="3" spans="1:4" x14ac:dyDescent="0.25">
      <c r="A3" s="2" t="s">
        <v>11</v>
      </c>
      <c r="B3" s="2" t="s">
        <v>63</v>
      </c>
      <c r="C3" s="2" t="s">
        <v>24</v>
      </c>
      <c r="D3" s="2" t="s">
        <v>60</v>
      </c>
    </row>
    <row r="4" spans="1:4" x14ac:dyDescent="0.25">
      <c r="A4" s="2" t="s">
        <v>11</v>
      </c>
      <c r="B4" s="2" t="s">
        <v>63</v>
      </c>
      <c r="C4" s="2" t="s">
        <v>24</v>
      </c>
      <c r="D4" s="2" t="s">
        <v>59</v>
      </c>
    </row>
    <row r="5" spans="1:4" x14ac:dyDescent="0.25">
      <c r="A5" s="2" t="s">
        <v>11</v>
      </c>
      <c r="B5" s="2" t="s">
        <v>63</v>
      </c>
      <c r="C5" s="2" t="s">
        <v>24</v>
      </c>
      <c r="D5" s="2" t="s">
        <v>61</v>
      </c>
    </row>
    <row r="6" spans="1:4" x14ac:dyDescent="0.25">
      <c r="A6" s="2" t="s">
        <v>11</v>
      </c>
      <c r="B6" s="2" t="s">
        <v>63</v>
      </c>
      <c r="C6" s="2" t="s">
        <v>25</v>
      </c>
      <c r="D6" s="2" t="s">
        <v>58</v>
      </c>
    </row>
    <row r="7" spans="1:4" x14ac:dyDescent="0.25">
      <c r="A7" s="2" t="s">
        <v>11</v>
      </c>
      <c r="B7" s="2" t="s">
        <v>63</v>
      </c>
      <c r="C7" s="2" t="s">
        <v>25</v>
      </c>
      <c r="D7" s="2" t="s">
        <v>60</v>
      </c>
    </row>
    <row r="8" spans="1:4" x14ac:dyDescent="0.25">
      <c r="A8" s="2" t="s">
        <v>11</v>
      </c>
      <c r="B8" s="2" t="s">
        <v>63</v>
      </c>
      <c r="C8" s="2" t="s">
        <v>25</v>
      </c>
      <c r="D8" s="2" t="s">
        <v>62</v>
      </c>
    </row>
    <row r="9" spans="1:4" x14ac:dyDescent="0.25">
      <c r="A9" s="2" t="s">
        <v>11</v>
      </c>
      <c r="B9" s="2" t="s">
        <v>64</v>
      </c>
      <c r="C9" s="2" t="s">
        <v>24</v>
      </c>
      <c r="D9" s="2" t="s">
        <v>60</v>
      </c>
    </row>
    <row r="10" spans="1:4" x14ac:dyDescent="0.25">
      <c r="A10" s="2" t="s">
        <v>11</v>
      </c>
      <c r="B10" s="2" t="s">
        <v>64</v>
      </c>
      <c r="C10" s="2" t="s">
        <v>24</v>
      </c>
      <c r="D10" s="2" t="s">
        <v>111</v>
      </c>
    </row>
    <row r="11" spans="1:4" x14ac:dyDescent="0.25">
      <c r="A11" s="2" t="s">
        <v>11</v>
      </c>
      <c r="B11" s="2" t="s">
        <v>64</v>
      </c>
      <c r="C11" s="2" t="s">
        <v>24</v>
      </c>
      <c r="D11" s="2" t="s">
        <v>113</v>
      </c>
    </row>
    <row r="12" spans="1:4" x14ac:dyDescent="0.25">
      <c r="A12" s="2" t="s">
        <v>11</v>
      </c>
      <c r="B12" s="2" t="s">
        <v>64</v>
      </c>
      <c r="C12" s="2" t="s">
        <v>24</v>
      </c>
      <c r="D12" s="2" t="s">
        <v>114</v>
      </c>
    </row>
    <row r="13" spans="1:4" x14ac:dyDescent="0.25">
      <c r="A13" s="2" t="s">
        <v>11</v>
      </c>
      <c r="B13" s="2" t="s">
        <v>64</v>
      </c>
      <c r="C13" s="2" t="s">
        <v>25</v>
      </c>
      <c r="D13" s="2" t="s">
        <v>60</v>
      </c>
    </row>
    <row r="14" spans="1:4" x14ac:dyDescent="0.25">
      <c r="A14" s="2" t="s">
        <v>11</v>
      </c>
      <c r="B14" s="2" t="s">
        <v>64</v>
      </c>
      <c r="C14" s="2" t="s">
        <v>25</v>
      </c>
      <c r="D14" s="2" t="s">
        <v>112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X436"/>
  <sheetViews>
    <sheetView topLeftCell="A423" workbookViewId="0">
      <selection activeCell="I436" sqref="I436"/>
    </sheetView>
  </sheetViews>
  <sheetFormatPr defaultRowHeight="15" x14ac:dyDescent="0.25"/>
  <cols>
    <col min="9" max="9" width="14.140625" bestFit="1" customWidth="1"/>
  </cols>
  <sheetData>
    <row r="1" spans="1:24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23</v>
      </c>
      <c r="F1" s="1" t="s">
        <v>7</v>
      </c>
      <c r="G1" s="1" t="s">
        <v>8</v>
      </c>
      <c r="H1" s="1" t="s">
        <v>9</v>
      </c>
      <c r="I1" s="1" t="s">
        <v>10</v>
      </c>
      <c r="Q1" t="s">
        <v>98</v>
      </c>
      <c r="R1" t="s">
        <v>69</v>
      </c>
      <c r="S1" t="s">
        <v>70</v>
      </c>
      <c r="T1" t="s">
        <v>7</v>
      </c>
      <c r="U1" t="s">
        <v>8</v>
      </c>
      <c r="V1" t="s">
        <v>71</v>
      </c>
    </row>
    <row r="2" spans="1:24" x14ac:dyDescent="0.25">
      <c r="A2" s="2" t="s">
        <v>11</v>
      </c>
      <c r="B2" s="2" t="s">
        <v>63</v>
      </c>
      <c r="C2" s="2" t="s">
        <v>4</v>
      </c>
      <c r="D2" s="2" t="s">
        <v>26</v>
      </c>
      <c r="E2" s="2">
        <v>1</v>
      </c>
      <c r="F2" s="2" t="s">
        <v>32</v>
      </c>
      <c r="G2" s="2">
        <v>4.99</v>
      </c>
      <c r="H2" s="2">
        <v>4.6900000000000004</v>
      </c>
      <c r="I2" s="2" t="str">
        <f>_xlfn.XLOOKUP(F2,DeparaIMG!B:B,DeparaIMG!D:D,,0)</f>
        <v>GCAP1.png</v>
      </c>
      <c r="Q2" t="s">
        <v>99</v>
      </c>
      <c r="R2" t="s">
        <v>26</v>
      </c>
      <c r="S2" t="s">
        <v>65</v>
      </c>
      <c r="T2" t="s">
        <v>72</v>
      </c>
      <c r="U2">
        <v>3.09</v>
      </c>
      <c r="V2">
        <v>2.89</v>
      </c>
      <c r="X2" t="str" cm="1">
        <f t="array" ref="X2:X29">_xlfn.UNIQUE(T2:T361)</f>
        <v>SK 269</v>
      </c>
    </row>
    <row r="3" spans="1:24" x14ac:dyDescent="0.25">
      <c r="A3" s="2" t="s">
        <v>11</v>
      </c>
      <c r="B3" s="2" t="s">
        <v>63</v>
      </c>
      <c r="C3" s="2" t="s">
        <v>28</v>
      </c>
      <c r="D3" s="2" t="s">
        <v>26</v>
      </c>
      <c r="E3" s="2">
        <v>1</v>
      </c>
      <c r="F3" s="2" t="s">
        <v>33</v>
      </c>
      <c r="G3" s="2">
        <v>6.49</v>
      </c>
      <c r="H3" s="2">
        <v>6.19</v>
      </c>
      <c r="I3" s="2" t="str">
        <f>_xlfn.XLOOKUP(F3,DeparaIMG!B:B,DeparaIMG!D:D,,0)</f>
        <v>GCAP1,5.png</v>
      </c>
      <c r="Q3" t="s">
        <v>99</v>
      </c>
      <c r="R3" t="s">
        <v>27</v>
      </c>
      <c r="S3" t="s">
        <v>65</v>
      </c>
      <c r="T3" t="s">
        <v>72</v>
      </c>
      <c r="U3">
        <v>3.09</v>
      </c>
      <c r="V3">
        <v>2.89</v>
      </c>
      <c r="X3" t="str">
        <v>SK 269 MP</v>
      </c>
    </row>
    <row r="4" spans="1:24" x14ac:dyDescent="0.25">
      <c r="A4" s="2" t="s">
        <v>11</v>
      </c>
      <c r="B4" s="2" t="s">
        <v>63</v>
      </c>
      <c r="C4" s="2" t="s">
        <v>29</v>
      </c>
      <c r="D4" s="2" t="s">
        <v>26</v>
      </c>
      <c r="E4" s="2">
        <v>1</v>
      </c>
      <c r="F4" s="2" t="s">
        <v>33</v>
      </c>
      <c r="G4" s="2">
        <v>6.49</v>
      </c>
      <c r="H4" s="2">
        <v>6.19</v>
      </c>
      <c r="I4" s="2" t="str">
        <f>_xlfn.XLOOKUP(F4,DeparaIMG!B:B,DeparaIMG!D:D,,0)</f>
        <v>GCAP1,5.png</v>
      </c>
      <c r="Q4" t="s">
        <v>100</v>
      </c>
      <c r="R4" t="s">
        <v>27</v>
      </c>
      <c r="S4" t="s">
        <v>65</v>
      </c>
      <c r="T4" t="s">
        <v>73</v>
      </c>
      <c r="U4">
        <v>3.09</v>
      </c>
      <c r="V4">
        <v>2.89</v>
      </c>
      <c r="X4" t="str">
        <v>BC 269 MP</v>
      </c>
    </row>
    <row r="5" spans="1:24" x14ac:dyDescent="0.25">
      <c r="A5" s="2" t="s">
        <v>11</v>
      </c>
      <c r="B5" s="2" t="s">
        <v>63</v>
      </c>
      <c r="C5" s="2" t="s">
        <v>30</v>
      </c>
      <c r="D5" s="2" t="s">
        <v>26</v>
      </c>
      <c r="E5" s="2">
        <v>1</v>
      </c>
      <c r="F5" s="2" t="s">
        <v>33</v>
      </c>
      <c r="G5" s="2">
        <v>6.49</v>
      </c>
      <c r="H5" s="2">
        <v>6.19</v>
      </c>
      <c r="I5" s="2" t="str">
        <f>_xlfn.XLOOKUP(F5,DeparaIMG!B:B,DeparaIMG!D:D,,0)</f>
        <v>GCAP1,5.png</v>
      </c>
      <c r="Q5" t="s">
        <v>100</v>
      </c>
      <c r="R5" t="s">
        <v>27</v>
      </c>
      <c r="S5" t="s">
        <v>74</v>
      </c>
      <c r="T5" t="s">
        <v>75</v>
      </c>
      <c r="U5">
        <v>3.09</v>
      </c>
      <c r="V5">
        <v>2.79</v>
      </c>
      <c r="X5" t="str">
        <v>SK ZERO 269</v>
      </c>
    </row>
    <row r="6" spans="1:24" x14ac:dyDescent="0.25">
      <c r="A6" s="2" t="s">
        <v>11</v>
      </c>
      <c r="B6" s="2" t="s">
        <v>63</v>
      </c>
      <c r="C6" s="2" t="s">
        <v>31</v>
      </c>
      <c r="D6" s="2" t="s">
        <v>26</v>
      </c>
      <c r="E6" s="2">
        <v>1</v>
      </c>
      <c r="F6" s="2" t="s">
        <v>33</v>
      </c>
      <c r="G6" s="2">
        <v>6.49</v>
      </c>
      <c r="H6" s="2">
        <v>6.19</v>
      </c>
      <c r="I6" s="2" t="str">
        <f>_xlfn.XLOOKUP(F6,DeparaIMG!B:B,DeparaIMG!D:D,,0)</f>
        <v>GCAP1,5.png</v>
      </c>
      <c r="Q6" t="s">
        <v>4</v>
      </c>
      <c r="R6" t="s">
        <v>27</v>
      </c>
      <c r="S6" t="s">
        <v>65</v>
      </c>
      <c r="T6" t="s">
        <v>66</v>
      </c>
      <c r="U6">
        <v>3.19</v>
      </c>
      <c r="V6">
        <v>2.99</v>
      </c>
      <c r="X6" t="str">
        <v>AP 269</v>
      </c>
    </row>
    <row r="7" spans="1:24" x14ac:dyDescent="0.25">
      <c r="A7" s="2" t="s">
        <v>11</v>
      </c>
      <c r="B7" s="2" t="s">
        <v>63</v>
      </c>
      <c r="C7" t="s">
        <v>4</v>
      </c>
      <c r="D7" t="s">
        <v>26</v>
      </c>
      <c r="E7" s="2">
        <v>1</v>
      </c>
      <c r="F7" t="s">
        <v>34</v>
      </c>
      <c r="G7">
        <v>7.79</v>
      </c>
      <c r="H7">
        <v>7.29</v>
      </c>
      <c r="I7" s="2" t="str">
        <f>_xlfn.XLOOKUP(F7,DeparaIMG!B:B,DeparaIMG!D:D,,0)</f>
        <v>PCP2.png</v>
      </c>
      <c r="Q7" t="s">
        <v>4</v>
      </c>
      <c r="R7" t="s">
        <v>26</v>
      </c>
      <c r="S7" t="s">
        <v>65</v>
      </c>
      <c r="T7" t="s">
        <v>66</v>
      </c>
      <c r="U7">
        <v>3.19</v>
      </c>
      <c r="V7">
        <v>2.99</v>
      </c>
      <c r="X7" t="str">
        <v>BC 269</v>
      </c>
    </row>
    <row r="8" spans="1:24" x14ac:dyDescent="0.25">
      <c r="A8" s="2" t="s">
        <v>11</v>
      </c>
      <c r="B8" s="2" t="s">
        <v>63</v>
      </c>
      <c r="C8" t="s">
        <v>28</v>
      </c>
      <c r="D8" t="s">
        <v>26</v>
      </c>
      <c r="E8" s="2">
        <v>1</v>
      </c>
      <c r="F8" t="s">
        <v>34</v>
      </c>
      <c r="G8">
        <v>8.49</v>
      </c>
      <c r="H8">
        <v>7.99</v>
      </c>
      <c r="I8" s="2" t="str">
        <f>_xlfn.XLOOKUP(F8,DeparaIMG!B:B,DeparaIMG!D:D,,0)</f>
        <v>PCP2.png</v>
      </c>
      <c r="Q8" t="s">
        <v>29</v>
      </c>
      <c r="R8" t="s">
        <v>26</v>
      </c>
      <c r="S8" t="s">
        <v>65</v>
      </c>
      <c r="T8" t="s">
        <v>76</v>
      </c>
      <c r="U8">
        <v>3.19</v>
      </c>
      <c r="V8">
        <v>2.99</v>
      </c>
      <c r="X8" t="str">
        <v>BUD 269 MP</v>
      </c>
    </row>
    <row r="9" spans="1:24" x14ac:dyDescent="0.25">
      <c r="A9" s="2" t="s">
        <v>11</v>
      </c>
      <c r="B9" s="2" t="s">
        <v>63</v>
      </c>
      <c r="C9" t="s">
        <v>29</v>
      </c>
      <c r="D9" t="s">
        <v>26</v>
      </c>
      <c r="E9" s="2">
        <v>1</v>
      </c>
      <c r="F9" t="s">
        <v>34</v>
      </c>
      <c r="G9">
        <v>7.49</v>
      </c>
      <c r="H9">
        <v>6.99</v>
      </c>
      <c r="I9" s="2" t="str">
        <f>_xlfn.XLOOKUP(F9,DeparaIMG!B:B,DeparaIMG!D:D,,0)</f>
        <v>PCP2.png</v>
      </c>
      <c r="Q9" t="s">
        <v>30</v>
      </c>
      <c r="R9" t="s">
        <v>26</v>
      </c>
      <c r="S9" t="s">
        <v>65</v>
      </c>
      <c r="T9" t="s">
        <v>76</v>
      </c>
      <c r="U9">
        <v>3.19</v>
      </c>
      <c r="V9">
        <v>2.99</v>
      </c>
      <c r="X9" t="str">
        <v>BUD 269</v>
      </c>
    </row>
    <row r="10" spans="1:24" x14ac:dyDescent="0.25">
      <c r="A10" s="2" t="s">
        <v>11</v>
      </c>
      <c r="B10" s="2" t="s">
        <v>63</v>
      </c>
      <c r="C10" t="s">
        <v>30</v>
      </c>
      <c r="D10" t="s">
        <v>26</v>
      </c>
      <c r="E10" s="2">
        <v>1</v>
      </c>
      <c r="F10" t="s">
        <v>34</v>
      </c>
      <c r="G10">
        <v>7.49</v>
      </c>
      <c r="H10">
        <v>6.99</v>
      </c>
      <c r="I10" s="2" t="str">
        <f>_xlfn.XLOOKUP(F10,DeparaIMG!B:B,DeparaIMG!D:D,,0)</f>
        <v>PCP2.png</v>
      </c>
      <c r="Q10" t="s">
        <v>99</v>
      </c>
      <c r="R10" t="s">
        <v>27</v>
      </c>
      <c r="S10" t="s">
        <v>65</v>
      </c>
      <c r="T10" t="s">
        <v>66</v>
      </c>
      <c r="U10">
        <v>3.19</v>
      </c>
      <c r="V10">
        <v>2.99</v>
      </c>
      <c r="X10" t="str">
        <v>BC 0 350</v>
      </c>
    </row>
    <row r="11" spans="1:24" x14ac:dyDescent="0.25">
      <c r="A11" s="2" t="s">
        <v>11</v>
      </c>
      <c r="B11" s="2" t="s">
        <v>63</v>
      </c>
      <c r="C11" t="s">
        <v>31</v>
      </c>
      <c r="D11" t="s">
        <v>26</v>
      </c>
      <c r="E11" s="2">
        <v>1</v>
      </c>
      <c r="F11" t="s">
        <v>34</v>
      </c>
      <c r="G11">
        <v>8.49</v>
      </c>
      <c r="H11">
        <v>7.99</v>
      </c>
      <c r="I11" s="2" t="str">
        <f>_xlfn.XLOOKUP(F11,DeparaIMG!B:B,DeparaIMG!D:D,,0)</f>
        <v>PCP2.png</v>
      </c>
      <c r="Q11" t="s">
        <v>99</v>
      </c>
      <c r="R11" t="s">
        <v>26</v>
      </c>
      <c r="S11" t="s">
        <v>65</v>
      </c>
      <c r="T11" t="s">
        <v>66</v>
      </c>
      <c r="U11">
        <v>3.19</v>
      </c>
      <c r="V11">
        <v>2.99</v>
      </c>
      <c r="X11" t="str">
        <v>ORI 269 MP</v>
      </c>
    </row>
    <row r="12" spans="1:24" x14ac:dyDescent="0.25">
      <c r="A12" s="2" t="s">
        <v>11</v>
      </c>
      <c r="B12" s="2" t="s">
        <v>63</v>
      </c>
      <c r="C12" t="s">
        <v>4</v>
      </c>
      <c r="D12" t="s">
        <v>26</v>
      </c>
      <c r="E12" s="2">
        <v>1</v>
      </c>
      <c r="F12" t="s">
        <v>35</v>
      </c>
      <c r="G12">
        <v>5.49</v>
      </c>
      <c r="H12">
        <v>5.19</v>
      </c>
      <c r="I12" s="2" t="str">
        <f>_xlfn.XLOOKUP(F12,DeparaIMG!B:B,DeparaIMG!D:D,,0)</f>
        <v>BAREP2.png</v>
      </c>
      <c r="Q12" t="s">
        <v>100</v>
      </c>
      <c r="R12" t="s">
        <v>27</v>
      </c>
      <c r="S12" t="s">
        <v>65</v>
      </c>
      <c r="T12" t="s">
        <v>66</v>
      </c>
      <c r="U12">
        <v>3.19</v>
      </c>
      <c r="V12">
        <v>2.99</v>
      </c>
      <c r="X12" t="str">
        <v>BC 350</v>
      </c>
    </row>
    <row r="13" spans="1:24" x14ac:dyDescent="0.25">
      <c r="A13" s="2" t="s">
        <v>11</v>
      </c>
      <c r="B13" s="2" t="s">
        <v>63</v>
      </c>
      <c r="C13" t="s">
        <v>28</v>
      </c>
      <c r="D13" t="s">
        <v>26</v>
      </c>
      <c r="E13" s="2">
        <v>1</v>
      </c>
      <c r="F13" t="s">
        <v>36</v>
      </c>
      <c r="G13">
        <v>5.29</v>
      </c>
      <c r="H13">
        <v>4.99</v>
      </c>
      <c r="I13" s="2" t="str">
        <f>_xlfn.XLOOKUP(F13,DeparaIMG!B:B,DeparaIMG!D:D,,0)</f>
        <v>H2OHP500.png</v>
      </c>
      <c r="Q13" t="s">
        <v>100</v>
      </c>
      <c r="R13" t="s">
        <v>26</v>
      </c>
      <c r="S13" t="s">
        <v>65</v>
      </c>
      <c r="T13" t="s">
        <v>66</v>
      </c>
      <c r="U13">
        <v>3.19</v>
      </c>
      <c r="V13">
        <v>2.99</v>
      </c>
      <c r="X13" t="str">
        <v>SK ZERO 350</v>
      </c>
    </row>
    <row r="14" spans="1:24" x14ac:dyDescent="0.25">
      <c r="A14" s="2" t="s">
        <v>11</v>
      </c>
      <c r="B14" s="2" t="s">
        <v>63</v>
      </c>
      <c r="C14" t="s">
        <v>29</v>
      </c>
      <c r="D14" t="s">
        <v>26</v>
      </c>
      <c r="E14" s="2">
        <v>1</v>
      </c>
      <c r="F14" t="s">
        <v>36</v>
      </c>
      <c r="G14">
        <v>5.29</v>
      </c>
      <c r="H14">
        <v>4.99</v>
      </c>
      <c r="I14" s="2" t="str">
        <f>_xlfn.XLOOKUP(F14,DeparaIMG!B:B,DeparaIMG!D:D,,0)</f>
        <v>H2OHP500.png</v>
      </c>
      <c r="Q14" t="s">
        <v>101</v>
      </c>
      <c r="R14" t="s">
        <v>27</v>
      </c>
      <c r="S14" t="s">
        <v>65</v>
      </c>
      <c r="T14" t="s">
        <v>66</v>
      </c>
      <c r="U14">
        <v>3.19</v>
      </c>
      <c r="V14">
        <v>3.09</v>
      </c>
      <c r="X14" t="str">
        <v>ORI 269</v>
      </c>
    </row>
    <row r="15" spans="1:24" x14ac:dyDescent="0.25">
      <c r="A15" s="2" t="s">
        <v>11</v>
      </c>
      <c r="B15" s="2" t="s">
        <v>63</v>
      </c>
      <c r="C15" t="s">
        <v>30</v>
      </c>
      <c r="D15" t="s">
        <v>26</v>
      </c>
      <c r="E15" s="2">
        <v>1</v>
      </c>
      <c r="F15" t="s">
        <v>36</v>
      </c>
      <c r="G15">
        <v>5.29</v>
      </c>
      <c r="H15">
        <v>4.99</v>
      </c>
      <c r="I15" s="2" t="str">
        <f>_xlfn.XLOOKUP(F15,DeparaIMG!B:B,DeparaIMG!D:D,,0)</f>
        <v>H2OHP500.png</v>
      </c>
      <c r="Q15" t="s">
        <v>101</v>
      </c>
      <c r="R15" t="s">
        <v>26</v>
      </c>
      <c r="S15" t="s">
        <v>65</v>
      </c>
      <c r="T15" t="s">
        <v>66</v>
      </c>
      <c r="U15">
        <v>3.19</v>
      </c>
      <c r="V15">
        <v>3.09</v>
      </c>
      <c r="X15" t="str">
        <v>AP 350</v>
      </c>
    </row>
    <row r="16" spans="1:24" x14ac:dyDescent="0.25">
      <c r="A16" s="2" t="s">
        <v>11</v>
      </c>
      <c r="B16" s="2" t="s">
        <v>63</v>
      </c>
      <c r="C16" t="s">
        <v>31</v>
      </c>
      <c r="D16" t="s">
        <v>26</v>
      </c>
      <c r="E16" s="2">
        <v>1</v>
      </c>
      <c r="F16" t="s">
        <v>36</v>
      </c>
      <c r="G16">
        <v>5.29</v>
      </c>
      <c r="H16">
        <v>4.99</v>
      </c>
      <c r="I16" s="2" t="str">
        <f>_xlfn.XLOOKUP(F16,DeparaIMG!B:B,DeparaIMG!D:D,,0)</f>
        <v>H2OHP500.png</v>
      </c>
      <c r="Q16" t="s">
        <v>102</v>
      </c>
      <c r="R16" t="s">
        <v>27</v>
      </c>
      <c r="S16" t="s">
        <v>65</v>
      </c>
      <c r="T16" t="s">
        <v>66</v>
      </c>
      <c r="U16">
        <v>3.19</v>
      </c>
      <c r="V16">
        <v>2.99</v>
      </c>
      <c r="X16" t="str">
        <v>BUD 0 350</v>
      </c>
    </row>
    <row r="17" spans="1:24" x14ac:dyDescent="0.25">
      <c r="A17" s="2" t="s">
        <v>11</v>
      </c>
      <c r="B17" s="2" t="s">
        <v>63</v>
      </c>
      <c r="C17" t="s">
        <v>4</v>
      </c>
      <c r="D17" t="s">
        <v>26</v>
      </c>
      <c r="E17" s="2">
        <v>1</v>
      </c>
      <c r="F17" t="s">
        <v>37</v>
      </c>
      <c r="G17">
        <v>6.79</v>
      </c>
      <c r="H17">
        <v>6.29</v>
      </c>
      <c r="I17" s="2" t="str">
        <f>_xlfn.XLOOKUP(F17,DeparaIMG!B:B,DeparaIMG!D:D,,0)</f>
        <v>SUKP2.png</v>
      </c>
      <c r="Q17" t="s">
        <v>102</v>
      </c>
      <c r="R17" t="s">
        <v>26</v>
      </c>
      <c r="S17" t="s">
        <v>65</v>
      </c>
      <c r="T17" t="s">
        <v>66</v>
      </c>
      <c r="U17">
        <v>3.19</v>
      </c>
      <c r="V17">
        <v>2.99</v>
      </c>
      <c r="X17" t="str">
        <v>STE 269</v>
      </c>
    </row>
    <row r="18" spans="1:24" x14ac:dyDescent="0.25">
      <c r="A18" s="2" t="s">
        <v>11</v>
      </c>
      <c r="B18" s="2" t="s">
        <v>63</v>
      </c>
      <c r="C18" t="s">
        <v>28</v>
      </c>
      <c r="D18" t="s">
        <v>26</v>
      </c>
      <c r="E18" s="2">
        <v>1</v>
      </c>
      <c r="F18" t="s">
        <v>37</v>
      </c>
      <c r="G18">
        <v>6.79</v>
      </c>
      <c r="H18">
        <v>6.29</v>
      </c>
      <c r="I18" s="2" t="str">
        <f>_xlfn.XLOOKUP(F18,DeparaIMG!B:B,DeparaIMG!D:D,,0)</f>
        <v>SUKP2.png</v>
      </c>
      <c r="Q18" t="s">
        <v>29</v>
      </c>
      <c r="R18" t="s">
        <v>27</v>
      </c>
      <c r="S18" t="s">
        <v>65</v>
      </c>
      <c r="T18" t="s">
        <v>66</v>
      </c>
      <c r="U18">
        <v>3.19</v>
      </c>
      <c r="V18">
        <v>2.99</v>
      </c>
      <c r="X18" t="str">
        <v>BUD 350</v>
      </c>
    </row>
    <row r="19" spans="1:24" x14ac:dyDescent="0.25">
      <c r="A19" s="2" t="s">
        <v>11</v>
      </c>
      <c r="B19" s="2" t="s">
        <v>63</v>
      </c>
      <c r="C19" t="s">
        <v>29</v>
      </c>
      <c r="D19" t="s">
        <v>26</v>
      </c>
      <c r="E19" s="2">
        <v>1</v>
      </c>
      <c r="F19" t="s">
        <v>37</v>
      </c>
      <c r="G19">
        <v>6.79</v>
      </c>
      <c r="H19">
        <v>6.29</v>
      </c>
      <c r="I19" s="2" t="str">
        <f>_xlfn.XLOOKUP(F19,DeparaIMG!B:B,DeparaIMG!D:D,,0)</f>
        <v>SUKP2.png</v>
      </c>
      <c r="Q19" t="s">
        <v>29</v>
      </c>
      <c r="R19" t="s">
        <v>26</v>
      </c>
      <c r="S19" t="s">
        <v>65</v>
      </c>
      <c r="T19" t="s">
        <v>66</v>
      </c>
      <c r="U19">
        <v>3.19</v>
      </c>
      <c r="V19">
        <v>2.99</v>
      </c>
      <c r="X19" t="str">
        <v>COR 269</v>
      </c>
    </row>
    <row r="20" spans="1:24" x14ac:dyDescent="0.25">
      <c r="A20" s="2" t="s">
        <v>11</v>
      </c>
      <c r="B20" s="2" t="s">
        <v>63</v>
      </c>
      <c r="C20" t="s">
        <v>30</v>
      </c>
      <c r="D20" t="s">
        <v>26</v>
      </c>
      <c r="E20" s="2">
        <v>1</v>
      </c>
      <c r="F20" t="s">
        <v>37</v>
      </c>
      <c r="G20">
        <v>6.79</v>
      </c>
      <c r="H20">
        <v>6.29</v>
      </c>
      <c r="I20" s="2" t="str">
        <f>_xlfn.XLOOKUP(F20,DeparaIMG!B:B,DeparaIMG!D:D,,0)</f>
        <v>SUKP2.png</v>
      </c>
      <c r="Q20" t="s">
        <v>30</v>
      </c>
      <c r="R20" t="s">
        <v>27</v>
      </c>
      <c r="S20" t="s">
        <v>65</v>
      </c>
      <c r="T20" t="s">
        <v>66</v>
      </c>
      <c r="U20">
        <v>3.19</v>
      </c>
      <c r="V20">
        <v>2.99</v>
      </c>
      <c r="X20" t="str">
        <v>STE 350</v>
      </c>
    </row>
    <row r="21" spans="1:24" x14ac:dyDescent="0.25">
      <c r="A21" s="2" t="s">
        <v>11</v>
      </c>
      <c r="B21" s="2" t="s">
        <v>63</v>
      </c>
      <c r="C21" t="s">
        <v>31</v>
      </c>
      <c r="D21" t="s">
        <v>26</v>
      </c>
      <c r="E21" s="2">
        <v>1</v>
      </c>
      <c r="F21" t="s">
        <v>37</v>
      </c>
      <c r="G21">
        <v>7.29</v>
      </c>
      <c r="H21">
        <v>6.79</v>
      </c>
      <c r="I21" s="2" t="str">
        <f>_xlfn.XLOOKUP(F21,DeparaIMG!B:B,DeparaIMG!D:D,,0)</f>
        <v>SUKP2.png</v>
      </c>
      <c r="Q21" t="s">
        <v>30</v>
      </c>
      <c r="R21" t="s">
        <v>26</v>
      </c>
      <c r="S21" t="s">
        <v>65</v>
      </c>
      <c r="T21" t="s">
        <v>66</v>
      </c>
      <c r="U21">
        <v>3.19</v>
      </c>
      <c r="V21">
        <v>2.99</v>
      </c>
      <c r="X21" t="str">
        <v>MIC 350</v>
      </c>
    </row>
    <row r="22" spans="1:24" x14ac:dyDescent="0.25">
      <c r="A22" s="2" t="s">
        <v>11</v>
      </c>
      <c r="B22" s="2" t="s">
        <v>63</v>
      </c>
      <c r="C22" t="s">
        <v>4</v>
      </c>
      <c r="D22" t="s">
        <v>27</v>
      </c>
      <c r="E22" s="2">
        <v>1</v>
      </c>
      <c r="F22" t="s">
        <v>38</v>
      </c>
      <c r="G22">
        <v>8.99</v>
      </c>
      <c r="H22">
        <v>8.49</v>
      </c>
      <c r="I22" s="2" t="str">
        <f>_xlfn.XLOOKUP(F22,DeparaIMG!B:B,DeparaIMG!D:D,,0)</f>
        <v>GCAP2.png</v>
      </c>
      <c r="Q22" t="s">
        <v>30</v>
      </c>
      <c r="R22" t="s">
        <v>26</v>
      </c>
      <c r="S22" t="s">
        <v>74</v>
      </c>
      <c r="T22" t="s">
        <v>77</v>
      </c>
      <c r="U22">
        <v>3.19</v>
      </c>
      <c r="V22">
        <v>2.99</v>
      </c>
      <c r="X22" t="str">
        <v>COR 350</v>
      </c>
    </row>
    <row r="23" spans="1:24" x14ac:dyDescent="0.25">
      <c r="A23" s="2" t="s">
        <v>11</v>
      </c>
      <c r="B23" s="2" t="s">
        <v>63</v>
      </c>
      <c r="C23" t="s">
        <v>28</v>
      </c>
      <c r="D23" t="s">
        <v>27</v>
      </c>
      <c r="E23" s="2">
        <v>1</v>
      </c>
      <c r="F23" t="s">
        <v>38</v>
      </c>
      <c r="G23">
        <v>8.99</v>
      </c>
      <c r="H23">
        <v>8.49</v>
      </c>
      <c r="I23" s="2" t="str">
        <f>_xlfn.XLOOKUP(F23,DeparaIMG!B:B,DeparaIMG!D:D,,0)</f>
        <v>GCAP2.png</v>
      </c>
      <c r="Q23" t="s">
        <v>29</v>
      </c>
      <c r="R23" t="s">
        <v>26</v>
      </c>
      <c r="S23" t="s">
        <v>74</v>
      </c>
      <c r="T23" t="s">
        <v>77</v>
      </c>
      <c r="U23">
        <v>3.19</v>
      </c>
      <c r="V23">
        <v>2.99</v>
      </c>
      <c r="X23" t="str">
        <v>COR 0 350</v>
      </c>
    </row>
    <row r="24" spans="1:24" x14ac:dyDescent="0.25">
      <c r="A24" s="2" t="s">
        <v>11</v>
      </c>
      <c r="B24" s="2" t="s">
        <v>63</v>
      </c>
      <c r="C24" t="s">
        <v>29</v>
      </c>
      <c r="D24" t="s">
        <v>27</v>
      </c>
      <c r="E24" s="2">
        <v>1</v>
      </c>
      <c r="F24" t="s">
        <v>38</v>
      </c>
      <c r="G24">
        <v>8.2899999999999991</v>
      </c>
      <c r="H24">
        <v>7.7899999999999991</v>
      </c>
      <c r="I24" s="2" t="str">
        <f>_xlfn.XLOOKUP(F24,DeparaIMG!B:B,DeparaIMG!D:D,,0)</f>
        <v>GCAP2.png</v>
      </c>
      <c r="Q24" t="s">
        <v>29</v>
      </c>
      <c r="R24" t="s">
        <v>27</v>
      </c>
      <c r="S24" t="s">
        <v>74</v>
      </c>
      <c r="T24" t="s">
        <v>77</v>
      </c>
      <c r="U24">
        <v>3.19</v>
      </c>
      <c r="V24">
        <v>2.99</v>
      </c>
      <c r="X24" t="str">
        <v>BUD 0 LN</v>
      </c>
    </row>
    <row r="25" spans="1:24" x14ac:dyDescent="0.25">
      <c r="A25" s="2" t="s">
        <v>11</v>
      </c>
      <c r="B25" s="2" t="s">
        <v>63</v>
      </c>
      <c r="C25" t="s">
        <v>30</v>
      </c>
      <c r="D25" t="s">
        <v>27</v>
      </c>
      <c r="E25" s="2">
        <v>1</v>
      </c>
      <c r="F25" t="s">
        <v>38</v>
      </c>
      <c r="G25">
        <v>8.2899999999999991</v>
      </c>
      <c r="H25">
        <v>7.7899999999999991</v>
      </c>
      <c r="I25" s="2" t="str">
        <f>_xlfn.XLOOKUP(F25,DeparaIMG!B:B,DeparaIMG!D:D,,0)</f>
        <v>GCAP2.png</v>
      </c>
      <c r="Q25" t="s">
        <v>99</v>
      </c>
      <c r="R25" t="s">
        <v>26</v>
      </c>
      <c r="S25" t="s">
        <v>74</v>
      </c>
      <c r="T25" t="s">
        <v>77</v>
      </c>
      <c r="U25">
        <v>3.19</v>
      </c>
      <c r="V25">
        <v>2.99</v>
      </c>
      <c r="X25" t="str">
        <v>BUD LN</v>
      </c>
    </row>
    <row r="26" spans="1:24" x14ac:dyDescent="0.25">
      <c r="A26" s="2" t="s">
        <v>11</v>
      </c>
      <c r="B26" s="2" t="s">
        <v>63</v>
      </c>
      <c r="C26" t="s">
        <v>31</v>
      </c>
      <c r="D26" t="s">
        <v>27</v>
      </c>
      <c r="E26" s="2">
        <v>1</v>
      </c>
      <c r="F26" t="s">
        <v>38</v>
      </c>
      <c r="G26">
        <v>9.49</v>
      </c>
      <c r="H26">
        <v>8.99</v>
      </c>
      <c r="I26" s="2" t="str">
        <f>_xlfn.XLOOKUP(F26,DeparaIMG!B:B,DeparaIMG!D:D,,0)</f>
        <v>GCAP2.png</v>
      </c>
      <c r="Q26" t="s">
        <v>99</v>
      </c>
      <c r="R26" t="s">
        <v>27</v>
      </c>
      <c r="S26" t="s">
        <v>74</v>
      </c>
      <c r="T26" t="s">
        <v>77</v>
      </c>
      <c r="U26">
        <v>3.19</v>
      </c>
      <c r="V26">
        <v>2.99</v>
      </c>
      <c r="X26" t="str">
        <v>MIC LN</v>
      </c>
    </row>
    <row r="27" spans="1:24" x14ac:dyDescent="0.25">
      <c r="A27" s="2" t="s">
        <v>11</v>
      </c>
      <c r="B27" s="2" t="s">
        <v>63</v>
      </c>
      <c r="C27" t="s">
        <v>4</v>
      </c>
      <c r="D27" t="s">
        <v>27</v>
      </c>
      <c r="E27" s="2">
        <v>1</v>
      </c>
      <c r="F27" t="s">
        <v>39</v>
      </c>
      <c r="G27">
        <v>3.49</v>
      </c>
      <c r="H27">
        <v>3.1900000000000004</v>
      </c>
      <c r="I27" s="2" t="str">
        <f>_xlfn.XLOOKUP(F27,DeparaIMG!B:B,DeparaIMG!D:D,,0)</f>
        <v>GCA350.png</v>
      </c>
      <c r="Q27" t="s">
        <v>4</v>
      </c>
      <c r="R27" t="s">
        <v>26</v>
      </c>
      <c r="S27" t="s">
        <v>74</v>
      </c>
      <c r="T27" t="s">
        <v>77</v>
      </c>
      <c r="U27">
        <v>3.19</v>
      </c>
      <c r="V27">
        <v>2.99</v>
      </c>
      <c r="X27" t="str">
        <v>STE LN</v>
      </c>
    </row>
    <row r="28" spans="1:24" x14ac:dyDescent="0.25">
      <c r="A28" s="2" t="s">
        <v>11</v>
      </c>
      <c r="B28" s="2" t="s">
        <v>63</v>
      </c>
      <c r="C28" t="s">
        <v>28</v>
      </c>
      <c r="D28" t="s">
        <v>27</v>
      </c>
      <c r="E28" s="2">
        <v>1</v>
      </c>
      <c r="F28" t="s">
        <v>39</v>
      </c>
      <c r="G28">
        <v>3.49</v>
      </c>
      <c r="H28">
        <v>3.1900000000000004</v>
      </c>
      <c r="I28" s="2" t="str">
        <f>_xlfn.XLOOKUP(F28,DeparaIMG!B:B,DeparaIMG!D:D,,0)</f>
        <v>GCA350.png</v>
      </c>
      <c r="Q28" t="s">
        <v>4</v>
      </c>
      <c r="R28" t="s">
        <v>26</v>
      </c>
      <c r="S28" t="s">
        <v>65</v>
      </c>
      <c r="T28" t="s">
        <v>72</v>
      </c>
      <c r="U28">
        <v>3.29</v>
      </c>
      <c r="V28">
        <v>3.09</v>
      </c>
      <c r="X28" t="str">
        <v>COR LN</v>
      </c>
    </row>
    <row r="29" spans="1:24" x14ac:dyDescent="0.25">
      <c r="A29" s="2" t="s">
        <v>11</v>
      </c>
      <c r="B29" s="2" t="s">
        <v>63</v>
      </c>
      <c r="C29" t="s">
        <v>29</v>
      </c>
      <c r="D29" t="s">
        <v>27</v>
      </c>
      <c r="E29" s="2">
        <v>1</v>
      </c>
      <c r="F29" t="s">
        <v>39</v>
      </c>
      <c r="G29">
        <v>3.49</v>
      </c>
      <c r="H29">
        <v>3.1900000000000004</v>
      </c>
      <c r="I29" s="2" t="str">
        <f>_xlfn.XLOOKUP(F29,DeparaIMG!B:B,DeparaIMG!D:D,,0)</f>
        <v>GCA350.png</v>
      </c>
      <c r="Q29" t="s">
        <v>4</v>
      </c>
      <c r="R29" t="s">
        <v>27</v>
      </c>
      <c r="S29" t="s">
        <v>65</v>
      </c>
      <c r="T29" t="s">
        <v>72</v>
      </c>
      <c r="U29">
        <v>3.29</v>
      </c>
      <c r="V29">
        <v>3.09</v>
      </c>
      <c r="X29" t="str">
        <v>COR 0 LN</v>
      </c>
    </row>
    <row r="30" spans="1:24" x14ac:dyDescent="0.25">
      <c r="A30" s="2" t="s">
        <v>11</v>
      </c>
      <c r="B30" s="2" t="s">
        <v>63</v>
      </c>
      <c r="C30" t="s">
        <v>30</v>
      </c>
      <c r="D30" t="s">
        <v>27</v>
      </c>
      <c r="E30" s="2">
        <v>1</v>
      </c>
      <c r="F30" t="s">
        <v>39</v>
      </c>
      <c r="G30">
        <v>3.49</v>
      </c>
      <c r="H30">
        <v>3.1900000000000004</v>
      </c>
      <c r="I30" s="2" t="str">
        <f>_xlfn.XLOOKUP(F30,DeparaIMG!B:B,DeparaIMG!D:D,,0)</f>
        <v>GCA350.png</v>
      </c>
      <c r="Q30" t="s">
        <v>100</v>
      </c>
      <c r="R30" t="s">
        <v>27</v>
      </c>
      <c r="S30" t="s">
        <v>74</v>
      </c>
      <c r="T30" t="s">
        <v>78</v>
      </c>
      <c r="U30">
        <v>3.29</v>
      </c>
      <c r="V30">
        <v>2.89</v>
      </c>
    </row>
    <row r="31" spans="1:24" x14ac:dyDescent="0.25">
      <c r="A31" s="2" t="s">
        <v>11</v>
      </c>
      <c r="B31" s="2" t="s">
        <v>63</v>
      </c>
      <c r="C31" t="s">
        <v>31</v>
      </c>
      <c r="D31" t="s">
        <v>27</v>
      </c>
      <c r="E31" s="2">
        <v>1</v>
      </c>
      <c r="F31" t="s">
        <v>39</v>
      </c>
      <c r="G31">
        <v>3.49</v>
      </c>
      <c r="H31">
        <v>3.1900000000000004</v>
      </c>
      <c r="I31" s="2" t="str">
        <f>_xlfn.XLOOKUP(F31,DeparaIMG!B:B,DeparaIMG!D:D,,0)</f>
        <v>GCA350.png</v>
      </c>
      <c r="Q31" t="s">
        <v>100</v>
      </c>
      <c r="R31" t="s">
        <v>26</v>
      </c>
      <c r="S31" t="s">
        <v>65</v>
      </c>
      <c r="T31" t="s">
        <v>72</v>
      </c>
      <c r="U31">
        <v>3.29</v>
      </c>
      <c r="V31">
        <v>3.09</v>
      </c>
    </row>
    <row r="32" spans="1:24" x14ac:dyDescent="0.25">
      <c r="A32" s="2" t="s">
        <v>11</v>
      </c>
      <c r="B32" s="2" t="s">
        <v>63</v>
      </c>
      <c r="C32" t="s">
        <v>4</v>
      </c>
      <c r="D32" t="s">
        <v>27</v>
      </c>
      <c r="E32" s="2">
        <v>1</v>
      </c>
      <c r="F32" t="s">
        <v>35</v>
      </c>
      <c r="G32">
        <v>5.69</v>
      </c>
      <c r="H32">
        <v>5.19</v>
      </c>
      <c r="I32" s="2" t="str">
        <f>_xlfn.XLOOKUP(F32,DeparaIMG!B:B,DeparaIMG!D:D,,0)</f>
        <v>BAREP2.png</v>
      </c>
      <c r="Q32" t="s">
        <v>101</v>
      </c>
      <c r="R32" t="s">
        <v>26</v>
      </c>
      <c r="S32" t="s">
        <v>65</v>
      </c>
      <c r="T32" t="s">
        <v>72</v>
      </c>
      <c r="U32">
        <v>3.29</v>
      </c>
      <c r="V32">
        <v>3.19</v>
      </c>
    </row>
    <row r="33" spans="1:22" x14ac:dyDescent="0.25">
      <c r="A33" s="2" t="s">
        <v>11</v>
      </c>
      <c r="B33" s="2" t="s">
        <v>63</v>
      </c>
      <c r="C33" t="s">
        <v>28</v>
      </c>
      <c r="D33" t="s">
        <v>27</v>
      </c>
      <c r="E33" s="2">
        <v>1</v>
      </c>
      <c r="F33" t="s">
        <v>36</v>
      </c>
      <c r="G33">
        <v>5.49</v>
      </c>
      <c r="H33">
        <v>5.19</v>
      </c>
      <c r="I33" s="2" t="str">
        <f>_xlfn.XLOOKUP(F33,DeparaIMG!B:B,DeparaIMG!D:D,,0)</f>
        <v>H2OHP500.png</v>
      </c>
      <c r="Q33" t="s">
        <v>102</v>
      </c>
      <c r="R33" t="s">
        <v>26</v>
      </c>
      <c r="S33" t="s">
        <v>65</v>
      </c>
      <c r="T33" t="s">
        <v>76</v>
      </c>
      <c r="U33">
        <v>3.29</v>
      </c>
      <c r="V33">
        <v>3.19</v>
      </c>
    </row>
    <row r="34" spans="1:22" x14ac:dyDescent="0.25">
      <c r="A34" s="2" t="s">
        <v>11</v>
      </c>
      <c r="B34" s="2" t="s">
        <v>63</v>
      </c>
      <c r="C34" t="s">
        <v>29</v>
      </c>
      <c r="D34" t="s">
        <v>27</v>
      </c>
      <c r="E34" s="2">
        <v>1</v>
      </c>
      <c r="F34" t="s">
        <v>36</v>
      </c>
      <c r="G34">
        <v>5.49</v>
      </c>
      <c r="H34">
        <v>5.19</v>
      </c>
      <c r="I34" s="2" t="str">
        <f>_xlfn.XLOOKUP(F34,DeparaIMG!B:B,DeparaIMG!D:D,,0)</f>
        <v>H2OHP500.png</v>
      </c>
      <c r="Q34" t="s">
        <v>101</v>
      </c>
      <c r="R34" t="s">
        <v>26</v>
      </c>
      <c r="S34" t="s">
        <v>74</v>
      </c>
      <c r="T34" t="s">
        <v>77</v>
      </c>
      <c r="U34">
        <v>3.29</v>
      </c>
      <c r="V34">
        <v>2.99</v>
      </c>
    </row>
    <row r="35" spans="1:22" x14ac:dyDescent="0.25">
      <c r="A35" s="2" t="s">
        <v>11</v>
      </c>
      <c r="B35" s="2" t="s">
        <v>63</v>
      </c>
      <c r="C35" t="s">
        <v>30</v>
      </c>
      <c r="D35" t="s">
        <v>27</v>
      </c>
      <c r="E35" s="2">
        <v>1</v>
      </c>
      <c r="F35" t="s">
        <v>36</v>
      </c>
      <c r="G35">
        <v>5.49</v>
      </c>
      <c r="H35">
        <v>5.19</v>
      </c>
      <c r="I35" s="2" t="str">
        <f>_xlfn.XLOOKUP(F35,DeparaIMG!B:B,DeparaIMG!D:D,,0)</f>
        <v>H2OHP500.png</v>
      </c>
      <c r="Q35" t="s">
        <v>101</v>
      </c>
      <c r="R35" t="s">
        <v>27</v>
      </c>
      <c r="S35" t="s">
        <v>74</v>
      </c>
      <c r="T35" t="s">
        <v>77</v>
      </c>
      <c r="U35">
        <v>3.29</v>
      </c>
      <c r="V35">
        <v>2.99</v>
      </c>
    </row>
    <row r="36" spans="1:22" x14ac:dyDescent="0.25">
      <c r="A36" s="2" t="s">
        <v>11</v>
      </c>
      <c r="B36" s="2" t="s">
        <v>63</v>
      </c>
      <c r="C36" t="s">
        <v>31</v>
      </c>
      <c r="D36" t="s">
        <v>27</v>
      </c>
      <c r="E36" s="2">
        <v>1</v>
      </c>
      <c r="F36" t="s">
        <v>36</v>
      </c>
      <c r="G36">
        <v>5.49</v>
      </c>
      <c r="H36">
        <v>5.19</v>
      </c>
      <c r="I36" s="2" t="str">
        <f>_xlfn.XLOOKUP(F36,DeparaIMG!B:B,DeparaIMG!D:D,,0)</f>
        <v>H2OHP500.png</v>
      </c>
      <c r="Q36" t="s">
        <v>100</v>
      </c>
      <c r="R36" t="s">
        <v>26</v>
      </c>
      <c r="S36" t="s">
        <v>74</v>
      </c>
      <c r="T36" t="s">
        <v>77</v>
      </c>
      <c r="U36">
        <v>3.29</v>
      </c>
      <c r="V36">
        <v>2.99</v>
      </c>
    </row>
    <row r="37" spans="1:22" x14ac:dyDescent="0.25">
      <c r="A37" s="2" t="s">
        <v>11</v>
      </c>
      <c r="B37" s="2" t="s">
        <v>63</v>
      </c>
      <c r="C37" t="s">
        <v>4</v>
      </c>
      <c r="D37" t="s">
        <v>27</v>
      </c>
      <c r="E37" s="2">
        <v>1</v>
      </c>
      <c r="F37" t="s">
        <v>40</v>
      </c>
      <c r="G37">
        <v>3.39</v>
      </c>
      <c r="H37">
        <v>2.99</v>
      </c>
      <c r="I37" s="2" t="str">
        <f>_xlfn.XLOOKUP(F37,DeparaIMG!B:B,DeparaIMG!D:D,,0)</f>
        <v>PCB350.png</v>
      </c>
      <c r="Q37" t="s">
        <v>100</v>
      </c>
      <c r="R37" t="s">
        <v>27</v>
      </c>
      <c r="S37" t="s">
        <v>74</v>
      </c>
      <c r="T37" t="s">
        <v>77</v>
      </c>
      <c r="U37">
        <v>3.29</v>
      </c>
      <c r="V37">
        <v>2.99</v>
      </c>
    </row>
    <row r="38" spans="1:22" x14ac:dyDescent="0.25">
      <c r="A38" s="2" t="s">
        <v>11</v>
      </c>
      <c r="B38" s="2" t="s">
        <v>63</v>
      </c>
      <c r="C38" t="s">
        <v>28</v>
      </c>
      <c r="D38" t="s">
        <v>27</v>
      </c>
      <c r="E38" s="2">
        <v>1</v>
      </c>
      <c r="F38" t="s">
        <v>40</v>
      </c>
      <c r="G38">
        <v>3.39</v>
      </c>
      <c r="H38">
        <v>2.99</v>
      </c>
      <c r="I38" s="2" t="str">
        <f>_xlfn.XLOOKUP(F38,DeparaIMG!B:B,DeparaIMG!D:D,,0)</f>
        <v>PCB350.png</v>
      </c>
      <c r="Q38" t="s">
        <v>102</v>
      </c>
      <c r="R38" t="s">
        <v>26</v>
      </c>
      <c r="S38" t="s">
        <v>74</v>
      </c>
      <c r="T38" t="s">
        <v>77</v>
      </c>
      <c r="U38">
        <v>3.29</v>
      </c>
      <c r="V38">
        <v>2.99</v>
      </c>
    </row>
    <row r="39" spans="1:22" x14ac:dyDescent="0.25">
      <c r="A39" s="2" t="s">
        <v>11</v>
      </c>
      <c r="B39" s="2" t="s">
        <v>63</v>
      </c>
      <c r="C39" t="s">
        <v>29</v>
      </c>
      <c r="D39" t="s">
        <v>27</v>
      </c>
      <c r="E39" s="2">
        <v>1</v>
      </c>
      <c r="F39" t="s">
        <v>40</v>
      </c>
      <c r="G39">
        <v>3.39</v>
      </c>
      <c r="H39">
        <v>2.99</v>
      </c>
      <c r="I39" s="2" t="str">
        <f>_xlfn.XLOOKUP(F39,DeparaIMG!B:B,DeparaIMG!D:D,,0)</f>
        <v>PCB350.png</v>
      </c>
      <c r="Q39" t="s">
        <v>102</v>
      </c>
      <c r="R39" t="s">
        <v>27</v>
      </c>
      <c r="S39" t="s">
        <v>65</v>
      </c>
      <c r="T39" t="s">
        <v>76</v>
      </c>
      <c r="U39">
        <v>3.29</v>
      </c>
      <c r="V39">
        <v>3.19</v>
      </c>
    </row>
    <row r="40" spans="1:22" x14ac:dyDescent="0.25">
      <c r="A40" s="2" t="s">
        <v>11</v>
      </c>
      <c r="B40" s="2" t="s">
        <v>63</v>
      </c>
      <c r="C40" t="s">
        <v>30</v>
      </c>
      <c r="D40" t="s">
        <v>27</v>
      </c>
      <c r="E40" s="2">
        <v>1</v>
      </c>
      <c r="F40" t="s">
        <v>40</v>
      </c>
      <c r="G40">
        <v>3.39</v>
      </c>
      <c r="H40">
        <v>2.99</v>
      </c>
      <c r="I40" s="2" t="str">
        <f>_xlfn.XLOOKUP(F40,DeparaIMG!B:B,DeparaIMG!D:D,,0)</f>
        <v>PCB350.png</v>
      </c>
      <c r="Q40" t="s">
        <v>102</v>
      </c>
      <c r="R40" t="s">
        <v>27</v>
      </c>
      <c r="S40" t="s">
        <v>74</v>
      </c>
      <c r="T40" t="s">
        <v>77</v>
      </c>
      <c r="U40">
        <v>3.29</v>
      </c>
      <c r="V40">
        <v>2.99</v>
      </c>
    </row>
    <row r="41" spans="1:22" x14ac:dyDescent="0.25">
      <c r="A41" s="2" t="s">
        <v>11</v>
      </c>
      <c r="B41" s="2" t="s">
        <v>63</v>
      </c>
      <c r="C41" t="s">
        <v>31</v>
      </c>
      <c r="D41" t="s">
        <v>27</v>
      </c>
      <c r="E41" s="2">
        <v>1</v>
      </c>
      <c r="F41" t="s">
        <v>40</v>
      </c>
      <c r="G41">
        <v>3.39</v>
      </c>
      <c r="H41">
        <v>2.99</v>
      </c>
      <c r="I41" s="2" t="str">
        <f>_xlfn.XLOOKUP(F41,DeparaIMG!B:B,DeparaIMG!D:D,,0)</f>
        <v>PCB350.png</v>
      </c>
      <c r="Q41" t="s">
        <v>100</v>
      </c>
      <c r="R41" t="s">
        <v>27</v>
      </c>
      <c r="S41" t="s">
        <v>65</v>
      </c>
      <c r="T41" t="s">
        <v>72</v>
      </c>
      <c r="U41">
        <v>3.29</v>
      </c>
      <c r="V41">
        <v>3.09</v>
      </c>
    </row>
    <row r="42" spans="1:22" x14ac:dyDescent="0.25">
      <c r="A42" s="2" t="s">
        <v>11</v>
      </c>
      <c r="B42" s="2" t="s">
        <v>63</v>
      </c>
      <c r="C42" t="s">
        <v>4</v>
      </c>
      <c r="D42" t="s">
        <v>26</v>
      </c>
      <c r="E42" s="2">
        <v>2</v>
      </c>
      <c r="F42" t="s">
        <v>38</v>
      </c>
      <c r="G42">
        <v>8.7899999999999991</v>
      </c>
      <c r="H42">
        <v>8.2899999999999991</v>
      </c>
      <c r="I42" s="2" t="str">
        <f>_xlfn.XLOOKUP(F42,DeparaIMG!B:B,DeparaIMG!D:D,,0)</f>
        <v>GCAP2.png</v>
      </c>
      <c r="Q42" t="s">
        <v>101</v>
      </c>
      <c r="R42" t="s">
        <v>27</v>
      </c>
      <c r="S42" t="s">
        <v>65</v>
      </c>
      <c r="T42" t="s">
        <v>72</v>
      </c>
      <c r="U42">
        <v>3.29</v>
      </c>
      <c r="V42">
        <v>3.19</v>
      </c>
    </row>
    <row r="43" spans="1:22" x14ac:dyDescent="0.25">
      <c r="A43" s="2" t="s">
        <v>11</v>
      </c>
      <c r="B43" s="2" t="s">
        <v>63</v>
      </c>
      <c r="C43" t="s">
        <v>28</v>
      </c>
      <c r="D43" t="s">
        <v>26</v>
      </c>
      <c r="E43" s="2">
        <v>2</v>
      </c>
      <c r="F43" t="s">
        <v>38</v>
      </c>
      <c r="G43">
        <v>8.7899999999999991</v>
      </c>
      <c r="H43">
        <v>8.2899999999999991</v>
      </c>
      <c r="I43" s="2" t="str">
        <f>_xlfn.XLOOKUP(F43,DeparaIMG!B:B,DeparaIMG!D:D,,0)</f>
        <v>GCAP2.png</v>
      </c>
      <c r="Q43" t="s">
        <v>4</v>
      </c>
      <c r="R43" t="s">
        <v>26</v>
      </c>
      <c r="S43" t="s">
        <v>74</v>
      </c>
      <c r="T43" t="s">
        <v>79</v>
      </c>
      <c r="U43">
        <v>3.39</v>
      </c>
      <c r="V43">
        <v>2.99</v>
      </c>
    </row>
    <row r="44" spans="1:22" x14ac:dyDescent="0.25">
      <c r="A44" s="2" t="s">
        <v>11</v>
      </c>
      <c r="B44" s="2" t="s">
        <v>63</v>
      </c>
      <c r="C44" t="s">
        <v>29</v>
      </c>
      <c r="D44" t="s">
        <v>26</v>
      </c>
      <c r="E44" s="2">
        <v>2</v>
      </c>
      <c r="F44" t="s">
        <v>38</v>
      </c>
      <c r="G44">
        <v>7.99</v>
      </c>
      <c r="H44">
        <v>7.49</v>
      </c>
      <c r="I44" s="2" t="str">
        <f>_xlfn.XLOOKUP(F44,DeparaIMG!B:B,DeparaIMG!D:D,,0)</f>
        <v>GCAP2.png</v>
      </c>
      <c r="Q44" t="s">
        <v>100</v>
      </c>
      <c r="R44" t="s">
        <v>26</v>
      </c>
      <c r="S44" t="s">
        <v>74</v>
      </c>
      <c r="T44" t="s">
        <v>79</v>
      </c>
      <c r="U44">
        <v>2.99</v>
      </c>
      <c r="V44">
        <v>2.99</v>
      </c>
    </row>
    <row r="45" spans="1:22" x14ac:dyDescent="0.25">
      <c r="A45" s="2" t="s">
        <v>11</v>
      </c>
      <c r="B45" s="2" t="s">
        <v>63</v>
      </c>
      <c r="C45" t="s">
        <v>30</v>
      </c>
      <c r="D45" t="s">
        <v>26</v>
      </c>
      <c r="E45" s="2">
        <v>2</v>
      </c>
      <c r="F45" t="s">
        <v>38</v>
      </c>
      <c r="G45">
        <v>7.99</v>
      </c>
      <c r="H45">
        <v>7.49</v>
      </c>
      <c r="I45" s="2" t="str">
        <f>_xlfn.XLOOKUP(F45,DeparaIMG!B:B,DeparaIMG!D:D,,0)</f>
        <v>GCAP2.png</v>
      </c>
      <c r="Q45" t="s">
        <v>100</v>
      </c>
      <c r="R45" t="s">
        <v>27</v>
      </c>
      <c r="S45" t="s">
        <v>74</v>
      </c>
      <c r="T45" t="s">
        <v>79</v>
      </c>
      <c r="U45">
        <v>3.49</v>
      </c>
      <c r="V45">
        <v>3.09</v>
      </c>
    </row>
    <row r="46" spans="1:22" x14ac:dyDescent="0.25">
      <c r="A46" s="2" t="s">
        <v>11</v>
      </c>
      <c r="B46" s="2" t="s">
        <v>63</v>
      </c>
      <c r="C46" t="s">
        <v>31</v>
      </c>
      <c r="D46" t="s">
        <v>26</v>
      </c>
      <c r="E46" s="2">
        <v>2</v>
      </c>
      <c r="F46" t="s">
        <v>38</v>
      </c>
      <c r="G46">
        <v>9.2899999999999991</v>
      </c>
      <c r="H46">
        <v>8.7899999999999991</v>
      </c>
      <c r="I46" s="2" t="str">
        <f>_xlfn.XLOOKUP(F46,DeparaIMG!B:B,DeparaIMG!D:D,,0)</f>
        <v>GCAP2.png</v>
      </c>
      <c r="Q46" t="s">
        <v>101</v>
      </c>
      <c r="R46" t="s">
        <v>26</v>
      </c>
      <c r="S46" t="s">
        <v>74</v>
      </c>
      <c r="T46" t="s">
        <v>79</v>
      </c>
      <c r="U46">
        <v>3.49</v>
      </c>
      <c r="V46">
        <v>3.09</v>
      </c>
    </row>
    <row r="47" spans="1:22" x14ac:dyDescent="0.25">
      <c r="A47" s="2" t="s">
        <v>11</v>
      </c>
      <c r="B47" s="2" t="s">
        <v>63</v>
      </c>
      <c r="C47" t="s">
        <v>4</v>
      </c>
      <c r="D47" t="s">
        <v>26</v>
      </c>
      <c r="E47" s="2">
        <v>2</v>
      </c>
      <c r="F47" t="s">
        <v>41</v>
      </c>
      <c r="G47">
        <v>2.39</v>
      </c>
      <c r="H47">
        <v>2.19</v>
      </c>
      <c r="I47" s="2" t="str">
        <f>_xlfn.XLOOKUP(F47,DeparaIMG!B:B,DeparaIMG!D:D,,0)</f>
        <v>GCA269.png</v>
      </c>
      <c r="Q47" t="s">
        <v>101</v>
      </c>
      <c r="R47" t="s">
        <v>27</v>
      </c>
      <c r="S47" t="s">
        <v>74</v>
      </c>
      <c r="T47" t="s">
        <v>79</v>
      </c>
      <c r="U47">
        <v>3.49</v>
      </c>
      <c r="V47">
        <v>3.09</v>
      </c>
    </row>
    <row r="48" spans="1:22" x14ac:dyDescent="0.25">
      <c r="A48" s="2" t="s">
        <v>11</v>
      </c>
      <c r="B48" s="2" t="s">
        <v>63</v>
      </c>
      <c r="C48" t="s">
        <v>28</v>
      </c>
      <c r="D48" t="s">
        <v>26</v>
      </c>
      <c r="E48" s="2">
        <v>2</v>
      </c>
      <c r="F48" t="s">
        <v>41</v>
      </c>
      <c r="G48">
        <v>2.39</v>
      </c>
      <c r="H48">
        <v>2.19</v>
      </c>
      <c r="I48" s="2" t="str">
        <f>_xlfn.XLOOKUP(F48,DeparaIMG!B:B,DeparaIMG!D:D,,0)</f>
        <v>GCA269.png</v>
      </c>
      <c r="Q48" t="s">
        <v>102</v>
      </c>
      <c r="R48" t="s">
        <v>27</v>
      </c>
      <c r="S48" t="s">
        <v>74</v>
      </c>
      <c r="T48" t="s">
        <v>79</v>
      </c>
      <c r="U48">
        <v>3.49</v>
      </c>
      <c r="V48">
        <v>3.09</v>
      </c>
    </row>
    <row r="49" spans="1:22" x14ac:dyDescent="0.25">
      <c r="A49" s="2" t="s">
        <v>11</v>
      </c>
      <c r="B49" s="2" t="s">
        <v>63</v>
      </c>
      <c r="C49" t="s">
        <v>29</v>
      </c>
      <c r="D49" t="s">
        <v>26</v>
      </c>
      <c r="E49" s="2">
        <v>2</v>
      </c>
      <c r="F49" t="s">
        <v>41</v>
      </c>
      <c r="G49">
        <v>2.39</v>
      </c>
      <c r="H49">
        <v>2.19</v>
      </c>
      <c r="I49" s="2" t="str">
        <f>_xlfn.XLOOKUP(F49,DeparaIMG!B:B,DeparaIMG!D:D,,0)</f>
        <v>GCA269.png</v>
      </c>
      <c r="Q49" t="s">
        <v>102</v>
      </c>
      <c r="R49" t="s">
        <v>26</v>
      </c>
      <c r="S49" t="s">
        <v>74</v>
      </c>
      <c r="T49" t="s">
        <v>79</v>
      </c>
      <c r="U49">
        <v>3.49</v>
      </c>
      <c r="V49">
        <v>3.09</v>
      </c>
    </row>
    <row r="50" spans="1:22" x14ac:dyDescent="0.25">
      <c r="A50" s="2" t="s">
        <v>11</v>
      </c>
      <c r="B50" s="2" t="s">
        <v>63</v>
      </c>
      <c r="C50" t="s">
        <v>30</v>
      </c>
      <c r="D50" t="s">
        <v>26</v>
      </c>
      <c r="E50" s="2">
        <v>2</v>
      </c>
      <c r="F50" t="s">
        <v>41</v>
      </c>
      <c r="G50">
        <v>2.39</v>
      </c>
      <c r="H50">
        <v>2.19</v>
      </c>
      <c r="I50" s="2" t="str">
        <f>_xlfn.XLOOKUP(F50,DeparaIMG!B:B,DeparaIMG!D:D,,0)</f>
        <v>GCA269.png</v>
      </c>
      <c r="Q50" t="s">
        <v>29</v>
      </c>
      <c r="R50" t="s">
        <v>26</v>
      </c>
      <c r="S50" t="s">
        <v>74</v>
      </c>
      <c r="T50" t="s">
        <v>79</v>
      </c>
      <c r="U50">
        <v>3.49</v>
      </c>
      <c r="V50">
        <v>3.09</v>
      </c>
    </row>
    <row r="51" spans="1:22" x14ac:dyDescent="0.25">
      <c r="A51" s="2" t="s">
        <v>11</v>
      </c>
      <c r="B51" s="2" t="s">
        <v>63</v>
      </c>
      <c r="C51" t="s">
        <v>31</v>
      </c>
      <c r="D51" t="s">
        <v>26</v>
      </c>
      <c r="E51" s="2">
        <v>2</v>
      </c>
      <c r="F51" t="s">
        <v>41</v>
      </c>
      <c r="G51">
        <v>2.39</v>
      </c>
      <c r="H51">
        <v>2.19</v>
      </c>
      <c r="I51" s="2" t="str">
        <f>_xlfn.XLOOKUP(F51,DeparaIMG!B:B,DeparaIMG!D:D,,0)</f>
        <v>GCA269.png</v>
      </c>
      <c r="Q51" t="s">
        <v>30</v>
      </c>
      <c r="R51" t="s">
        <v>26</v>
      </c>
      <c r="S51" t="s">
        <v>74</v>
      </c>
      <c r="T51" t="s">
        <v>79</v>
      </c>
      <c r="U51">
        <v>3.49</v>
      </c>
      <c r="V51">
        <v>3.09</v>
      </c>
    </row>
    <row r="52" spans="1:22" x14ac:dyDescent="0.25">
      <c r="A52" s="2" t="s">
        <v>11</v>
      </c>
      <c r="B52" s="2" t="s">
        <v>63</v>
      </c>
      <c r="C52" t="s">
        <v>4</v>
      </c>
      <c r="D52" t="s">
        <v>26</v>
      </c>
      <c r="E52" s="2">
        <v>2</v>
      </c>
      <c r="F52" t="s">
        <v>42</v>
      </c>
      <c r="G52">
        <v>2.29</v>
      </c>
      <c r="H52">
        <v>2.09</v>
      </c>
      <c r="I52" s="2" t="str">
        <f>_xlfn.XLOOKUP(F52,DeparaIMG!B:B,DeparaIMG!D:D,,0)</f>
        <v>PC269.png</v>
      </c>
      <c r="Q52" t="s">
        <v>99</v>
      </c>
      <c r="R52" t="s">
        <v>26</v>
      </c>
      <c r="S52" t="s">
        <v>74</v>
      </c>
      <c r="T52" t="s">
        <v>79</v>
      </c>
      <c r="U52">
        <v>3.09</v>
      </c>
      <c r="V52">
        <v>3.09</v>
      </c>
    </row>
    <row r="53" spans="1:22" x14ac:dyDescent="0.25">
      <c r="A53" s="2" t="s">
        <v>11</v>
      </c>
      <c r="B53" s="2" t="s">
        <v>63</v>
      </c>
      <c r="C53" t="s">
        <v>28</v>
      </c>
      <c r="D53" t="s">
        <v>26</v>
      </c>
      <c r="E53" s="2">
        <v>2</v>
      </c>
      <c r="F53" t="s">
        <v>42</v>
      </c>
      <c r="G53">
        <v>2.29</v>
      </c>
      <c r="H53">
        <v>2.09</v>
      </c>
      <c r="I53" s="2" t="str">
        <f>_xlfn.XLOOKUP(F53,DeparaIMG!B:B,DeparaIMG!D:D,,0)</f>
        <v>PC269.png</v>
      </c>
      <c r="Q53" t="s">
        <v>99</v>
      </c>
      <c r="R53" t="s">
        <v>27</v>
      </c>
      <c r="S53" t="s">
        <v>74</v>
      </c>
      <c r="T53" t="s">
        <v>79</v>
      </c>
      <c r="U53">
        <v>3.49</v>
      </c>
      <c r="V53">
        <v>3.09</v>
      </c>
    </row>
    <row r="54" spans="1:22" x14ac:dyDescent="0.25">
      <c r="A54" s="2" t="s">
        <v>11</v>
      </c>
      <c r="B54" s="2" t="s">
        <v>63</v>
      </c>
      <c r="C54" t="s">
        <v>29</v>
      </c>
      <c r="D54" t="s">
        <v>26</v>
      </c>
      <c r="E54" s="2">
        <v>2</v>
      </c>
      <c r="F54" t="s">
        <v>42</v>
      </c>
      <c r="G54">
        <v>2.29</v>
      </c>
      <c r="H54">
        <v>2.09</v>
      </c>
      <c r="I54" s="2" t="str">
        <f>_xlfn.XLOOKUP(F54,DeparaIMG!B:B,DeparaIMG!D:D,,0)</f>
        <v>PC269.png</v>
      </c>
      <c r="Q54" t="s">
        <v>29</v>
      </c>
      <c r="R54" t="s">
        <v>26</v>
      </c>
      <c r="S54" t="s">
        <v>74</v>
      </c>
      <c r="T54" t="s">
        <v>80</v>
      </c>
      <c r="U54">
        <v>3.69</v>
      </c>
      <c r="V54">
        <v>3.19</v>
      </c>
    </row>
    <row r="55" spans="1:22" x14ac:dyDescent="0.25">
      <c r="A55" s="2" t="s">
        <v>11</v>
      </c>
      <c r="B55" s="2" t="s">
        <v>63</v>
      </c>
      <c r="C55" t="s">
        <v>30</v>
      </c>
      <c r="D55" t="s">
        <v>26</v>
      </c>
      <c r="E55" s="2">
        <v>2</v>
      </c>
      <c r="F55" t="s">
        <v>42</v>
      </c>
      <c r="G55">
        <v>2.29</v>
      </c>
      <c r="H55">
        <v>2.09</v>
      </c>
      <c r="I55" s="2" t="str">
        <f>_xlfn.XLOOKUP(F55,DeparaIMG!B:B,DeparaIMG!D:D,,0)</f>
        <v>PC269.png</v>
      </c>
      <c r="Q55" t="s">
        <v>29</v>
      </c>
      <c r="R55" t="s">
        <v>26</v>
      </c>
      <c r="S55" t="s">
        <v>65</v>
      </c>
      <c r="T55" t="s">
        <v>80</v>
      </c>
      <c r="U55">
        <v>3.69</v>
      </c>
      <c r="V55">
        <v>3.19</v>
      </c>
    </row>
    <row r="56" spans="1:22" x14ac:dyDescent="0.25">
      <c r="A56" s="2" t="s">
        <v>11</v>
      </c>
      <c r="B56" s="2" t="s">
        <v>63</v>
      </c>
      <c r="C56" t="s">
        <v>31</v>
      </c>
      <c r="D56" t="s">
        <v>26</v>
      </c>
      <c r="E56" s="2">
        <v>2</v>
      </c>
      <c r="F56" t="s">
        <v>42</v>
      </c>
      <c r="G56">
        <v>2.29</v>
      </c>
      <c r="H56">
        <v>2.09</v>
      </c>
      <c r="I56" s="2" t="str">
        <f>_xlfn.XLOOKUP(F56,DeparaIMG!B:B,DeparaIMG!D:D,,0)</f>
        <v>PC269.png</v>
      </c>
      <c r="Q56" t="s">
        <v>30</v>
      </c>
      <c r="R56" t="s">
        <v>26</v>
      </c>
      <c r="S56" t="s">
        <v>74</v>
      </c>
      <c r="T56" t="s">
        <v>80</v>
      </c>
      <c r="U56">
        <v>3.69</v>
      </c>
      <c r="V56">
        <v>3.19</v>
      </c>
    </row>
    <row r="57" spans="1:22" x14ac:dyDescent="0.25">
      <c r="A57" s="2" t="s">
        <v>11</v>
      </c>
      <c r="B57" s="2" t="s">
        <v>63</v>
      </c>
      <c r="C57" t="s">
        <v>4</v>
      </c>
      <c r="D57" t="s">
        <v>27</v>
      </c>
      <c r="E57" s="2">
        <v>2</v>
      </c>
      <c r="F57" t="s">
        <v>32</v>
      </c>
      <c r="G57">
        <v>5.29</v>
      </c>
      <c r="H57">
        <v>4.99</v>
      </c>
      <c r="I57" s="2" t="str">
        <f>_xlfn.XLOOKUP(F57,DeparaIMG!B:B,DeparaIMG!D:D,,0)</f>
        <v>GCAP1.png</v>
      </c>
      <c r="Q57" t="s">
        <v>30</v>
      </c>
      <c r="R57" t="s">
        <v>26</v>
      </c>
      <c r="S57" t="s">
        <v>65</v>
      </c>
      <c r="T57" t="s">
        <v>80</v>
      </c>
      <c r="U57">
        <v>3.69</v>
      </c>
      <c r="V57">
        <v>3.19</v>
      </c>
    </row>
    <row r="58" spans="1:22" x14ac:dyDescent="0.25">
      <c r="A58" s="2" t="s">
        <v>11</v>
      </c>
      <c r="B58" s="2" t="s">
        <v>63</v>
      </c>
      <c r="C58" t="s">
        <v>28</v>
      </c>
      <c r="D58" t="s">
        <v>27</v>
      </c>
      <c r="E58" s="2">
        <v>2</v>
      </c>
      <c r="F58" t="s">
        <v>33</v>
      </c>
      <c r="G58">
        <v>6.99</v>
      </c>
      <c r="H58">
        <v>6.69</v>
      </c>
      <c r="I58" s="2" t="str">
        <f>_xlfn.XLOOKUP(F58,DeparaIMG!B:B,DeparaIMG!D:D,,0)</f>
        <v>GCAP1,5.png</v>
      </c>
      <c r="Q58" t="s">
        <v>100</v>
      </c>
      <c r="R58" t="s">
        <v>26</v>
      </c>
      <c r="S58" t="s">
        <v>74</v>
      </c>
      <c r="T58" t="s">
        <v>80</v>
      </c>
      <c r="U58">
        <v>3.69</v>
      </c>
      <c r="V58">
        <v>3.19</v>
      </c>
    </row>
    <row r="59" spans="1:22" x14ac:dyDescent="0.25">
      <c r="A59" s="2" t="s">
        <v>11</v>
      </c>
      <c r="B59" s="2" t="s">
        <v>63</v>
      </c>
      <c r="C59" t="s">
        <v>29</v>
      </c>
      <c r="D59" t="s">
        <v>27</v>
      </c>
      <c r="E59" s="2">
        <v>2</v>
      </c>
      <c r="F59" t="s">
        <v>33</v>
      </c>
      <c r="G59">
        <v>6.99</v>
      </c>
      <c r="H59">
        <v>6.69</v>
      </c>
      <c r="I59" s="2" t="str">
        <f>_xlfn.XLOOKUP(F59,DeparaIMG!B:B,DeparaIMG!D:D,,0)</f>
        <v>GCAP1,5.png</v>
      </c>
      <c r="Q59" t="s">
        <v>100</v>
      </c>
      <c r="R59" t="s">
        <v>26</v>
      </c>
      <c r="S59" t="s">
        <v>65</v>
      </c>
      <c r="T59" t="s">
        <v>80</v>
      </c>
      <c r="U59">
        <v>3.69</v>
      </c>
      <c r="V59">
        <v>3.19</v>
      </c>
    </row>
    <row r="60" spans="1:22" x14ac:dyDescent="0.25">
      <c r="A60" s="2" t="s">
        <v>11</v>
      </c>
      <c r="B60" s="2" t="s">
        <v>63</v>
      </c>
      <c r="C60" t="s">
        <v>30</v>
      </c>
      <c r="D60" t="s">
        <v>27</v>
      </c>
      <c r="E60" s="2">
        <v>2</v>
      </c>
      <c r="F60" t="s">
        <v>33</v>
      </c>
      <c r="G60">
        <v>6.99</v>
      </c>
      <c r="H60">
        <v>6.69</v>
      </c>
      <c r="I60" s="2" t="str">
        <f>_xlfn.XLOOKUP(F60,DeparaIMG!B:B,DeparaIMG!D:D,,0)</f>
        <v>GCAP1,5.png</v>
      </c>
      <c r="Q60" t="s">
        <v>4</v>
      </c>
      <c r="R60" t="s">
        <v>26</v>
      </c>
      <c r="S60" t="s">
        <v>74</v>
      </c>
      <c r="T60" t="s">
        <v>80</v>
      </c>
      <c r="U60">
        <v>3.69</v>
      </c>
      <c r="V60">
        <v>3.19</v>
      </c>
    </row>
    <row r="61" spans="1:22" x14ac:dyDescent="0.25">
      <c r="A61" s="2" t="s">
        <v>11</v>
      </c>
      <c r="B61" s="2" t="s">
        <v>63</v>
      </c>
      <c r="C61" t="s">
        <v>31</v>
      </c>
      <c r="D61" t="s">
        <v>27</v>
      </c>
      <c r="E61" s="2">
        <v>2</v>
      </c>
      <c r="F61" t="s">
        <v>33</v>
      </c>
      <c r="G61">
        <v>6.99</v>
      </c>
      <c r="H61">
        <v>6.69</v>
      </c>
      <c r="I61" s="2" t="str">
        <f>_xlfn.XLOOKUP(F61,DeparaIMG!B:B,DeparaIMG!D:D,,0)</f>
        <v>GCAP1,5.png</v>
      </c>
      <c r="Q61" t="s">
        <v>4</v>
      </c>
      <c r="R61" t="s">
        <v>26</v>
      </c>
      <c r="S61" t="s">
        <v>65</v>
      </c>
      <c r="T61" t="s">
        <v>80</v>
      </c>
      <c r="U61">
        <v>3.69</v>
      </c>
      <c r="V61">
        <v>3.19</v>
      </c>
    </row>
    <row r="62" spans="1:22" x14ac:dyDescent="0.25">
      <c r="A62" s="2" t="s">
        <v>11</v>
      </c>
      <c r="B62" s="2" t="s">
        <v>63</v>
      </c>
      <c r="C62" t="s">
        <v>4</v>
      </c>
      <c r="D62" t="s">
        <v>27</v>
      </c>
      <c r="E62" s="2">
        <v>2</v>
      </c>
      <c r="F62" t="s">
        <v>34</v>
      </c>
      <c r="G62">
        <v>7.99</v>
      </c>
      <c r="H62">
        <v>7.49</v>
      </c>
      <c r="I62" s="2" t="str">
        <f>_xlfn.XLOOKUP(F62,DeparaIMG!B:B,DeparaIMG!D:D,,0)</f>
        <v>PCP2.png</v>
      </c>
      <c r="Q62" t="s">
        <v>101</v>
      </c>
      <c r="R62" t="s">
        <v>26</v>
      </c>
      <c r="S62" t="s">
        <v>74</v>
      </c>
      <c r="T62" t="s">
        <v>80</v>
      </c>
      <c r="U62">
        <v>3.69</v>
      </c>
      <c r="V62">
        <v>3.19</v>
      </c>
    </row>
    <row r="63" spans="1:22" x14ac:dyDescent="0.25">
      <c r="A63" s="2" t="s">
        <v>11</v>
      </c>
      <c r="B63" s="2" t="s">
        <v>63</v>
      </c>
      <c r="C63" t="s">
        <v>28</v>
      </c>
      <c r="D63" t="s">
        <v>27</v>
      </c>
      <c r="E63" s="2">
        <v>2</v>
      </c>
      <c r="F63" t="s">
        <v>34</v>
      </c>
      <c r="G63">
        <v>8.49</v>
      </c>
      <c r="H63">
        <v>7.99</v>
      </c>
      <c r="I63" s="2" t="str">
        <f>_xlfn.XLOOKUP(F63,DeparaIMG!B:B,DeparaIMG!D:D,,0)</f>
        <v>PCP2.png</v>
      </c>
      <c r="Q63" t="s">
        <v>101</v>
      </c>
      <c r="R63" t="s">
        <v>26</v>
      </c>
      <c r="S63" t="s">
        <v>65</v>
      </c>
      <c r="T63" t="s">
        <v>80</v>
      </c>
      <c r="U63">
        <v>3.69</v>
      </c>
      <c r="V63">
        <v>3.19</v>
      </c>
    </row>
    <row r="64" spans="1:22" x14ac:dyDescent="0.25">
      <c r="A64" s="2" t="s">
        <v>11</v>
      </c>
      <c r="B64" s="2" t="s">
        <v>63</v>
      </c>
      <c r="C64" t="s">
        <v>29</v>
      </c>
      <c r="D64" t="s">
        <v>27</v>
      </c>
      <c r="E64" s="2">
        <v>2</v>
      </c>
      <c r="F64" t="s">
        <v>34</v>
      </c>
      <c r="G64">
        <v>7.69</v>
      </c>
      <c r="H64">
        <v>7.19</v>
      </c>
      <c r="I64" s="2" t="str">
        <f>_xlfn.XLOOKUP(F64,DeparaIMG!B:B,DeparaIMG!D:D,,0)</f>
        <v>PCP2.png</v>
      </c>
      <c r="Q64" t="s">
        <v>102</v>
      </c>
      <c r="R64" t="s">
        <v>26</v>
      </c>
      <c r="S64" t="s">
        <v>74</v>
      </c>
      <c r="T64" t="s">
        <v>80</v>
      </c>
      <c r="U64">
        <v>3.69</v>
      </c>
      <c r="V64">
        <v>3.19</v>
      </c>
    </row>
    <row r="65" spans="1:22" x14ac:dyDescent="0.25">
      <c r="A65" s="2" t="s">
        <v>11</v>
      </c>
      <c r="B65" s="2" t="s">
        <v>63</v>
      </c>
      <c r="C65" t="s">
        <v>30</v>
      </c>
      <c r="D65" t="s">
        <v>27</v>
      </c>
      <c r="E65" s="2">
        <v>2</v>
      </c>
      <c r="F65" t="s">
        <v>34</v>
      </c>
      <c r="G65">
        <v>7.69</v>
      </c>
      <c r="H65">
        <v>7.19</v>
      </c>
      <c r="I65" s="2" t="str">
        <f>_xlfn.XLOOKUP(F65,DeparaIMG!B:B,DeparaIMG!D:D,,0)</f>
        <v>PCP2.png</v>
      </c>
      <c r="Q65" t="s">
        <v>102</v>
      </c>
      <c r="R65" t="s">
        <v>26</v>
      </c>
      <c r="S65" t="s">
        <v>65</v>
      </c>
      <c r="T65" t="s">
        <v>80</v>
      </c>
      <c r="U65">
        <v>3.69</v>
      </c>
      <c r="V65">
        <v>3.19</v>
      </c>
    </row>
    <row r="66" spans="1:22" x14ac:dyDescent="0.25">
      <c r="A66" s="2" t="s">
        <v>11</v>
      </c>
      <c r="B66" s="2" t="s">
        <v>63</v>
      </c>
      <c r="C66" t="s">
        <v>31</v>
      </c>
      <c r="D66" t="s">
        <v>27</v>
      </c>
      <c r="E66" s="2">
        <v>2</v>
      </c>
      <c r="F66" t="s">
        <v>34</v>
      </c>
      <c r="G66">
        <v>8.49</v>
      </c>
      <c r="H66">
        <v>7.99</v>
      </c>
      <c r="I66" s="2" t="str">
        <f>_xlfn.XLOOKUP(F66,DeparaIMG!B:B,DeparaIMG!D:D,,0)</f>
        <v>PCP2.png</v>
      </c>
      <c r="Q66" t="s">
        <v>99</v>
      </c>
      <c r="R66" t="s">
        <v>26</v>
      </c>
      <c r="S66" t="s">
        <v>74</v>
      </c>
      <c r="T66" t="s">
        <v>80</v>
      </c>
      <c r="U66">
        <v>3.69</v>
      </c>
      <c r="V66">
        <v>3.19</v>
      </c>
    </row>
    <row r="67" spans="1:22" x14ac:dyDescent="0.25">
      <c r="A67" s="2" t="s">
        <v>11</v>
      </c>
      <c r="B67" s="2" t="s">
        <v>63</v>
      </c>
      <c r="C67" t="s">
        <v>28</v>
      </c>
      <c r="D67" t="s">
        <v>27</v>
      </c>
      <c r="E67" s="2">
        <v>2</v>
      </c>
      <c r="F67" t="s">
        <v>43</v>
      </c>
      <c r="G67">
        <v>8.49</v>
      </c>
      <c r="H67">
        <v>7.99</v>
      </c>
      <c r="I67" s="2" t="str">
        <f>_xlfn.XLOOKUP(F67,DeparaIMG!B:B,DeparaIMG!D:D,,0)</f>
        <v>H2OHP1,5.png</v>
      </c>
      <c r="Q67" t="s">
        <v>99</v>
      </c>
      <c r="R67" t="s">
        <v>26</v>
      </c>
      <c r="S67" t="s">
        <v>65</v>
      </c>
      <c r="T67" t="s">
        <v>80</v>
      </c>
      <c r="U67">
        <v>3.69</v>
      </c>
      <c r="V67">
        <v>3.19</v>
      </c>
    </row>
    <row r="68" spans="1:22" x14ac:dyDescent="0.25">
      <c r="A68" s="2" t="s">
        <v>11</v>
      </c>
      <c r="B68" s="2" t="s">
        <v>63</v>
      </c>
      <c r="C68" t="s">
        <v>29</v>
      </c>
      <c r="D68" t="s">
        <v>27</v>
      </c>
      <c r="E68" s="2">
        <v>2</v>
      </c>
      <c r="F68" t="s">
        <v>43</v>
      </c>
      <c r="G68">
        <v>7.99</v>
      </c>
      <c r="H68">
        <v>7.49</v>
      </c>
      <c r="I68" s="2" t="str">
        <f>_xlfn.XLOOKUP(F68,DeparaIMG!B:B,DeparaIMG!D:D,,0)</f>
        <v>H2OHP1,5.png</v>
      </c>
      <c r="Q68" t="s">
        <v>100</v>
      </c>
      <c r="R68" t="s">
        <v>27</v>
      </c>
      <c r="S68" t="s">
        <v>65</v>
      </c>
      <c r="T68" t="s">
        <v>81</v>
      </c>
      <c r="U68">
        <v>3.69</v>
      </c>
      <c r="V68">
        <v>3.39</v>
      </c>
    </row>
    <row r="69" spans="1:22" x14ac:dyDescent="0.25">
      <c r="A69" s="2" t="s">
        <v>11</v>
      </c>
      <c r="B69" s="2" t="s">
        <v>63</v>
      </c>
      <c r="C69" t="s">
        <v>30</v>
      </c>
      <c r="D69" t="s">
        <v>27</v>
      </c>
      <c r="E69" s="2">
        <v>2</v>
      </c>
      <c r="F69" t="s">
        <v>43</v>
      </c>
      <c r="G69">
        <v>7.99</v>
      </c>
      <c r="H69">
        <v>7.49</v>
      </c>
      <c r="I69" s="2" t="str">
        <f>_xlfn.XLOOKUP(F69,DeparaIMG!B:B,DeparaIMG!D:D,,0)</f>
        <v>H2OHP1,5.png</v>
      </c>
      <c r="Q69" t="s">
        <v>4</v>
      </c>
      <c r="R69" t="s">
        <v>27</v>
      </c>
      <c r="S69" t="s">
        <v>74</v>
      </c>
      <c r="T69" t="s">
        <v>82</v>
      </c>
      <c r="U69">
        <v>3.79</v>
      </c>
      <c r="V69">
        <v>3.49</v>
      </c>
    </row>
    <row r="70" spans="1:22" x14ac:dyDescent="0.25">
      <c r="A70" s="2" t="s">
        <v>11</v>
      </c>
      <c r="B70" s="2" t="s">
        <v>63</v>
      </c>
      <c r="C70" t="s">
        <v>31</v>
      </c>
      <c r="D70" t="s">
        <v>27</v>
      </c>
      <c r="E70" s="2">
        <v>2</v>
      </c>
      <c r="F70" t="s">
        <v>43</v>
      </c>
      <c r="G70">
        <v>8.49</v>
      </c>
      <c r="H70">
        <v>7.99</v>
      </c>
      <c r="I70" s="2" t="str">
        <f>_xlfn.XLOOKUP(F70,DeparaIMG!B:B,DeparaIMG!D:D,,0)</f>
        <v>H2OHP1,5.png</v>
      </c>
      <c r="Q70" t="s">
        <v>30</v>
      </c>
      <c r="R70" t="s">
        <v>27</v>
      </c>
      <c r="S70" t="s">
        <v>74</v>
      </c>
      <c r="T70" t="s">
        <v>82</v>
      </c>
      <c r="U70">
        <v>3.79</v>
      </c>
      <c r="V70">
        <v>3.49</v>
      </c>
    </row>
    <row r="71" spans="1:22" x14ac:dyDescent="0.25">
      <c r="A71" s="2" t="s">
        <v>11</v>
      </c>
      <c r="B71" s="2" t="s">
        <v>63</v>
      </c>
      <c r="C71" t="s">
        <v>4</v>
      </c>
      <c r="D71" t="s">
        <v>27</v>
      </c>
      <c r="E71" s="2">
        <v>2</v>
      </c>
      <c r="F71" t="s">
        <v>37</v>
      </c>
      <c r="G71">
        <v>6.99</v>
      </c>
      <c r="H71">
        <v>6.49</v>
      </c>
      <c r="I71" s="2" t="str">
        <f>_xlfn.XLOOKUP(F71,DeparaIMG!B:B,DeparaIMG!D:D,,0)</f>
        <v>SUKP2.png</v>
      </c>
      <c r="Q71" t="s">
        <v>99</v>
      </c>
      <c r="R71" t="s">
        <v>26</v>
      </c>
      <c r="S71" t="s">
        <v>65</v>
      </c>
      <c r="T71" t="s">
        <v>67</v>
      </c>
      <c r="U71">
        <v>3.89</v>
      </c>
      <c r="V71">
        <v>3.69</v>
      </c>
    </row>
    <row r="72" spans="1:22" x14ac:dyDescent="0.25">
      <c r="A72" s="2" t="s">
        <v>11</v>
      </c>
      <c r="B72" s="2" t="s">
        <v>63</v>
      </c>
      <c r="C72" t="s">
        <v>28</v>
      </c>
      <c r="D72" t="s">
        <v>27</v>
      </c>
      <c r="E72" s="2">
        <v>2</v>
      </c>
      <c r="F72" t="s">
        <v>37</v>
      </c>
      <c r="G72">
        <v>6.99</v>
      </c>
      <c r="H72">
        <v>6.49</v>
      </c>
      <c r="I72" s="2" t="str">
        <f>_xlfn.XLOOKUP(F72,DeparaIMG!B:B,DeparaIMG!D:D,,0)</f>
        <v>SUKP2.png</v>
      </c>
      <c r="Q72" t="s">
        <v>100</v>
      </c>
      <c r="R72" t="s">
        <v>26</v>
      </c>
      <c r="S72" t="s">
        <v>65</v>
      </c>
      <c r="T72" t="s">
        <v>67</v>
      </c>
      <c r="U72">
        <v>3.89</v>
      </c>
      <c r="V72">
        <v>3.69</v>
      </c>
    </row>
    <row r="73" spans="1:22" x14ac:dyDescent="0.25">
      <c r="A73" s="2" t="s">
        <v>11</v>
      </c>
      <c r="B73" s="2" t="s">
        <v>63</v>
      </c>
      <c r="C73" t="s">
        <v>29</v>
      </c>
      <c r="D73" t="s">
        <v>27</v>
      </c>
      <c r="E73" s="2">
        <v>2</v>
      </c>
      <c r="F73" t="s">
        <v>37</v>
      </c>
      <c r="G73">
        <v>6.99</v>
      </c>
      <c r="H73">
        <v>6.49</v>
      </c>
      <c r="I73" s="2" t="str">
        <f>_xlfn.XLOOKUP(F73,DeparaIMG!B:B,DeparaIMG!D:D,,0)</f>
        <v>SUKP2.png</v>
      </c>
      <c r="Q73" t="s">
        <v>4</v>
      </c>
      <c r="R73" t="s">
        <v>26</v>
      </c>
      <c r="S73" t="s">
        <v>65</v>
      </c>
      <c r="T73" t="s">
        <v>67</v>
      </c>
      <c r="U73">
        <v>3.89</v>
      </c>
      <c r="V73">
        <v>3.69</v>
      </c>
    </row>
    <row r="74" spans="1:22" x14ac:dyDescent="0.25">
      <c r="A74" s="2" t="s">
        <v>11</v>
      </c>
      <c r="B74" s="2" t="s">
        <v>63</v>
      </c>
      <c r="C74" t="s">
        <v>30</v>
      </c>
      <c r="D74" t="s">
        <v>27</v>
      </c>
      <c r="E74" s="2">
        <v>2</v>
      </c>
      <c r="F74" t="s">
        <v>37</v>
      </c>
      <c r="G74">
        <v>6.99</v>
      </c>
      <c r="H74">
        <v>6.49</v>
      </c>
      <c r="I74" s="2" t="str">
        <f>_xlfn.XLOOKUP(F74,DeparaIMG!B:B,DeparaIMG!D:D,,0)</f>
        <v>SUKP2.png</v>
      </c>
      <c r="Q74" t="s">
        <v>101</v>
      </c>
      <c r="R74" t="s">
        <v>26</v>
      </c>
      <c r="S74" t="s">
        <v>65</v>
      </c>
      <c r="T74" t="s">
        <v>67</v>
      </c>
      <c r="U74">
        <v>3.89</v>
      </c>
      <c r="V74">
        <v>3.79</v>
      </c>
    </row>
    <row r="75" spans="1:22" x14ac:dyDescent="0.25">
      <c r="A75" s="2" t="s">
        <v>11</v>
      </c>
      <c r="B75" s="2" t="s">
        <v>63</v>
      </c>
      <c r="C75" t="s">
        <v>31</v>
      </c>
      <c r="D75" t="s">
        <v>27</v>
      </c>
      <c r="E75" s="2">
        <v>2</v>
      </c>
      <c r="F75" t="s">
        <v>37</v>
      </c>
      <c r="G75">
        <v>7.49</v>
      </c>
      <c r="H75">
        <v>6.99</v>
      </c>
      <c r="I75" s="2" t="str">
        <f>_xlfn.XLOOKUP(F75,DeparaIMG!B:B,DeparaIMG!D:D,,0)</f>
        <v>SUKP2.png</v>
      </c>
      <c r="Q75" t="s">
        <v>102</v>
      </c>
      <c r="R75" t="s">
        <v>26</v>
      </c>
      <c r="S75" t="s">
        <v>65</v>
      </c>
      <c r="T75" t="s">
        <v>67</v>
      </c>
      <c r="U75">
        <v>3.89</v>
      </c>
      <c r="V75">
        <v>3.69</v>
      </c>
    </row>
    <row r="76" spans="1:22" x14ac:dyDescent="0.25">
      <c r="A76" s="2" t="s">
        <v>11</v>
      </c>
      <c r="B76" s="2" t="s">
        <v>64</v>
      </c>
      <c r="C76" t="s">
        <v>99</v>
      </c>
      <c r="D76" t="s">
        <v>26</v>
      </c>
      <c r="E76" s="2" t="s">
        <v>65</v>
      </c>
      <c r="F76" t="s">
        <v>72</v>
      </c>
      <c r="G76">
        <v>3.09</v>
      </c>
      <c r="H76">
        <v>2.89</v>
      </c>
      <c r="I76" s="2" t="str">
        <f>_xlfn.XLOOKUP(F76,DeparaIMG!B:B,DeparaIMG!D:D,,0)</f>
        <v>SK269.png</v>
      </c>
      <c r="Q76" t="s">
        <v>29</v>
      </c>
      <c r="R76" t="s">
        <v>26</v>
      </c>
      <c r="S76" t="s">
        <v>65</v>
      </c>
      <c r="T76" t="s">
        <v>67</v>
      </c>
      <c r="U76">
        <v>3.89</v>
      </c>
      <c r="V76">
        <v>3.69</v>
      </c>
    </row>
    <row r="77" spans="1:22" x14ac:dyDescent="0.25">
      <c r="A77" s="2" t="s">
        <v>11</v>
      </c>
      <c r="B77" s="2" t="s">
        <v>64</v>
      </c>
      <c r="C77" t="s">
        <v>99</v>
      </c>
      <c r="D77" t="s">
        <v>26</v>
      </c>
      <c r="E77" t="s">
        <v>65</v>
      </c>
      <c r="F77" t="s">
        <v>72</v>
      </c>
      <c r="G77">
        <v>3.09</v>
      </c>
      <c r="H77">
        <v>2.89</v>
      </c>
      <c r="I77" s="2" t="str">
        <f>_xlfn.XLOOKUP(F77,DeparaIMG!B:B,DeparaIMG!D:D,,0)</f>
        <v>SK269.png</v>
      </c>
      <c r="Q77" t="s">
        <v>30</v>
      </c>
      <c r="R77" t="s">
        <v>26</v>
      </c>
      <c r="S77" t="s">
        <v>65</v>
      </c>
      <c r="T77" t="s">
        <v>67</v>
      </c>
      <c r="U77">
        <v>3.89</v>
      </c>
      <c r="V77">
        <v>3.69</v>
      </c>
    </row>
    <row r="78" spans="1:22" x14ac:dyDescent="0.25">
      <c r="A78" s="2" t="s">
        <v>11</v>
      </c>
      <c r="B78" s="2" t="s">
        <v>64</v>
      </c>
      <c r="C78" t="s">
        <v>99</v>
      </c>
      <c r="D78" t="s">
        <v>27</v>
      </c>
      <c r="E78" t="s">
        <v>65</v>
      </c>
      <c r="F78" t="s">
        <v>72</v>
      </c>
      <c r="G78">
        <v>3.09</v>
      </c>
      <c r="H78">
        <v>2.89</v>
      </c>
      <c r="I78" s="2" t="str">
        <f>_xlfn.XLOOKUP(F78,DeparaIMG!B:B,DeparaIMG!D:D,,0)</f>
        <v>SK269.png</v>
      </c>
      <c r="Q78" t="s">
        <v>100</v>
      </c>
      <c r="R78" t="s">
        <v>26</v>
      </c>
      <c r="S78" t="s">
        <v>65</v>
      </c>
      <c r="T78" t="s">
        <v>83</v>
      </c>
      <c r="U78">
        <v>3.89</v>
      </c>
      <c r="V78">
        <v>3.59</v>
      </c>
    </row>
    <row r="79" spans="1:22" x14ac:dyDescent="0.25">
      <c r="A79" s="2" t="s">
        <v>11</v>
      </c>
      <c r="B79" s="2" t="s">
        <v>64</v>
      </c>
      <c r="C79" t="s">
        <v>100</v>
      </c>
      <c r="D79" t="s">
        <v>27</v>
      </c>
      <c r="E79" t="s">
        <v>65</v>
      </c>
      <c r="F79" t="s">
        <v>73</v>
      </c>
      <c r="G79">
        <v>3.09</v>
      </c>
      <c r="H79">
        <v>2.89</v>
      </c>
      <c r="I79" s="2" t="e">
        <f>_xlfn.XLOOKUP(F79,DeparaIMG!B:B,DeparaIMG!D:D,,0)</f>
        <v>#N/A</v>
      </c>
      <c r="Q79" t="s">
        <v>100</v>
      </c>
      <c r="R79" t="s">
        <v>27</v>
      </c>
      <c r="S79" t="s">
        <v>65</v>
      </c>
      <c r="T79" t="s">
        <v>83</v>
      </c>
      <c r="U79">
        <v>3.89</v>
      </c>
      <c r="V79">
        <v>3.59</v>
      </c>
    </row>
    <row r="80" spans="1:22" x14ac:dyDescent="0.25">
      <c r="A80" s="2" t="s">
        <v>11</v>
      </c>
      <c r="B80" s="2" t="s">
        <v>64</v>
      </c>
      <c r="C80" t="s">
        <v>100</v>
      </c>
      <c r="D80" t="s">
        <v>27</v>
      </c>
      <c r="E80" t="s">
        <v>74</v>
      </c>
      <c r="F80" t="s">
        <v>75</v>
      </c>
      <c r="G80">
        <v>3.09</v>
      </c>
      <c r="H80">
        <v>2.79</v>
      </c>
      <c r="I80" s="2" t="e">
        <f>_xlfn.XLOOKUP(F80,DeparaIMG!B:B,DeparaIMG!D:D,,0)</f>
        <v>#N/A</v>
      </c>
      <c r="Q80" t="s">
        <v>101</v>
      </c>
      <c r="R80" t="s">
        <v>26</v>
      </c>
      <c r="S80" t="s">
        <v>65</v>
      </c>
      <c r="T80" t="s">
        <v>83</v>
      </c>
      <c r="U80">
        <v>3.89</v>
      </c>
      <c r="V80">
        <v>3.59</v>
      </c>
    </row>
    <row r="81" spans="1:22" x14ac:dyDescent="0.25">
      <c r="A81" s="2" t="s">
        <v>11</v>
      </c>
      <c r="B81" s="2" t="s">
        <v>64</v>
      </c>
      <c r="C81" t="s">
        <v>4</v>
      </c>
      <c r="D81" t="s">
        <v>27</v>
      </c>
      <c r="E81" t="s">
        <v>65</v>
      </c>
      <c r="F81" t="s">
        <v>66</v>
      </c>
      <c r="G81">
        <v>3.19</v>
      </c>
      <c r="H81">
        <v>2.99</v>
      </c>
      <c r="I81" s="2" t="str">
        <f>_xlfn.XLOOKUP(F81,DeparaIMG!B:B,DeparaIMG!D:D,,0)</f>
        <v>SKZERO269.png</v>
      </c>
      <c r="Q81" t="s">
        <v>102</v>
      </c>
      <c r="R81" t="s">
        <v>26</v>
      </c>
      <c r="S81" t="s">
        <v>65</v>
      </c>
      <c r="T81" t="s">
        <v>83</v>
      </c>
      <c r="U81">
        <v>3.89</v>
      </c>
      <c r="V81">
        <v>3.59</v>
      </c>
    </row>
    <row r="82" spans="1:22" x14ac:dyDescent="0.25">
      <c r="A82" s="2" t="s">
        <v>11</v>
      </c>
      <c r="B82" s="2" t="s">
        <v>64</v>
      </c>
      <c r="C82" t="s">
        <v>4</v>
      </c>
      <c r="D82" t="s">
        <v>26</v>
      </c>
      <c r="E82" t="s">
        <v>65</v>
      </c>
      <c r="F82" t="s">
        <v>66</v>
      </c>
      <c r="G82">
        <v>3.19</v>
      </c>
      <c r="H82">
        <v>2.99</v>
      </c>
      <c r="I82" s="2" t="str">
        <f>_xlfn.XLOOKUP(F82,DeparaIMG!B:B,DeparaIMG!D:D,,0)</f>
        <v>SKZERO269.png</v>
      </c>
      <c r="Q82" t="s">
        <v>101</v>
      </c>
      <c r="R82" t="s">
        <v>27</v>
      </c>
      <c r="S82" t="s">
        <v>65</v>
      </c>
      <c r="T82" t="s">
        <v>83</v>
      </c>
      <c r="U82">
        <v>3.89</v>
      </c>
      <c r="V82">
        <v>3.59</v>
      </c>
    </row>
    <row r="83" spans="1:22" x14ac:dyDescent="0.25">
      <c r="A83" s="2" t="s">
        <v>11</v>
      </c>
      <c r="B83" s="2" t="s">
        <v>64</v>
      </c>
      <c r="C83" t="s">
        <v>29</v>
      </c>
      <c r="D83" t="s">
        <v>26</v>
      </c>
      <c r="E83" t="s">
        <v>65</v>
      </c>
      <c r="F83" t="s">
        <v>76</v>
      </c>
      <c r="G83">
        <v>3.19</v>
      </c>
      <c r="H83">
        <v>2.99</v>
      </c>
      <c r="I83" s="2" t="str">
        <f>_xlfn.XLOOKUP(F83,DeparaIMG!B:B,DeparaIMG!D:D,,0)</f>
        <v>AP269.png</v>
      </c>
      <c r="Q83" t="s">
        <v>102</v>
      </c>
      <c r="R83" t="s">
        <v>27</v>
      </c>
      <c r="S83" t="s">
        <v>65</v>
      </c>
      <c r="T83" t="s">
        <v>83</v>
      </c>
      <c r="U83">
        <v>3.89</v>
      </c>
      <c r="V83">
        <v>3.59</v>
      </c>
    </row>
    <row r="84" spans="1:22" x14ac:dyDescent="0.25">
      <c r="A84" s="2" t="s">
        <v>11</v>
      </c>
      <c r="B84" s="2" t="s">
        <v>64</v>
      </c>
      <c r="C84" t="s">
        <v>30</v>
      </c>
      <c r="D84" t="s">
        <v>26</v>
      </c>
      <c r="E84" t="s">
        <v>65</v>
      </c>
      <c r="F84" t="s">
        <v>76</v>
      </c>
      <c r="G84">
        <v>3.19</v>
      </c>
      <c r="H84">
        <v>2.99</v>
      </c>
      <c r="I84" s="2" t="str">
        <f>_xlfn.XLOOKUP(F84,DeparaIMG!B:B,DeparaIMG!D:D,,0)</f>
        <v>AP269.png</v>
      </c>
      <c r="Q84" t="s">
        <v>29</v>
      </c>
      <c r="R84" t="s">
        <v>26</v>
      </c>
      <c r="S84" t="s">
        <v>65</v>
      </c>
      <c r="T84" t="s">
        <v>83</v>
      </c>
      <c r="U84">
        <v>3.89</v>
      </c>
      <c r="V84">
        <v>3.59</v>
      </c>
    </row>
    <row r="85" spans="1:22" x14ac:dyDescent="0.25">
      <c r="A85" s="2" t="s">
        <v>11</v>
      </c>
      <c r="B85" s="2" t="s">
        <v>64</v>
      </c>
      <c r="C85" t="s">
        <v>99</v>
      </c>
      <c r="D85" t="s">
        <v>27</v>
      </c>
      <c r="E85" t="s">
        <v>65</v>
      </c>
      <c r="F85" t="s">
        <v>66</v>
      </c>
      <c r="G85">
        <v>3.19</v>
      </c>
      <c r="H85">
        <v>2.99</v>
      </c>
      <c r="I85" s="2" t="str">
        <f>_xlfn.XLOOKUP(F85,DeparaIMG!B:B,DeparaIMG!D:D,,0)</f>
        <v>SKZERO269.png</v>
      </c>
      <c r="Q85" t="s">
        <v>30</v>
      </c>
      <c r="R85" t="s">
        <v>26</v>
      </c>
      <c r="S85" t="s">
        <v>65</v>
      </c>
      <c r="T85" t="s">
        <v>83</v>
      </c>
      <c r="U85">
        <v>3.89</v>
      </c>
      <c r="V85">
        <v>3.59</v>
      </c>
    </row>
    <row r="86" spans="1:22" x14ac:dyDescent="0.25">
      <c r="A86" s="2" t="s">
        <v>11</v>
      </c>
      <c r="B86" s="2" t="s">
        <v>64</v>
      </c>
      <c r="C86" t="s">
        <v>99</v>
      </c>
      <c r="D86" t="s">
        <v>26</v>
      </c>
      <c r="E86" t="s">
        <v>65</v>
      </c>
      <c r="F86" t="s">
        <v>66</v>
      </c>
      <c r="G86">
        <v>3.19</v>
      </c>
      <c r="H86">
        <v>2.99</v>
      </c>
      <c r="I86" s="2" t="str">
        <f>_xlfn.XLOOKUP(F86,DeparaIMG!B:B,DeparaIMG!D:D,,0)</f>
        <v>SKZERO269.png</v>
      </c>
      <c r="Q86" t="s">
        <v>29</v>
      </c>
      <c r="R86" t="s">
        <v>27</v>
      </c>
      <c r="S86" t="s">
        <v>65</v>
      </c>
      <c r="T86" t="s">
        <v>83</v>
      </c>
      <c r="U86">
        <v>3.89</v>
      </c>
      <c r="V86">
        <v>3.59</v>
      </c>
    </row>
    <row r="87" spans="1:22" x14ac:dyDescent="0.25">
      <c r="A87" s="2" t="s">
        <v>11</v>
      </c>
      <c r="B87" s="2" t="s">
        <v>64</v>
      </c>
      <c r="C87" t="s">
        <v>100</v>
      </c>
      <c r="D87" t="s">
        <v>27</v>
      </c>
      <c r="E87" t="s">
        <v>65</v>
      </c>
      <c r="F87" t="s">
        <v>66</v>
      </c>
      <c r="G87">
        <v>3.19</v>
      </c>
      <c r="H87">
        <v>2.99</v>
      </c>
      <c r="I87" s="2" t="str">
        <f>_xlfn.XLOOKUP(F87,DeparaIMG!B:B,DeparaIMG!D:D,,0)</f>
        <v>SKZERO269.png</v>
      </c>
      <c r="Q87" t="s">
        <v>30</v>
      </c>
      <c r="R87" t="s">
        <v>27</v>
      </c>
      <c r="S87" t="s">
        <v>65</v>
      </c>
      <c r="T87" t="s">
        <v>83</v>
      </c>
      <c r="U87">
        <v>3.89</v>
      </c>
      <c r="V87">
        <v>3.59</v>
      </c>
    </row>
    <row r="88" spans="1:22" x14ac:dyDescent="0.25">
      <c r="A88" s="2" t="s">
        <v>11</v>
      </c>
      <c r="B88" s="2" t="s">
        <v>64</v>
      </c>
      <c r="C88" t="s">
        <v>100</v>
      </c>
      <c r="D88" t="s">
        <v>26</v>
      </c>
      <c r="E88" t="s">
        <v>65</v>
      </c>
      <c r="F88" t="s">
        <v>66</v>
      </c>
      <c r="G88">
        <v>3.19</v>
      </c>
      <c r="H88">
        <v>2.99</v>
      </c>
      <c r="I88" s="2" t="str">
        <f>_xlfn.XLOOKUP(F88,DeparaIMG!B:B,DeparaIMG!D:D,,0)</f>
        <v>SKZERO269.png</v>
      </c>
      <c r="Q88" t="s">
        <v>99</v>
      </c>
      <c r="R88" t="s">
        <v>26</v>
      </c>
      <c r="S88" t="s">
        <v>65</v>
      </c>
      <c r="T88" t="s">
        <v>83</v>
      </c>
      <c r="U88">
        <v>3.89</v>
      </c>
      <c r="V88">
        <v>3.59</v>
      </c>
    </row>
    <row r="89" spans="1:22" x14ac:dyDescent="0.25">
      <c r="A89" s="2" t="s">
        <v>11</v>
      </c>
      <c r="B89" s="2" t="s">
        <v>64</v>
      </c>
      <c r="C89" t="s">
        <v>101</v>
      </c>
      <c r="D89" t="s">
        <v>27</v>
      </c>
      <c r="E89" t="s">
        <v>65</v>
      </c>
      <c r="F89" t="s">
        <v>66</v>
      </c>
      <c r="G89">
        <v>3.19</v>
      </c>
      <c r="H89">
        <v>3.09</v>
      </c>
      <c r="I89" s="2" t="str">
        <f>_xlfn.XLOOKUP(F89,DeparaIMG!B:B,DeparaIMG!D:D,,0)</f>
        <v>SKZERO269.png</v>
      </c>
      <c r="Q89" t="s">
        <v>99</v>
      </c>
      <c r="R89" t="s">
        <v>27</v>
      </c>
      <c r="S89" t="s">
        <v>65</v>
      </c>
      <c r="T89" t="s">
        <v>83</v>
      </c>
      <c r="U89">
        <v>3.89</v>
      </c>
      <c r="V89">
        <v>3.59</v>
      </c>
    </row>
    <row r="90" spans="1:22" x14ac:dyDescent="0.25">
      <c r="A90" s="2" t="s">
        <v>11</v>
      </c>
      <c r="B90" s="2" t="s">
        <v>64</v>
      </c>
      <c r="C90" t="s">
        <v>101</v>
      </c>
      <c r="D90" t="s">
        <v>26</v>
      </c>
      <c r="E90" t="s">
        <v>65</v>
      </c>
      <c r="F90" t="s">
        <v>66</v>
      </c>
      <c r="G90">
        <v>3.19</v>
      </c>
      <c r="H90">
        <v>3.09</v>
      </c>
      <c r="I90" s="2" t="str">
        <f>_xlfn.XLOOKUP(F90,DeparaIMG!B:B,DeparaIMG!D:D,,0)</f>
        <v>SKZERO269.png</v>
      </c>
      <c r="Q90" t="s">
        <v>4</v>
      </c>
      <c r="R90" t="s">
        <v>26</v>
      </c>
      <c r="S90" t="s">
        <v>65</v>
      </c>
      <c r="T90" t="s">
        <v>83</v>
      </c>
      <c r="U90">
        <v>3.89</v>
      </c>
      <c r="V90">
        <v>3.59</v>
      </c>
    </row>
    <row r="91" spans="1:22" x14ac:dyDescent="0.25">
      <c r="A91" s="2" t="s">
        <v>11</v>
      </c>
      <c r="B91" s="2" t="s">
        <v>64</v>
      </c>
      <c r="C91" t="s">
        <v>102</v>
      </c>
      <c r="D91" t="s">
        <v>27</v>
      </c>
      <c r="E91" t="s">
        <v>65</v>
      </c>
      <c r="F91" t="s">
        <v>66</v>
      </c>
      <c r="G91">
        <v>3.19</v>
      </c>
      <c r="H91">
        <v>2.99</v>
      </c>
      <c r="I91" s="2" t="str">
        <f>_xlfn.XLOOKUP(F91,DeparaIMG!B:B,DeparaIMG!D:D,,0)</f>
        <v>SKZERO269.png</v>
      </c>
      <c r="Q91" t="s">
        <v>4</v>
      </c>
      <c r="R91" t="s">
        <v>27</v>
      </c>
      <c r="S91" t="s">
        <v>65</v>
      </c>
      <c r="T91" t="s">
        <v>83</v>
      </c>
      <c r="U91">
        <v>3.89</v>
      </c>
      <c r="V91">
        <v>3.59</v>
      </c>
    </row>
    <row r="92" spans="1:22" x14ac:dyDescent="0.25">
      <c r="A92" s="2" t="s">
        <v>11</v>
      </c>
      <c r="B92" s="2" t="s">
        <v>64</v>
      </c>
      <c r="C92" t="s">
        <v>102</v>
      </c>
      <c r="D92" t="s">
        <v>26</v>
      </c>
      <c r="E92" t="s">
        <v>65</v>
      </c>
      <c r="F92" t="s">
        <v>66</v>
      </c>
      <c r="G92">
        <v>3.19</v>
      </c>
      <c r="H92">
        <v>2.99</v>
      </c>
      <c r="I92" s="2" t="str">
        <f>_xlfn.XLOOKUP(F92,DeparaIMG!B:B,DeparaIMG!D:D,,0)</f>
        <v>SKZERO269.png</v>
      </c>
      <c r="Q92" t="s">
        <v>29</v>
      </c>
      <c r="R92" t="s">
        <v>27</v>
      </c>
      <c r="S92" t="s">
        <v>65</v>
      </c>
      <c r="T92" t="s">
        <v>84</v>
      </c>
      <c r="U92">
        <v>3.99</v>
      </c>
      <c r="V92">
        <v>3.69</v>
      </c>
    </row>
    <row r="93" spans="1:22" x14ac:dyDescent="0.25">
      <c r="A93" s="2" t="s">
        <v>11</v>
      </c>
      <c r="B93" s="2" t="s">
        <v>64</v>
      </c>
      <c r="C93" t="s">
        <v>29</v>
      </c>
      <c r="D93" t="s">
        <v>27</v>
      </c>
      <c r="E93" t="s">
        <v>65</v>
      </c>
      <c r="F93" t="s">
        <v>66</v>
      </c>
      <c r="G93">
        <v>3.19</v>
      </c>
      <c r="H93">
        <v>2.99</v>
      </c>
      <c r="I93" s="2" t="str">
        <f>_xlfn.XLOOKUP(F93,DeparaIMG!B:B,DeparaIMG!D:D,,0)</f>
        <v>SKZERO269.png</v>
      </c>
      <c r="Q93" t="s">
        <v>30</v>
      </c>
      <c r="R93" t="s">
        <v>27</v>
      </c>
      <c r="S93" t="s">
        <v>65</v>
      </c>
      <c r="T93" t="s">
        <v>84</v>
      </c>
      <c r="U93">
        <v>3.99</v>
      </c>
      <c r="V93">
        <v>3.69</v>
      </c>
    </row>
    <row r="94" spans="1:22" x14ac:dyDescent="0.25">
      <c r="A94" s="2" t="s">
        <v>11</v>
      </c>
      <c r="B94" s="2" t="s">
        <v>64</v>
      </c>
      <c r="C94" t="s">
        <v>29</v>
      </c>
      <c r="D94" t="s">
        <v>26</v>
      </c>
      <c r="E94" t="s">
        <v>65</v>
      </c>
      <c r="F94" t="s">
        <v>66</v>
      </c>
      <c r="G94">
        <v>3.19</v>
      </c>
      <c r="H94">
        <v>2.99</v>
      </c>
      <c r="I94" s="2" t="str">
        <f>_xlfn.XLOOKUP(F94,DeparaIMG!B:B,DeparaIMG!D:D,,0)</f>
        <v>SKZERO269.png</v>
      </c>
      <c r="Q94" t="s">
        <v>29</v>
      </c>
      <c r="R94" t="s">
        <v>27</v>
      </c>
      <c r="S94" t="s">
        <v>74</v>
      </c>
      <c r="T94" t="s">
        <v>80</v>
      </c>
      <c r="U94">
        <v>3.99</v>
      </c>
      <c r="V94">
        <v>3.49</v>
      </c>
    </row>
    <row r="95" spans="1:22" x14ac:dyDescent="0.25">
      <c r="A95" s="2" t="s">
        <v>11</v>
      </c>
      <c r="B95" s="2" t="s">
        <v>64</v>
      </c>
      <c r="C95" t="s">
        <v>30</v>
      </c>
      <c r="D95" t="s">
        <v>27</v>
      </c>
      <c r="E95" t="s">
        <v>65</v>
      </c>
      <c r="F95" t="s">
        <v>66</v>
      </c>
      <c r="G95">
        <v>3.19</v>
      </c>
      <c r="H95">
        <v>2.99</v>
      </c>
      <c r="I95" s="2" t="str">
        <f>_xlfn.XLOOKUP(F95,DeparaIMG!B:B,DeparaIMG!D:D,,0)</f>
        <v>SKZERO269.png</v>
      </c>
      <c r="Q95" t="s">
        <v>29</v>
      </c>
      <c r="R95" t="s">
        <v>27</v>
      </c>
      <c r="S95" t="s">
        <v>65</v>
      </c>
      <c r="T95" t="s">
        <v>80</v>
      </c>
      <c r="U95">
        <v>3.99</v>
      </c>
      <c r="V95">
        <v>3.49</v>
      </c>
    </row>
    <row r="96" spans="1:22" x14ac:dyDescent="0.25">
      <c r="A96" s="2" t="s">
        <v>11</v>
      </c>
      <c r="B96" s="2" t="s">
        <v>64</v>
      </c>
      <c r="C96" t="s">
        <v>30</v>
      </c>
      <c r="D96" t="s">
        <v>26</v>
      </c>
      <c r="E96" t="s">
        <v>65</v>
      </c>
      <c r="F96" t="s">
        <v>66</v>
      </c>
      <c r="G96">
        <v>3.19</v>
      </c>
      <c r="H96">
        <v>2.99</v>
      </c>
      <c r="I96" s="2" t="str">
        <f>_xlfn.XLOOKUP(F96,DeparaIMG!B:B,DeparaIMG!D:D,,0)</f>
        <v>SKZERO269.png</v>
      </c>
      <c r="Q96" t="s">
        <v>99</v>
      </c>
      <c r="R96" t="s">
        <v>27</v>
      </c>
      <c r="S96" t="s">
        <v>74</v>
      </c>
      <c r="T96" t="s">
        <v>80</v>
      </c>
      <c r="U96">
        <v>3.99</v>
      </c>
      <c r="V96">
        <v>3.49</v>
      </c>
    </row>
    <row r="97" spans="1:22" x14ac:dyDescent="0.25">
      <c r="A97" s="2" t="s">
        <v>11</v>
      </c>
      <c r="B97" s="2" t="s">
        <v>64</v>
      </c>
      <c r="C97" t="s">
        <v>30</v>
      </c>
      <c r="D97" t="s">
        <v>26</v>
      </c>
      <c r="E97" t="s">
        <v>74</v>
      </c>
      <c r="F97" t="s">
        <v>77</v>
      </c>
      <c r="G97">
        <v>3.19</v>
      </c>
      <c r="H97">
        <v>2.99</v>
      </c>
      <c r="I97" s="2" t="str">
        <f>_xlfn.XLOOKUP(F97,DeparaIMG!B:B,DeparaIMG!D:D,,0)</f>
        <v>BC269.png</v>
      </c>
      <c r="Q97" t="s">
        <v>99</v>
      </c>
      <c r="R97" t="s">
        <v>27</v>
      </c>
      <c r="S97" t="s">
        <v>65</v>
      </c>
      <c r="T97" t="s">
        <v>80</v>
      </c>
      <c r="U97">
        <v>3.99</v>
      </c>
      <c r="V97">
        <v>3.49</v>
      </c>
    </row>
    <row r="98" spans="1:22" x14ac:dyDescent="0.25">
      <c r="A98" s="2" t="s">
        <v>11</v>
      </c>
      <c r="B98" s="2" t="s">
        <v>64</v>
      </c>
      <c r="C98" t="s">
        <v>29</v>
      </c>
      <c r="D98" t="s">
        <v>26</v>
      </c>
      <c r="E98" t="s">
        <v>74</v>
      </c>
      <c r="F98" t="s">
        <v>77</v>
      </c>
      <c r="G98">
        <v>3.19</v>
      </c>
      <c r="H98">
        <v>2.99</v>
      </c>
      <c r="I98" s="2" t="str">
        <f>_xlfn.XLOOKUP(F98,DeparaIMG!B:B,DeparaIMG!D:D,,0)</f>
        <v>BC269.png</v>
      </c>
      <c r="Q98" t="s">
        <v>30</v>
      </c>
      <c r="R98" t="s">
        <v>27</v>
      </c>
      <c r="S98" t="s">
        <v>74</v>
      </c>
      <c r="T98" t="s">
        <v>80</v>
      </c>
      <c r="U98">
        <v>3.99</v>
      </c>
      <c r="V98">
        <v>3.49</v>
      </c>
    </row>
    <row r="99" spans="1:22" x14ac:dyDescent="0.25">
      <c r="A99" s="2" t="s">
        <v>11</v>
      </c>
      <c r="B99" s="2" t="s">
        <v>64</v>
      </c>
      <c r="C99" t="s">
        <v>29</v>
      </c>
      <c r="D99" t="s">
        <v>27</v>
      </c>
      <c r="E99" t="s">
        <v>74</v>
      </c>
      <c r="F99" t="s">
        <v>77</v>
      </c>
      <c r="G99">
        <v>3.19</v>
      </c>
      <c r="H99">
        <v>2.99</v>
      </c>
      <c r="I99" s="2" t="str">
        <f>_xlfn.XLOOKUP(F99,DeparaIMG!B:B,DeparaIMG!D:D,,0)</f>
        <v>BC269.png</v>
      </c>
      <c r="Q99" t="s">
        <v>30</v>
      </c>
      <c r="R99" t="s">
        <v>27</v>
      </c>
      <c r="S99" t="s">
        <v>65</v>
      </c>
      <c r="T99" t="s">
        <v>80</v>
      </c>
      <c r="U99">
        <v>3.99</v>
      </c>
      <c r="V99">
        <v>3.49</v>
      </c>
    </row>
    <row r="100" spans="1:22" x14ac:dyDescent="0.25">
      <c r="A100" s="2" t="s">
        <v>11</v>
      </c>
      <c r="B100" s="2" t="s">
        <v>64</v>
      </c>
      <c r="C100" t="s">
        <v>99</v>
      </c>
      <c r="D100" t="s">
        <v>26</v>
      </c>
      <c r="E100" t="s">
        <v>74</v>
      </c>
      <c r="F100" t="s">
        <v>77</v>
      </c>
      <c r="G100">
        <v>3.19</v>
      </c>
      <c r="H100">
        <v>2.99</v>
      </c>
      <c r="I100" s="2" t="str">
        <f>_xlfn.XLOOKUP(F100,DeparaIMG!B:B,DeparaIMG!D:D,,0)</f>
        <v>BC269.png</v>
      </c>
      <c r="Q100" t="s">
        <v>100</v>
      </c>
      <c r="R100" t="s">
        <v>27</v>
      </c>
      <c r="S100" t="s">
        <v>74</v>
      </c>
      <c r="T100" t="s">
        <v>80</v>
      </c>
      <c r="U100">
        <v>3.99</v>
      </c>
      <c r="V100">
        <v>3.49</v>
      </c>
    </row>
    <row r="101" spans="1:22" x14ac:dyDescent="0.25">
      <c r="A101" s="2" t="s">
        <v>11</v>
      </c>
      <c r="B101" s="2" t="s">
        <v>64</v>
      </c>
      <c r="C101" t="s">
        <v>99</v>
      </c>
      <c r="D101" t="s">
        <v>27</v>
      </c>
      <c r="E101" t="s">
        <v>74</v>
      </c>
      <c r="F101" t="s">
        <v>77</v>
      </c>
      <c r="G101">
        <v>3.19</v>
      </c>
      <c r="H101">
        <v>2.99</v>
      </c>
      <c r="I101" s="2" t="str">
        <f>_xlfn.XLOOKUP(F101,DeparaIMG!B:B,DeparaIMG!D:D,,0)</f>
        <v>BC269.png</v>
      </c>
      <c r="Q101" t="s">
        <v>100</v>
      </c>
      <c r="R101" t="s">
        <v>27</v>
      </c>
      <c r="S101" t="s">
        <v>65</v>
      </c>
      <c r="T101" t="s">
        <v>80</v>
      </c>
      <c r="U101">
        <v>3.99</v>
      </c>
      <c r="V101">
        <v>3.49</v>
      </c>
    </row>
    <row r="102" spans="1:22" x14ac:dyDescent="0.25">
      <c r="A102" s="2" t="s">
        <v>11</v>
      </c>
      <c r="B102" s="2" t="s">
        <v>64</v>
      </c>
      <c r="C102" t="s">
        <v>4</v>
      </c>
      <c r="D102" t="s">
        <v>26</v>
      </c>
      <c r="E102" t="s">
        <v>74</v>
      </c>
      <c r="F102" t="s">
        <v>77</v>
      </c>
      <c r="G102">
        <v>3.19</v>
      </c>
      <c r="H102">
        <v>2.99</v>
      </c>
      <c r="I102" s="2" t="str">
        <f>_xlfn.XLOOKUP(F102,DeparaIMG!B:B,DeparaIMG!D:D,,0)</f>
        <v>BC269.png</v>
      </c>
      <c r="Q102" t="s">
        <v>4</v>
      </c>
      <c r="R102" t="s">
        <v>27</v>
      </c>
      <c r="S102" t="s">
        <v>74</v>
      </c>
      <c r="T102" t="s">
        <v>80</v>
      </c>
      <c r="U102">
        <v>3.99</v>
      </c>
      <c r="V102">
        <v>3.49</v>
      </c>
    </row>
    <row r="103" spans="1:22" x14ac:dyDescent="0.25">
      <c r="A103" s="2" t="s">
        <v>11</v>
      </c>
      <c r="B103" s="2" t="s">
        <v>64</v>
      </c>
      <c r="C103" t="s">
        <v>4</v>
      </c>
      <c r="D103" t="s">
        <v>26</v>
      </c>
      <c r="E103" t="s">
        <v>65</v>
      </c>
      <c r="F103" t="s">
        <v>72</v>
      </c>
      <c r="G103">
        <v>3.29</v>
      </c>
      <c r="H103">
        <v>3.09</v>
      </c>
      <c r="I103" s="2" t="str">
        <f>_xlfn.XLOOKUP(F103,DeparaIMG!B:B,DeparaIMG!D:D,,0)</f>
        <v>SK269.png</v>
      </c>
      <c r="Q103" t="s">
        <v>4</v>
      </c>
      <c r="R103" t="s">
        <v>27</v>
      </c>
      <c r="S103" t="s">
        <v>65</v>
      </c>
      <c r="T103" t="s">
        <v>80</v>
      </c>
      <c r="U103">
        <v>3.99</v>
      </c>
      <c r="V103">
        <v>3.49</v>
      </c>
    </row>
    <row r="104" spans="1:22" x14ac:dyDescent="0.25">
      <c r="A104" s="2" t="s">
        <v>11</v>
      </c>
      <c r="B104" s="2" t="s">
        <v>64</v>
      </c>
      <c r="C104" t="s">
        <v>4</v>
      </c>
      <c r="D104" t="s">
        <v>27</v>
      </c>
      <c r="E104" t="s">
        <v>65</v>
      </c>
      <c r="F104" t="s">
        <v>72</v>
      </c>
      <c r="G104">
        <v>3.29</v>
      </c>
      <c r="H104">
        <v>3.09</v>
      </c>
      <c r="I104" s="2" t="str">
        <f>_xlfn.XLOOKUP(F104,DeparaIMG!B:B,DeparaIMG!D:D,,0)</f>
        <v>SK269.png</v>
      </c>
      <c r="Q104" t="s">
        <v>102</v>
      </c>
      <c r="R104" t="s">
        <v>27</v>
      </c>
      <c r="S104" t="s">
        <v>74</v>
      </c>
      <c r="T104" t="s">
        <v>80</v>
      </c>
      <c r="U104">
        <v>3.99</v>
      </c>
      <c r="V104">
        <v>3.49</v>
      </c>
    </row>
    <row r="105" spans="1:22" x14ac:dyDescent="0.25">
      <c r="A105" s="2" t="s">
        <v>11</v>
      </c>
      <c r="B105" s="2" t="s">
        <v>64</v>
      </c>
      <c r="C105" t="s">
        <v>100</v>
      </c>
      <c r="D105" t="s">
        <v>27</v>
      </c>
      <c r="E105" t="s">
        <v>74</v>
      </c>
      <c r="F105" t="s">
        <v>78</v>
      </c>
      <c r="G105">
        <v>3.29</v>
      </c>
      <c r="H105">
        <v>2.89</v>
      </c>
      <c r="I105" s="2" t="e">
        <f>_xlfn.XLOOKUP(F105,DeparaIMG!B:B,DeparaIMG!D:D,,0)</f>
        <v>#N/A</v>
      </c>
      <c r="Q105" t="s">
        <v>102</v>
      </c>
      <c r="R105" t="s">
        <v>27</v>
      </c>
      <c r="S105" t="s">
        <v>65</v>
      </c>
      <c r="T105" t="s">
        <v>80</v>
      </c>
      <c r="U105">
        <v>3.99</v>
      </c>
      <c r="V105">
        <v>3.49</v>
      </c>
    </row>
    <row r="106" spans="1:22" x14ac:dyDescent="0.25">
      <c r="A106" s="2" t="s">
        <v>11</v>
      </c>
      <c r="B106" s="2" t="s">
        <v>64</v>
      </c>
      <c r="C106" t="s">
        <v>100</v>
      </c>
      <c r="D106" t="s">
        <v>26</v>
      </c>
      <c r="E106" t="s">
        <v>65</v>
      </c>
      <c r="F106" t="s">
        <v>72</v>
      </c>
      <c r="G106">
        <v>3.29</v>
      </c>
      <c r="H106">
        <v>3.09</v>
      </c>
      <c r="I106" s="2" t="str">
        <f>_xlfn.XLOOKUP(F106,DeparaIMG!B:B,DeparaIMG!D:D,,0)</f>
        <v>SK269.png</v>
      </c>
      <c r="Q106" t="s">
        <v>101</v>
      </c>
      <c r="R106" t="s">
        <v>27</v>
      </c>
      <c r="S106" t="s">
        <v>74</v>
      </c>
      <c r="T106" t="s">
        <v>80</v>
      </c>
      <c r="U106">
        <v>3.99</v>
      </c>
      <c r="V106">
        <v>3.49</v>
      </c>
    </row>
    <row r="107" spans="1:22" x14ac:dyDescent="0.25">
      <c r="A107" s="2" t="s">
        <v>11</v>
      </c>
      <c r="B107" s="2" t="s">
        <v>64</v>
      </c>
      <c r="C107" t="s">
        <v>101</v>
      </c>
      <c r="D107" t="s">
        <v>26</v>
      </c>
      <c r="E107" t="s">
        <v>65</v>
      </c>
      <c r="F107" t="s">
        <v>72</v>
      </c>
      <c r="G107">
        <v>3.29</v>
      </c>
      <c r="H107">
        <v>3.19</v>
      </c>
      <c r="I107" s="2" t="str">
        <f>_xlfn.XLOOKUP(F107,DeparaIMG!B:B,DeparaIMG!D:D,,0)</f>
        <v>SK269.png</v>
      </c>
      <c r="Q107" t="s">
        <v>101</v>
      </c>
      <c r="R107" t="s">
        <v>27</v>
      </c>
      <c r="S107" t="s">
        <v>65</v>
      </c>
      <c r="T107" t="s">
        <v>80</v>
      </c>
      <c r="U107">
        <v>3.99</v>
      </c>
      <c r="V107">
        <v>3.49</v>
      </c>
    </row>
    <row r="108" spans="1:22" x14ac:dyDescent="0.25">
      <c r="A108" s="2" t="s">
        <v>11</v>
      </c>
      <c r="B108" s="2" t="s">
        <v>64</v>
      </c>
      <c r="C108" t="s">
        <v>102</v>
      </c>
      <c r="D108" t="s">
        <v>26</v>
      </c>
      <c r="E108" t="s">
        <v>65</v>
      </c>
      <c r="F108" t="s">
        <v>76</v>
      </c>
      <c r="G108">
        <v>3.29</v>
      </c>
      <c r="H108">
        <v>3.19</v>
      </c>
      <c r="I108" s="2" t="str">
        <f>_xlfn.XLOOKUP(F108,DeparaIMG!B:B,DeparaIMG!D:D,,0)</f>
        <v>AP269.png</v>
      </c>
      <c r="Q108" t="s">
        <v>4</v>
      </c>
      <c r="R108" t="s">
        <v>26</v>
      </c>
      <c r="S108" t="s">
        <v>74</v>
      </c>
      <c r="T108" t="s">
        <v>85</v>
      </c>
      <c r="U108">
        <v>4.1900000000000004</v>
      </c>
      <c r="V108">
        <v>3.19</v>
      </c>
    </row>
    <row r="109" spans="1:22" x14ac:dyDescent="0.25">
      <c r="A109" s="2" t="s">
        <v>11</v>
      </c>
      <c r="B109" s="2" t="s">
        <v>64</v>
      </c>
      <c r="C109" t="s">
        <v>101</v>
      </c>
      <c r="D109" t="s">
        <v>26</v>
      </c>
      <c r="E109" t="s">
        <v>74</v>
      </c>
      <c r="F109" t="s">
        <v>77</v>
      </c>
      <c r="G109">
        <v>3.29</v>
      </c>
      <c r="H109">
        <v>2.99</v>
      </c>
      <c r="I109" s="2" t="str">
        <f>_xlfn.XLOOKUP(F109,DeparaIMG!B:B,DeparaIMG!D:D,,0)</f>
        <v>BC269.png</v>
      </c>
      <c r="Q109" t="s">
        <v>4</v>
      </c>
      <c r="R109" t="s">
        <v>27</v>
      </c>
      <c r="S109" t="s">
        <v>74</v>
      </c>
      <c r="T109" t="s">
        <v>85</v>
      </c>
      <c r="U109">
        <v>4.1900000000000004</v>
      </c>
      <c r="V109">
        <v>3.19</v>
      </c>
    </row>
    <row r="110" spans="1:22" x14ac:dyDescent="0.25">
      <c r="A110" s="2" t="s">
        <v>11</v>
      </c>
      <c r="B110" s="2" t="s">
        <v>64</v>
      </c>
      <c r="C110" t="s">
        <v>101</v>
      </c>
      <c r="D110" t="s">
        <v>27</v>
      </c>
      <c r="E110" t="s">
        <v>74</v>
      </c>
      <c r="F110" t="s">
        <v>77</v>
      </c>
      <c r="G110">
        <v>3.29</v>
      </c>
      <c r="H110">
        <v>2.99</v>
      </c>
      <c r="I110" s="2" t="str">
        <f>_xlfn.XLOOKUP(F110,DeparaIMG!B:B,DeparaIMG!D:D,,0)</f>
        <v>BC269.png</v>
      </c>
      <c r="Q110" t="s">
        <v>99</v>
      </c>
      <c r="R110" t="s">
        <v>27</v>
      </c>
      <c r="S110" t="s">
        <v>65</v>
      </c>
      <c r="T110" t="s">
        <v>67</v>
      </c>
      <c r="U110">
        <v>4.1900000000000004</v>
      </c>
      <c r="V110">
        <v>3.99</v>
      </c>
    </row>
    <row r="111" spans="1:22" x14ac:dyDescent="0.25">
      <c r="A111" s="2" t="s">
        <v>11</v>
      </c>
      <c r="B111" s="2" t="s">
        <v>64</v>
      </c>
      <c r="C111" t="s">
        <v>100</v>
      </c>
      <c r="D111" t="s">
        <v>26</v>
      </c>
      <c r="E111" t="s">
        <v>74</v>
      </c>
      <c r="F111" t="s">
        <v>77</v>
      </c>
      <c r="G111">
        <v>3.29</v>
      </c>
      <c r="H111">
        <v>2.99</v>
      </c>
      <c r="I111" s="2" t="str">
        <f>_xlfn.XLOOKUP(F111,DeparaIMG!B:B,DeparaIMG!D:D,,0)</f>
        <v>BC269.png</v>
      </c>
      <c r="Q111" t="s">
        <v>100</v>
      </c>
      <c r="R111" t="s">
        <v>27</v>
      </c>
      <c r="S111" t="s">
        <v>65</v>
      </c>
      <c r="T111" t="s">
        <v>67</v>
      </c>
      <c r="U111">
        <v>4.1900000000000004</v>
      </c>
      <c r="V111">
        <v>3.99</v>
      </c>
    </row>
    <row r="112" spans="1:22" x14ac:dyDescent="0.25">
      <c r="A112" s="2" t="s">
        <v>11</v>
      </c>
      <c r="B112" s="2" t="s">
        <v>64</v>
      </c>
      <c r="C112" t="s">
        <v>100</v>
      </c>
      <c r="D112" t="s">
        <v>27</v>
      </c>
      <c r="E112" t="s">
        <v>74</v>
      </c>
      <c r="F112" t="s">
        <v>77</v>
      </c>
      <c r="G112">
        <v>3.29</v>
      </c>
      <c r="H112">
        <v>2.99</v>
      </c>
      <c r="I112" s="2" t="str">
        <f>_xlfn.XLOOKUP(F112,DeparaIMG!B:B,DeparaIMG!D:D,,0)</f>
        <v>BC269.png</v>
      </c>
      <c r="Q112" t="s">
        <v>4</v>
      </c>
      <c r="R112" t="s">
        <v>27</v>
      </c>
      <c r="S112" t="s">
        <v>65</v>
      </c>
      <c r="T112" t="s">
        <v>67</v>
      </c>
      <c r="U112">
        <v>4.1900000000000004</v>
      </c>
      <c r="V112">
        <v>3.99</v>
      </c>
    </row>
    <row r="113" spans="1:22" x14ac:dyDescent="0.25">
      <c r="A113" s="2" t="s">
        <v>11</v>
      </c>
      <c r="B113" s="2" t="s">
        <v>64</v>
      </c>
      <c r="C113" t="s">
        <v>102</v>
      </c>
      <c r="D113" t="s">
        <v>26</v>
      </c>
      <c r="E113" t="s">
        <v>74</v>
      </c>
      <c r="F113" t="s">
        <v>77</v>
      </c>
      <c r="G113">
        <v>3.29</v>
      </c>
      <c r="H113">
        <v>2.99</v>
      </c>
      <c r="I113" s="2" t="str">
        <f>_xlfn.XLOOKUP(F113,DeparaIMG!B:B,DeparaIMG!D:D,,0)</f>
        <v>BC269.png</v>
      </c>
      <c r="Q113" t="s">
        <v>101</v>
      </c>
      <c r="R113" t="s">
        <v>27</v>
      </c>
      <c r="S113" t="s">
        <v>65</v>
      </c>
      <c r="T113" t="s">
        <v>67</v>
      </c>
      <c r="U113">
        <v>4.1900000000000004</v>
      </c>
      <c r="V113">
        <v>4.09</v>
      </c>
    </row>
    <row r="114" spans="1:22" x14ac:dyDescent="0.25">
      <c r="A114" s="2" t="s">
        <v>11</v>
      </c>
      <c r="B114" s="2" t="s">
        <v>64</v>
      </c>
      <c r="C114" t="s">
        <v>102</v>
      </c>
      <c r="D114" t="s">
        <v>27</v>
      </c>
      <c r="E114" t="s">
        <v>65</v>
      </c>
      <c r="F114" t="s">
        <v>76</v>
      </c>
      <c r="G114">
        <v>3.29</v>
      </c>
      <c r="H114">
        <v>3.19</v>
      </c>
      <c r="I114" s="2" t="str">
        <f>_xlfn.XLOOKUP(F114,DeparaIMG!B:B,DeparaIMG!D:D,,0)</f>
        <v>AP269.png</v>
      </c>
      <c r="Q114" t="s">
        <v>102</v>
      </c>
      <c r="R114" t="s">
        <v>27</v>
      </c>
      <c r="S114" t="s">
        <v>65</v>
      </c>
      <c r="T114" t="s">
        <v>67</v>
      </c>
      <c r="U114">
        <v>4.1900000000000004</v>
      </c>
      <c r="V114">
        <v>3.99</v>
      </c>
    </row>
    <row r="115" spans="1:22" x14ac:dyDescent="0.25">
      <c r="A115" s="2" t="s">
        <v>11</v>
      </c>
      <c r="B115" s="2" t="s">
        <v>64</v>
      </c>
      <c r="C115" t="s">
        <v>102</v>
      </c>
      <c r="D115" t="s">
        <v>27</v>
      </c>
      <c r="E115" t="s">
        <v>74</v>
      </c>
      <c r="F115" t="s">
        <v>77</v>
      </c>
      <c r="G115">
        <v>3.29</v>
      </c>
      <c r="H115">
        <v>2.99</v>
      </c>
      <c r="I115" s="2" t="str">
        <f>_xlfn.XLOOKUP(F115,DeparaIMG!B:B,DeparaIMG!D:D,,0)</f>
        <v>BC269.png</v>
      </c>
      <c r="Q115" t="s">
        <v>29</v>
      </c>
      <c r="R115" t="s">
        <v>27</v>
      </c>
      <c r="S115" t="s">
        <v>65</v>
      </c>
      <c r="T115" t="s">
        <v>67</v>
      </c>
      <c r="U115">
        <v>4.1900000000000004</v>
      </c>
      <c r="V115">
        <v>3.99</v>
      </c>
    </row>
    <row r="116" spans="1:22" x14ac:dyDescent="0.25">
      <c r="A116" s="2" t="s">
        <v>11</v>
      </c>
      <c r="B116" s="2" t="s">
        <v>64</v>
      </c>
      <c r="C116" t="s">
        <v>100</v>
      </c>
      <c r="D116" t="s">
        <v>27</v>
      </c>
      <c r="E116" t="s">
        <v>65</v>
      </c>
      <c r="F116" t="s">
        <v>72</v>
      </c>
      <c r="G116">
        <v>3.29</v>
      </c>
      <c r="H116">
        <v>3.09</v>
      </c>
      <c r="I116" s="2" t="str">
        <f>_xlfn.XLOOKUP(F116,DeparaIMG!B:B,DeparaIMG!D:D,,0)</f>
        <v>SK269.png</v>
      </c>
      <c r="Q116" t="s">
        <v>30</v>
      </c>
      <c r="R116" t="s">
        <v>27</v>
      </c>
      <c r="S116" t="s">
        <v>65</v>
      </c>
      <c r="T116" t="s">
        <v>67</v>
      </c>
      <c r="U116">
        <v>4.1900000000000004</v>
      </c>
      <c r="V116">
        <v>3.99</v>
      </c>
    </row>
    <row r="117" spans="1:22" x14ac:dyDescent="0.25">
      <c r="A117" s="2" t="s">
        <v>11</v>
      </c>
      <c r="B117" s="2" t="s">
        <v>64</v>
      </c>
      <c r="C117" t="s">
        <v>101</v>
      </c>
      <c r="D117" t="s">
        <v>27</v>
      </c>
      <c r="E117" t="s">
        <v>65</v>
      </c>
      <c r="F117" t="s">
        <v>72</v>
      </c>
      <c r="G117">
        <v>3.29</v>
      </c>
      <c r="H117">
        <v>3.19</v>
      </c>
      <c r="I117" s="2" t="str">
        <f>_xlfn.XLOOKUP(F117,DeparaIMG!B:B,DeparaIMG!D:D,,0)</f>
        <v>SK269.png</v>
      </c>
      <c r="Q117" t="s">
        <v>99</v>
      </c>
      <c r="R117" t="s">
        <v>27</v>
      </c>
      <c r="S117" t="s">
        <v>65</v>
      </c>
      <c r="T117" t="s">
        <v>86</v>
      </c>
      <c r="U117">
        <v>4.29</v>
      </c>
      <c r="V117">
        <v>3.69</v>
      </c>
    </row>
    <row r="118" spans="1:22" x14ac:dyDescent="0.25">
      <c r="A118" s="2" t="s">
        <v>11</v>
      </c>
      <c r="B118" s="2" t="s">
        <v>64</v>
      </c>
      <c r="C118" t="s">
        <v>4</v>
      </c>
      <c r="D118" t="s">
        <v>26</v>
      </c>
      <c r="E118" t="s">
        <v>74</v>
      </c>
      <c r="F118" t="s">
        <v>79</v>
      </c>
      <c r="G118">
        <v>3.39</v>
      </c>
      <c r="H118">
        <v>2.99</v>
      </c>
      <c r="I118" s="2" t="str">
        <f>_xlfn.XLOOKUP(F118,DeparaIMG!B:B,DeparaIMG!D:D,,0)</f>
        <v>BUD269.png</v>
      </c>
      <c r="Q118" t="s">
        <v>99</v>
      </c>
      <c r="R118" t="s">
        <v>26</v>
      </c>
      <c r="S118" t="s">
        <v>65</v>
      </c>
      <c r="T118" t="s">
        <v>86</v>
      </c>
      <c r="U118">
        <v>3.49</v>
      </c>
      <c r="V118">
        <v>3.49</v>
      </c>
    </row>
    <row r="119" spans="1:22" x14ac:dyDescent="0.25">
      <c r="A119" s="2" t="s">
        <v>11</v>
      </c>
      <c r="B119" s="2" t="s">
        <v>64</v>
      </c>
      <c r="C119" t="s">
        <v>100</v>
      </c>
      <c r="D119" t="s">
        <v>26</v>
      </c>
      <c r="E119" t="s">
        <v>74</v>
      </c>
      <c r="F119" t="s">
        <v>79</v>
      </c>
      <c r="G119">
        <v>2.99</v>
      </c>
      <c r="H119">
        <v>2.99</v>
      </c>
      <c r="I119" s="2" t="str">
        <f>_xlfn.XLOOKUP(F119,DeparaIMG!B:B,DeparaIMG!D:D,,0)</f>
        <v>BUD269.png</v>
      </c>
      <c r="Q119" t="s">
        <v>100</v>
      </c>
      <c r="R119" t="s">
        <v>26</v>
      </c>
      <c r="S119" t="s">
        <v>65</v>
      </c>
      <c r="T119" t="s">
        <v>86</v>
      </c>
      <c r="U119">
        <v>3.49</v>
      </c>
      <c r="V119">
        <v>3.49</v>
      </c>
    </row>
    <row r="120" spans="1:22" x14ac:dyDescent="0.25">
      <c r="A120" s="2" t="s">
        <v>11</v>
      </c>
      <c r="B120" s="2" t="s">
        <v>64</v>
      </c>
      <c r="C120" t="s">
        <v>100</v>
      </c>
      <c r="D120" t="s">
        <v>27</v>
      </c>
      <c r="E120" t="s">
        <v>74</v>
      </c>
      <c r="F120" t="s">
        <v>79</v>
      </c>
      <c r="G120">
        <v>3.49</v>
      </c>
      <c r="H120">
        <v>3.09</v>
      </c>
      <c r="I120" s="2" t="str">
        <f>_xlfn.XLOOKUP(F120,DeparaIMG!B:B,DeparaIMG!D:D,,0)</f>
        <v>BUD269.png</v>
      </c>
      <c r="Q120" t="s">
        <v>102</v>
      </c>
      <c r="R120" t="s">
        <v>26</v>
      </c>
      <c r="S120" t="s">
        <v>65</v>
      </c>
      <c r="T120" t="s">
        <v>86</v>
      </c>
      <c r="U120">
        <v>3.49</v>
      </c>
      <c r="V120">
        <v>3.49</v>
      </c>
    </row>
    <row r="121" spans="1:22" x14ac:dyDescent="0.25">
      <c r="A121" s="2" t="s">
        <v>11</v>
      </c>
      <c r="B121" s="2" t="s">
        <v>64</v>
      </c>
      <c r="C121" t="s">
        <v>101</v>
      </c>
      <c r="D121" t="s">
        <v>26</v>
      </c>
      <c r="E121" t="s">
        <v>74</v>
      </c>
      <c r="F121" t="s">
        <v>79</v>
      </c>
      <c r="G121">
        <v>3.49</v>
      </c>
      <c r="H121">
        <v>3.09</v>
      </c>
      <c r="I121" s="2" t="str">
        <f>_xlfn.XLOOKUP(F121,DeparaIMG!B:B,DeparaIMG!D:D,,0)</f>
        <v>BUD269.png</v>
      </c>
      <c r="Q121" t="s">
        <v>101</v>
      </c>
      <c r="R121" t="s">
        <v>26</v>
      </c>
      <c r="S121" t="s">
        <v>65</v>
      </c>
      <c r="T121" t="s">
        <v>86</v>
      </c>
      <c r="U121">
        <v>3.49</v>
      </c>
      <c r="V121">
        <v>3.49</v>
      </c>
    </row>
    <row r="122" spans="1:22" x14ac:dyDescent="0.25">
      <c r="A122" s="2" t="s">
        <v>11</v>
      </c>
      <c r="B122" s="2" t="s">
        <v>64</v>
      </c>
      <c r="C122" t="s">
        <v>101</v>
      </c>
      <c r="D122" t="s">
        <v>27</v>
      </c>
      <c r="E122" t="s">
        <v>74</v>
      </c>
      <c r="F122" t="s">
        <v>79</v>
      </c>
      <c r="G122">
        <v>3.49</v>
      </c>
      <c r="H122">
        <v>3.09</v>
      </c>
      <c r="I122" s="2" t="str">
        <f>_xlfn.XLOOKUP(F122,DeparaIMG!B:B,DeparaIMG!D:D,,0)</f>
        <v>BUD269.png</v>
      </c>
      <c r="Q122" t="s">
        <v>100</v>
      </c>
      <c r="R122" t="s">
        <v>27</v>
      </c>
      <c r="S122" t="s">
        <v>65</v>
      </c>
      <c r="T122" t="s">
        <v>86</v>
      </c>
      <c r="U122">
        <v>4.29</v>
      </c>
      <c r="V122">
        <v>3.69</v>
      </c>
    </row>
    <row r="123" spans="1:22" x14ac:dyDescent="0.25">
      <c r="A123" s="2" t="s">
        <v>11</v>
      </c>
      <c r="B123" s="2" t="s">
        <v>64</v>
      </c>
      <c r="C123" t="s">
        <v>102</v>
      </c>
      <c r="D123" t="s">
        <v>27</v>
      </c>
      <c r="E123" t="s">
        <v>74</v>
      </c>
      <c r="F123" t="s">
        <v>79</v>
      </c>
      <c r="G123">
        <v>3.49</v>
      </c>
      <c r="H123">
        <v>3.09</v>
      </c>
      <c r="I123" s="2" t="str">
        <f>_xlfn.XLOOKUP(F123,DeparaIMG!B:B,DeparaIMG!D:D,,0)</f>
        <v>BUD269.png</v>
      </c>
      <c r="Q123" t="s">
        <v>102</v>
      </c>
      <c r="R123" t="s">
        <v>27</v>
      </c>
      <c r="S123" t="s">
        <v>65</v>
      </c>
      <c r="T123" t="s">
        <v>86</v>
      </c>
      <c r="U123">
        <v>4.29</v>
      </c>
      <c r="V123">
        <v>3.69</v>
      </c>
    </row>
    <row r="124" spans="1:22" x14ac:dyDescent="0.25">
      <c r="A124" s="2" t="s">
        <v>11</v>
      </c>
      <c r="B124" s="2" t="s">
        <v>64</v>
      </c>
      <c r="C124" t="s">
        <v>102</v>
      </c>
      <c r="D124" t="s">
        <v>26</v>
      </c>
      <c r="E124" t="s">
        <v>74</v>
      </c>
      <c r="F124" t="s">
        <v>79</v>
      </c>
      <c r="G124">
        <v>3.49</v>
      </c>
      <c r="H124">
        <v>3.09</v>
      </c>
      <c r="I124" s="2" t="str">
        <f>_xlfn.XLOOKUP(F124,DeparaIMG!B:B,DeparaIMG!D:D,,0)</f>
        <v>BUD269.png</v>
      </c>
      <c r="Q124" t="s">
        <v>101</v>
      </c>
      <c r="R124" t="s">
        <v>27</v>
      </c>
      <c r="S124" t="s">
        <v>65</v>
      </c>
      <c r="T124" t="s">
        <v>86</v>
      </c>
      <c r="U124">
        <v>4.29</v>
      </c>
      <c r="V124">
        <v>3.69</v>
      </c>
    </row>
    <row r="125" spans="1:22" x14ac:dyDescent="0.25">
      <c r="A125" s="2" t="s">
        <v>11</v>
      </c>
      <c r="B125" s="2" t="s">
        <v>64</v>
      </c>
      <c r="C125" t="s">
        <v>29</v>
      </c>
      <c r="D125" t="s">
        <v>26</v>
      </c>
      <c r="E125" t="s">
        <v>74</v>
      </c>
      <c r="F125" t="s">
        <v>79</v>
      </c>
      <c r="G125">
        <v>3.49</v>
      </c>
      <c r="H125">
        <v>3.09</v>
      </c>
      <c r="I125" s="2" t="str">
        <f>_xlfn.XLOOKUP(F125,DeparaIMG!B:B,DeparaIMG!D:D,,0)</f>
        <v>BUD269.png</v>
      </c>
      <c r="Q125" t="s">
        <v>4</v>
      </c>
      <c r="R125" t="s">
        <v>27</v>
      </c>
      <c r="S125" t="s">
        <v>74</v>
      </c>
      <c r="T125" t="s">
        <v>87</v>
      </c>
      <c r="U125">
        <v>4.29</v>
      </c>
      <c r="V125">
        <v>3.69</v>
      </c>
    </row>
    <row r="126" spans="1:22" x14ac:dyDescent="0.25">
      <c r="A126" s="2" t="s">
        <v>11</v>
      </c>
      <c r="B126" s="2" t="s">
        <v>64</v>
      </c>
      <c r="C126" t="s">
        <v>30</v>
      </c>
      <c r="D126" t="s">
        <v>26</v>
      </c>
      <c r="E126" t="s">
        <v>74</v>
      </c>
      <c r="F126" t="s">
        <v>79</v>
      </c>
      <c r="G126">
        <v>3.49</v>
      </c>
      <c r="H126">
        <v>3.09</v>
      </c>
      <c r="I126" s="2" t="str">
        <f>_xlfn.XLOOKUP(F126,DeparaIMG!B:B,DeparaIMG!D:D,,0)</f>
        <v>BUD269.png</v>
      </c>
      <c r="Q126" t="s">
        <v>29</v>
      </c>
      <c r="R126" t="s">
        <v>26</v>
      </c>
      <c r="S126" t="s">
        <v>74</v>
      </c>
      <c r="T126" t="s">
        <v>85</v>
      </c>
      <c r="U126">
        <v>4.49</v>
      </c>
      <c r="V126">
        <v>3.49</v>
      </c>
    </row>
    <row r="127" spans="1:22" x14ac:dyDescent="0.25">
      <c r="A127" s="2" t="s">
        <v>11</v>
      </c>
      <c r="B127" s="2" t="s">
        <v>64</v>
      </c>
      <c r="C127" t="s">
        <v>99</v>
      </c>
      <c r="D127" t="s">
        <v>26</v>
      </c>
      <c r="E127" t="s">
        <v>74</v>
      </c>
      <c r="F127" t="s">
        <v>79</v>
      </c>
      <c r="G127">
        <v>3.09</v>
      </c>
      <c r="H127">
        <v>3.09</v>
      </c>
      <c r="I127" s="2" t="str">
        <f>_xlfn.XLOOKUP(F127,DeparaIMG!B:B,DeparaIMG!D:D,,0)</f>
        <v>BUD269.png</v>
      </c>
      <c r="Q127" t="s">
        <v>29</v>
      </c>
      <c r="R127" t="s">
        <v>27</v>
      </c>
      <c r="S127" t="s">
        <v>74</v>
      </c>
      <c r="T127" t="s">
        <v>87</v>
      </c>
      <c r="U127">
        <v>4.49</v>
      </c>
      <c r="V127">
        <v>3.89</v>
      </c>
    </row>
    <row r="128" spans="1:22" x14ac:dyDescent="0.25">
      <c r="A128" s="2" t="s">
        <v>11</v>
      </c>
      <c r="B128" s="2" t="s">
        <v>64</v>
      </c>
      <c r="C128" t="s">
        <v>99</v>
      </c>
      <c r="D128" t="s">
        <v>27</v>
      </c>
      <c r="E128" t="s">
        <v>74</v>
      </c>
      <c r="F128" t="s">
        <v>79</v>
      </c>
      <c r="G128">
        <v>3.49</v>
      </c>
      <c r="H128">
        <v>3.09</v>
      </c>
      <c r="I128" s="2" t="str">
        <f>_xlfn.XLOOKUP(F128,DeparaIMG!B:B,DeparaIMG!D:D,,0)</f>
        <v>BUD269.png</v>
      </c>
      <c r="Q128" t="s">
        <v>29</v>
      </c>
      <c r="R128" t="s">
        <v>27</v>
      </c>
      <c r="S128" t="s">
        <v>74</v>
      </c>
      <c r="T128" t="s">
        <v>85</v>
      </c>
      <c r="U128">
        <v>4.49</v>
      </c>
      <c r="V128">
        <v>3.49</v>
      </c>
    </row>
    <row r="129" spans="1:22" x14ac:dyDescent="0.25">
      <c r="A129" s="2" t="s">
        <v>11</v>
      </c>
      <c r="B129" s="2" t="s">
        <v>64</v>
      </c>
      <c r="C129" t="s">
        <v>29</v>
      </c>
      <c r="D129" t="s">
        <v>26</v>
      </c>
      <c r="E129" t="s">
        <v>74</v>
      </c>
      <c r="F129" t="s">
        <v>80</v>
      </c>
      <c r="G129">
        <v>3.69</v>
      </c>
      <c r="H129">
        <v>3.19</v>
      </c>
      <c r="I129" s="2" t="str">
        <f>_xlfn.XLOOKUP(F129,DeparaIMG!B:B,DeparaIMG!D:D,,0)</f>
        <v>BC0350.png</v>
      </c>
      <c r="Q129" t="s">
        <v>30</v>
      </c>
      <c r="R129" t="s">
        <v>26</v>
      </c>
      <c r="S129" t="s">
        <v>74</v>
      </c>
      <c r="T129" t="s">
        <v>85</v>
      </c>
      <c r="U129">
        <v>4.49</v>
      </c>
      <c r="V129">
        <v>3.49</v>
      </c>
    </row>
    <row r="130" spans="1:22" x14ac:dyDescent="0.25">
      <c r="A130" s="2" t="s">
        <v>11</v>
      </c>
      <c r="B130" s="2" t="s">
        <v>64</v>
      </c>
      <c r="C130" t="s">
        <v>29</v>
      </c>
      <c r="D130" t="s">
        <v>26</v>
      </c>
      <c r="E130" t="s">
        <v>65</v>
      </c>
      <c r="F130" t="s">
        <v>80</v>
      </c>
      <c r="G130">
        <v>3.69</v>
      </c>
      <c r="H130">
        <v>3.19</v>
      </c>
      <c r="I130" s="2" t="str">
        <f>_xlfn.XLOOKUP(F130,DeparaIMG!B:B,DeparaIMG!D:D,,0)</f>
        <v>BC0350.png</v>
      </c>
      <c r="Q130" t="s">
        <v>30</v>
      </c>
      <c r="R130" t="s">
        <v>27</v>
      </c>
      <c r="S130" t="s">
        <v>74</v>
      </c>
      <c r="T130" t="s">
        <v>87</v>
      </c>
      <c r="U130">
        <v>4.49</v>
      </c>
      <c r="V130">
        <v>3.89</v>
      </c>
    </row>
    <row r="131" spans="1:22" x14ac:dyDescent="0.25">
      <c r="A131" s="2" t="s">
        <v>11</v>
      </c>
      <c r="B131" s="2" t="s">
        <v>64</v>
      </c>
      <c r="C131" t="s">
        <v>30</v>
      </c>
      <c r="D131" t="s">
        <v>26</v>
      </c>
      <c r="E131" t="s">
        <v>74</v>
      </c>
      <c r="F131" t="s">
        <v>80</v>
      </c>
      <c r="G131">
        <v>3.69</v>
      </c>
      <c r="H131">
        <v>3.19</v>
      </c>
      <c r="I131" s="2" t="str">
        <f>_xlfn.XLOOKUP(F131,DeparaIMG!B:B,DeparaIMG!D:D,,0)</f>
        <v>BC0350.png</v>
      </c>
      <c r="Q131" t="s">
        <v>30</v>
      </c>
      <c r="R131" t="s">
        <v>27</v>
      </c>
      <c r="S131" t="s">
        <v>74</v>
      </c>
      <c r="T131" t="s">
        <v>85</v>
      </c>
      <c r="U131">
        <v>4.49</v>
      </c>
      <c r="V131">
        <v>3.49</v>
      </c>
    </row>
    <row r="132" spans="1:22" x14ac:dyDescent="0.25">
      <c r="A132" s="2" t="s">
        <v>11</v>
      </c>
      <c r="B132" s="2" t="s">
        <v>64</v>
      </c>
      <c r="C132" t="s">
        <v>30</v>
      </c>
      <c r="D132" t="s">
        <v>26</v>
      </c>
      <c r="E132" t="s">
        <v>65</v>
      </c>
      <c r="F132" t="s">
        <v>80</v>
      </c>
      <c r="G132">
        <v>3.69</v>
      </c>
      <c r="H132">
        <v>3.19</v>
      </c>
      <c r="I132" s="2" t="str">
        <f>_xlfn.XLOOKUP(F132,DeparaIMG!B:B,DeparaIMG!D:D,,0)</f>
        <v>BC0350.png</v>
      </c>
      <c r="Q132" t="s">
        <v>99</v>
      </c>
      <c r="R132" t="s">
        <v>26</v>
      </c>
      <c r="S132" t="s">
        <v>74</v>
      </c>
      <c r="T132" t="s">
        <v>85</v>
      </c>
      <c r="U132">
        <v>4.49</v>
      </c>
      <c r="V132">
        <v>3.49</v>
      </c>
    </row>
    <row r="133" spans="1:22" x14ac:dyDescent="0.25">
      <c r="A133" s="2" t="s">
        <v>11</v>
      </c>
      <c r="B133" s="2" t="s">
        <v>64</v>
      </c>
      <c r="C133" t="s">
        <v>100</v>
      </c>
      <c r="D133" t="s">
        <v>26</v>
      </c>
      <c r="E133" t="s">
        <v>74</v>
      </c>
      <c r="F133" t="s">
        <v>80</v>
      </c>
      <c r="G133">
        <v>3.69</v>
      </c>
      <c r="H133">
        <v>3.19</v>
      </c>
      <c r="I133" s="2" t="str">
        <f>_xlfn.XLOOKUP(F133,DeparaIMG!B:B,DeparaIMG!D:D,,0)</f>
        <v>BC0350.png</v>
      </c>
      <c r="Q133" t="s">
        <v>99</v>
      </c>
      <c r="R133" t="s">
        <v>27</v>
      </c>
      <c r="S133" t="s">
        <v>74</v>
      </c>
      <c r="T133" t="s">
        <v>85</v>
      </c>
      <c r="U133">
        <v>4.49</v>
      </c>
      <c r="V133">
        <v>3.49</v>
      </c>
    </row>
    <row r="134" spans="1:22" x14ac:dyDescent="0.25">
      <c r="A134" s="2" t="s">
        <v>11</v>
      </c>
      <c r="B134" s="2" t="s">
        <v>64</v>
      </c>
      <c r="C134" t="s">
        <v>100</v>
      </c>
      <c r="D134" t="s">
        <v>26</v>
      </c>
      <c r="E134" t="s">
        <v>65</v>
      </c>
      <c r="F134" t="s">
        <v>80</v>
      </c>
      <c r="G134">
        <v>3.69</v>
      </c>
      <c r="H134">
        <v>3.19</v>
      </c>
      <c r="I134" s="2" t="str">
        <f>_xlfn.XLOOKUP(F134,DeparaIMG!B:B,DeparaIMG!D:D,,0)</f>
        <v>BC0350.png</v>
      </c>
      <c r="Q134" t="s">
        <v>100</v>
      </c>
      <c r="R134" t="s">
        <v>26</v>
      </c>
      <c r="S134" t="s">
        <v>74</v>
      </c>
      <c r="T134" t="s">
        <v>85</v>
      </c>
      <c r="U134">
        <v>4.49</v>
      </c>
      <c r="V134">
        <v>3.49</v>
      </c>
    </row>
    <row r="135" spans="1:22" x14ac:dyDescent="0.25">
      <c r="A135" s="2" t="s">
        <v>11</v>
      </c>
      <c r="B135" s="2" t="s">
        <v>64</v>
      </c>
      <c r="C135" t="s">
        <v>4</v>
      </c>
      <c r="D135" t="s">
        <v>26</v>
      </c>
      <c r="E135" t="s">
        <v>74</v>
      </c>
      <c r="F135" t="s">
        <v>80</v>
      </c>
      <c r="G135">
        <v>3.69</v>
      </c>
      <c r="H135">
        <v>3.19</v>
      </c>
      <c r="I135" s="2" t="str">
        <f>_xlfn.XLOOKUP(F135,DeparaIMG!B:B,DeparaIMG!D:D,,0)</f>
        <v>BC0350.png</v>
      </c>
      <c r="Q135" t="s">
        <v>100</v>
      </c>
      <c r="R135" t="s">
        <v>27</v>
      </c>
      <c r="S135" t="s">
        <v>74</v>
      </c>
      <c r="T135" t="s">
        <v>85</v>
      </c>
      <c r="U135">
        <v>4.49</v>
      </c>
      <c r="V135">
        <v>3.49</v>
      </c>
    </row>
    <row r="136" spans="1:22" x14ac:dyDescent="0.25">
      <c r="A136" s="2" t="s">
        <v>11</v>
      </c>
      <c r="B136" s="2" t="s">
        <v>64</v>
      </c>
      <c r="C136" t="s">
        <v>4</v>
      </c>
      <c r="D136" t="s">
        <v>26</v>
      </c>
      <c r="E136" t="s">
        <v>65</v>
      </c>
      <c r="F136" t="s">
        <v>80</v>
      </c>
      <c r="G136">
        <v>3.69</v>
      </c>
      <c r="H136">
        <v>3.19</v>
      </c>
      <c r="I136" s="2" t="str">
        <f>_xlfn.XLOOKUP(F136,DeparaIMG!B:B,DeparaIMG!D:D,,0)</f>
        <v>BC0350.png</v>
      </c>
      <c r="Q136" t="s">
        <v>101</v>
      </c>
      <c r="R136" t="s">
        <v>27</v>
      </c>
      <c r="S136" t="s">
        <v>74</v>
      </c>
      <c r="T136" t="s">
        <v>85</v>
      </c>
      <c r="U136">
        <v>4.49</v>
      </c>
      <c r="V136">
        <v>3.49</v>
      </c>
    </row>
    <row r="137" spans="1:22" x14ac:dyDescent="0.25">
      <c r="A137" s="2" t="s">
        <v>11</v>
      </c>
      <c r="B137" s="2" t="s">
        <v>64</v>
      </c>
      <c r="C137" t="s">
        <v>101</v>
      </c>
      <c r="D137" t="s">
        <v>26</v>
      </c>
      <c r="E137" t="s">
        <v>74</v>
      </c>
      <c r="F137" t="s">
        <v>80</v>
      </c>
      <c r="G137">
        <v>3.69</v>
      </c>
      <c r="H137">
        <v>3.19</v>
      </c>
      <c r="I137" s="2" t="str">
        <f>_xlfn.XLOOKUP(F137,DeparaIMG!B:B,DeparaIMG!D:D,,0)</f>
        <v>BC0350.png</v>
      </c>
      <c r="Q137" t="s">
        <v>101</v>
      </c>
      <c r="R137" t="s">
        <v>26</v>
      </c>
      <c r="S137" t="s">
        <v>74</v>
      </c>
      <c r="T137" t="s">
        <v>85</v>
      </c>
      <c r="U137">
        <v>4.49</v>
      </c>
      <c r="V137">
        <v>3.49</v>
      </c>
    </row>
    <row r="138" spans="1:22" x14ac:dyDescent="0.25">
      <c r="A138" s="2" t="s">
        <v>11</v>
      </c>
      <c r="B138" s="2" t="s">
        <v>64</v>
      </c>
      <c r="C138" t="s">
        <v>101</v>
      </c>
      <c r="D138" t="s">
        <v>26</v>
      </c>
      <c r="E138" t="s">
        <v>65</v>
      </c>
      <c r="F138" t="s">
        <v>80</v>
      </c>
      <c r="G138">
        <v>3.69</v>
      </c>
      <c r="H138">
        <v>3.19</v>
      </c>
      <c r="I138" s="2" t="str">
        <f>_xlfn.XLOOKUP(F138,DeparaIMG!B:B,DeparaIMG!D:D,,0)</f>
        <v>BC0350.png</v>
      </c>
      <c r="Q138" t="s">
        <v>102</v>
      </c>
      <c r="R138" t="s">
        <v>26</v>
      </c>
      <c r="S138" t="s">
        <v>74</v>
      </c>
      <c r="T138" t="s">
        <v>85</v>
      </c>
      <c r="U138">
        <v>4.49</v>
      </c>
      <c r="V138">
        <v>3.49</v>
      </c>
    </row>
    <row r="139" spans="1:22" x14ac:dyDescent="0.25">
      <c r="A139" s="2" t="s">
        <v>11</v>
      </c>
      <c r="B139" s="2" t="s">
        <v>64</v>
      </c>
      <c r="C139" t="s">
        <v>102</v>
      </c>
      <c r="D139" t="s">
        <v>26</v>
      </c>
      <c r="E139" t="s">
        <v>74</v>
      </c>
      <c r="F139" t="s">
        <v>80</v>
      </c>
      <c r="G139">
        <v>3.69</v>
      </c>
      <c r="H139">
        <v>3.19</v>
      </c>
      <c r="I139" s="2" t="str">
        <f>_xlfn.XLOOKUP(F139,DeparaIMG!B:B,DeparaIMG!D:D,,0)</f>
        <v>BC0350.png</v>
      </c>
      <c r="Q139" t="s">
        <v>102</v>
      </c>
      <c r="R139" t="s">
        <v>27</v>
      </c>
      <c r="S139" t="s">
        <v>74</v>
      </c>
      <c r="T139" t="s">
        <v>85</v>
      </c>
      <c r="U139">
        <v>4.49</v>
      </c>
      <c r="V139">
        <v>3.49</v>
      </c>
    </row>
    <row r="140" spans="1:22" x14ac:dyDescent="0.25">
      <c r="A140" s="2" t="s">
        <v>11</v>
      </c>
      <c r="B140" s="2" t="s">
        <v>64</v>
      </c>
      <c r="C140" t="s">
        <v>102</v>
      </c>
      <c r="D140" t="s">
        <v>26</v>
      </c>
      <c r="E140" t="s">
        <v>65</v>
      </c>
      <c r="F140" t="s">
        <v>80</v>
      </c>
      <c r="G140">
        <v>3.69</v>
      </c>
      <c r="H140">
        <v>3.19</v>
      </c>
      <c r="I140" s="2" t="str">
        <f>_xlfn.XLOOKUP(F140,DeparaIMG!B:B,DeparaIMG!D:D,,0)</f>
        <v>BC0350.png</v>
      </c>
      <c r="Q140" t="s">
        <v>99</v>
      </c>
      <c r="R140" t="s">
        <v>27</v>
      </c>
      <c r="S140" t="s">
        <v>65</v>
      </c>
      <c r="T140" t="s">
        <v>88</v>
      </c>
      <c r="U140">
        <v>4.6900000000000004</v>
      </c>
      <c r="V140">
        <v>4.1900000000000004</v>
      </c>
    </row>
    <row r="141" spans="1:22" x14ac:dyDescent="0.25">
      <c r="A141" s="2" t="s">
        <v>11</v>
      </c>
      <c r="B141" s="2" t="s">
        <v>64</v>
      </c>
      <c r="C141" t="s">
        <v>99</v>
      </c>
      <c r="D141" t="s">
        <v>26</v>
      </c>
      <c r="E141" t="s">
        <v>74</v>
      </c>
      <c r="F141" t="s">
        <v>80</v>
      </c>
      <c r="G141">
        <v>3.69</v>
      </c>
      <c r="H141">
        <v>3.19</v>
      </c>
      <c r="I141" s="2" t="str">
        <f>_xlfn.XLOOKUP(F141,DeparaIMG!B:B,DeparaIMG!D:D,,0)</f>
        <v>BC0350.png</v>
      </c>
      <c r="Q141" t="s">
        <v>100</v>
      </c>
      <c r="R141" t="s">
        <v>27</v>
      </c>
      <c r="S141" t="s">
        <v>65</v>
      </c>
      <c r="T141" t="s">
        <v>88</v>
      </c>
      <c r="U141">
        <v>4.6900000000000004</v>
      </c>
      <c r="V141">
        <v>4.1900000000000004</v>
      </c>
    </row>
    <row r="142" spans="1:22" x14ac:dyDescent="0.25">
      <c r="A142" s="2" t="s">
        <v>11</v>
      </c>
      <c r="B142" s="2" t="s">
        <v>64</v>
      </c>
      <c r="C142" t="s">
        <v>99</v>
      </c>
      <c r="D142" t="s">
        <v>26</v>
      </c>
      <c r="E142" t="s">
        <v>65</v>
      </c>
      <c r="F142" t="s">
        <v>80</v>
      </c>
      <c r="G142">
        <v>3.69</v>
      </c>
      <c r="H142">
        <v>3.19</v>
      </c>
      <c r="I142" s="2" t="str">
        <f>_xlfn.XLOOKUP(F142,DeparaIMG!B:B,DeparaIMG!D:D,,0)</f>
        <v>BC0350.png</v>
      </c>
      <c r="Q142" t="s">
        <v>102</v>
      </c>
      <c r="R142" t="s">
        <v>27</v>
      </c>
      <c r="S142" t="s">
        <v>65</v>
      </c>
      <c r="T142" t="s">
        <v>88</v>
      </c>
      <c r="U142">
        <v>4.6900000000000004</v>
      </c>
      <c r="V142">
        <v>4.1900000000000004</v>
      </c>
    </row>
    <row r="143" spans="1:22" x14ac:dyDescent="0.25">
      <c r="A143" s="2" t="s">
        <v>11</v>
      </c>
      <c r="B143" s="2" t="s">
        <v>64</v>
      </c>
      <c r="C143" t="s">
        <v>100</v>
      </c>
      <c r="D143" t="s">
        <v>27</v>
      </c>
      <c r="E143" t="s">
        <v>65</v>
      </c>
      <c r="F143" t="s">
        <v>81</v>
      </c>
      <c r="G143">
        <v>3.69</v>
      </c>
      <c r="H143">
        <v>3.39</v>
      </c>
      <c r="I143" s="2" t="e">
        <f>_xlfn.XLOOKUP(F143,DeparaIMG!B:B,DeparaIMG!D:D,,0)</f>
        <v>#N/A</v>
      </c>
      <c r="Q143" t="s">
        <v>101</v>
      </c>
      <c r="R143" t="s">
        <v>27</v>
      </c>
      <c r="S143" t="s">
        <v>65</v>
      </c>
      <c r="T143" t="s">
        <v>88</v>
      </c>
      <c r="U143">
        <v>4.6900000000000004</v>
      </c>
      <c r="V143">
        <v>4.1900000000000004</v>
      </c>
    </row>
    <row r="144" spans="1:22" x14ac:dyDescent="0.25">
      <c r="A144" s="2" t="s">
        <v>11</v>
      </c>
      <c r="B144" s="2" t="s">
        <v>64</v>
      </c>
      <c r="C144" t="s">
        <v>4</v>
      </c>
      <c r="D144" t="s">
        <v>27</v>
      </c>
      <c r="E144" t="s">
        <v>74</v>
      </c>
      <c r="F144" t="s">
        <v>82</v>
      </c>
      <c r="G144">
        <v>3.79</v>
      </c>
      <c r="H144">
        <v>3.49</v>
      </c>
      <c r="I144" s="2" t="str">
        <f>_xlfn.XLOOKUP(F144,DeparaIMG!B:B,DeparaIMG!D:D,,0)</f>
        <v>BC350.png</v>
      </c>
      <c r="Q144" t="s">
        <v>29</v>
      </c>
      <c r="R144" t="s">
        <v>27</v>
      </c>
      <c r="S144" t="s">
        <v>65</v>
      </c>
      <c r="T144" t="s">
        <v>68</v>
      </c>
      <c r="U144">
        <v>4.49</v>
      </c>
      <c r="V144">
        <v>4.49</v>
      </c>
    </row>
    <row r="145" spans="1:22" x14ac:dyDescent="0.25">
      <c r="A145" s="2" t="s">
        <v>11</v>
      </c>
      <c r="B145" s="2" t="s">
        <v>64</v>
      </c>
      <c r="C145" t="s">
        <v>30</v>
      </c>
      <c r="D145" t="s">
        <v>27</v>
      </c>
      <c r="E145" t="s">
        <v>74</v>
      </c>
      <c r="F145" t="s">
        <v>82</v>
      </c>
      <c r="G145">
        <v>3.79</v>
      </c>
      <c r="H145">
        <v>3.49</v>
      </c>
      <c r="I145" s="2" t="str">
        <f>_xlfn.XLOOKUP(F145,DeparaIMG!B:B,DeparaIMG!D:D,,0)</f>
        <v>BC350.png</v>
      </c>
      <c r="Q145" t="s">
        <v>30</v>
      </c>
      <c r="R145" t="s">
        <v>27</v>
      </c>
      <c r="S145" t="s">
        <v>65</v>
      </c>
      <c r="T145" t="s">
        <v>68</v>
      </c>
      <c r="U145">
        <v>5.49</v>
      </c>
      <c r="V145">
        <v>4.6900000000000004</v>
      </c>
    </row>
    <row r="146" spans="1:22" x14ac:dyDescent="0.25">
      <c r="A146" s="2" t="s">
        <v>11</v>
      </c>
      <c r="B146" s="2" t="s">
        <v>64</v>
      </c>
      <c r="C146" t="s">
        <v>99</v>
      </c>
      <c r="D146" t="s">
        <v>26</v>
      </c>
      <c r="E146" t="s">
        <v>65</v>
      </c>
      <c r="F146" t="s">
        <v>67</v>
      </c>
      <c r="G146">
        <v>3.89</v>
      </c>
      <c r="H146">
        <v>3.69</v>
      </c>
      <c r="I146" s="2" t="str">
        <f>_xlfn.XLOOKUP(F146,DeparaIMG!B:B,DeparaIMG!D:D,,0)</f>
        <v>SKZERO350.png</v>
      </c>
      <c r="Q146" t="s">
        <v>29</v>
      </c>
      <c r="R146" t="s">
        <v>26</v>
      </c>
      <c r="S146" t="s">
        <v>74</v>
      </c>
      <c r="T146" t="s">
        <v>89</v>
      </c>
      <c r="U146">
        <v>5.49</v>
      </c>
      <c r="V146">
        <v>4.99</v>
      </c>
    </row>
    <row r="147" spans="1:22" x14ac:dyDescent="0.25">
      <c r="A147" s="2" t="s">
        <v>11</v>
      </c>
      <c r="B147" s="2" t="s">
        <v>64</v>
      </c>
      <c r="C147" t="s">
        <v>100</v>
      </c>
      <c r="D147" t="s">
        <v>26</v>
      </c>
      <c r="E147" t="s">
        <v>65</v>
      </c>
      <c r="F147" t="s">
        <v>67</v>
      </c>
      <c r="G147">
        <v>3.89</v>
      </c>
      <c r="H147">
        <v>3.69</v>
      </c>
      <c r="I147" s="2" t="str">
        <f>_xlfn.XLOOKUP(F147,DeparaIMG!B:B,DeparaIMG!D:D,,0)</f>
        <v>SKZERO350.png</v>
      </c>
      <c r="Q147" t="s">
        <v>29</v>
      </c>
      <c r="R147" t="s">
        <v>27</v>
      </c>
      <c r="S147" t="s">
        <v>74</v>
      </c>
      <c r="T147" t="s">
        <v>89</v>
      </c>
      <c r="U147">
        <v>5.49</v>
      </c>
      <c r="V147">
        <v>4.99</v>
      </c>
    </row>
    <row r="148" spans="1:22" x14ac:dyDescent="0.25">
      <c r="A148" s="2" t="s">
        <v>11</v>
      </c>
      <c r="B148" s="2" t="s">
        <v>64</v>
      </c>
      <c r="C148" t="s">
        <v>4</v>
      </c>
      <c r="D148" t="s">
        <v>26</v>
      </c>
      <c r="E148" t="s">
        <v>65</v>
      </c>
      <c r="F148" t="s">
        <v>67</v>
      </c>
      <c r="G148">
        <v>3.89</v>
      </c>
      <c r="H148">
        <v>3.69</v>
      </c>
      <c r="I148" s="2" t="str">
        <f>_xlfn.XLOOKUP(F148,DeparaIMG!B:B,DeparaIMG!D:D,,0)</f>
        <v>SKZERO350.png</v>
      </c>
      <c r="Q148" t="s">
        <v>30</v>
      </c>
      <c r="R148" t="s">
        <v>26</v>
      </c>
      <c r="S148" t="s">
        <v>74</v>
      </c>
      <c r="T148" t="s">
        <v>89</v>
      </c>
      <c r="U148">
        <v>5.49</v>
      </c>
      <c r="V148">
        <v>4.99</v>
      </c>
    </row>
    <row r="149" spans="1:22" x14ac:dyDescent="0.25">
      <c r="A149" s="2" t="s">
        <v>11</v>
      </c>
      <c r="B149" s="2" t="s">
        <v>64</v>
      </c>
      <c r="C149" t="s">
        <v>101</v>
      </c>
      <c r="D149" t="s">
        <v>26</v>
      </c>
      <c r="E149" t="s">
        <v>65</v>
      </c>
      <c r="F149" t="s">
        <v>67</v>
      </c>
      <c r="G149">
        <v>3.89</v>
      </c>
      <c r="H149">
        <v>3.79</v>
      </c>
      <c r="I149" s="2" t="str">
        <f>_xlfn.XLOOKUP(F149,DeparaIMG!B:B,DeparaIMG!D:D,,0)</f>
        <v>SKZERO350.png</v>
      </c>
      <c r="Q149" t="s">
        <v>30</v>
      </c>
      <c r="R149" t="s">
        <v>27</v>
      </c>
      <c r="S149" t="s">
        <v>74</v>
      </c>
      <c r="T149" t="s">
        <v>89</v>
      </c>
      <c r="U149">
        <v>5.49</v>
      </c>
      <c r="V149">
        <v>4.99</v>
      </c>
    </row>
    <row r="150" spans="1:22" x14ac:dyDescent="0.25">
      <c r="A150" s="2" t="s">
        <v>11</v>
      </c>
      <c r="B150" s="2" t="s">
        <v>64</v>
      </c>
      <c r="C150" t="s">
        <v>102</v>
      </c>
      <c r="D150" t="s">
        <v>26</v>
      </c>
      <c r="E150" t="s">
        <v>65</v>
      </c>
      <c r="F150" t="s">
        <v>67</v>
      </c>
      <c r="G150">
        <v>3.89</v>
      </c>
      <c r="H150">
        <v>3.69</v>
      </c>
      <c r="I150" s="2" t="str">
        <f>_xlfn.XLOOKUP(F150,DeparaIMG!B:B,DeparaIMG!D:D,,0)</f>
        <v>SKZERO350.png</v>
      </c>
      <c r="Q150" t="s">
        <v>99</v>
      </c>
      <c r="R150" t="s">
        <v>26</v>
      </c>
      <c r="S150" t="s">
        <v>74</v>
      </c>
      <c r="T150" t="s">
        <v>89</v>
      </c>
      <c r="U150">
        <v>5.49</v>
      </c>
      <c r="V150">
        <v>4.99</v>
      </c>
    </row>
    <row r="151" spans="1:22" x14ac:dyDescent="0.25">
      <c r="A151" s="2" t="s">
        <v>11</v>
      </c>
      <c r="B151" s="2" t="s">
        <v>64</v>
      </c>
      <c r="C151" t="s">
        <v>29</v>
      </c>
      <c r="D151" t="s">
        <v>26</v>
      </c>
      <c r="E151" t="s">
        <v>65</v>
      </c>
      <c r="F151" t="s">
        <v>67</v>
      </c>
      <c r="G151">
        <v>3.89</v>
      </c>
      <c r="H151">
        <v>3.69</v>
      </c>
      <c r="I151" s="2" t="str">
        <f>_xlfn.XLOOKUP(F151,DeparaIMG!B:B,DeparaIMG!D:D,,0)</f>
        <v>SKZERO350.png</v>
      </c>
      <c r="Q151" t="s">
        <v>99</v>
      </c>
      <c r="R151" t="s">
        <v>27</v>
      </c>
      <c r="S151" t="s">
        <v>74</v>
      </c>
      <c r="T151" t="s">
        <v>89</v>
      </c>
      <c r="U151">
        <v>5.49</v>
      </c>
      <c r="V151">
        <v>4.99</v>
      </c>
    </row>
    <row r="152" spans="1:22" x14ac:dyDescent="0.25">
      <c r="A152" s="2" t="s">
        <v>11</v>
      </c>
      <c r="B152" s="2" t="s">
        <v>64</v>
      </c>
      <c r="C152" t="s">
        <v>30</v>
      </c>
      <c r="D152" t="s">
        <v>26</v>
      </c>
      <c r="E152" t="s">
        <v>65</v>
      </c>
      <c r="F152" t="s">
        <v>67</v>
      </c>
      <c r="G152">
        <v>3.89</v>
      </c>
      <c r="H152">
        <v>3.69</v>
      </c>
      <c r="I152" s="2" t="str">
        <f>_xlfn.XLOOKUP(F152,DeparaIMG!B:B,DeparaIMG!D:D,,0)</f>
        <v>SKZERO350.png</v>
      </c>
      <c r="Q152" t="s">
        <v>4</v>
      </c>
      <c r="R152" t="s">
        <v>26</v>
      </c>
      <c r="S152" t="s">
        <v>74</v>
      </c>
      <c r="T152" t="s">
        <v>89</v>
      </c>
      <c r="U152">
        <v>5.49</v>
      </c>
      <c r="V152">
        <v>4.99</v>
      </c>
    </row>
    <row r="153" spans="1:22" x14ac:dyDescent="0.25">
      <c r="A153" s="2" t="s">
        <v>11</v>
      </c>
      <c r="B153" s="2" t="s">
        <v>64</v>
      </c>
      <c r="C153" t="s">
        <v>100</v>
      </c>
      <c r="D153" t="s">
        <v>26</v>
      </c>
      <c r="E153" t="s">
        <v>65</v>
      </c>
      <c r="F153" t="s">
        <v>83</v>
      </c>
      <c r="G153">
        <v>3.89</v>
      </c>
      <c r="H153">
        <v>3.59</v>
      </c>
      <c r="I153" s="2" t="str">
        <f>_xlfn.XLOOKUP(F153,DeparaIMG!B:B,DeparaIMG!D:D,,0)</f>
        <v>ORI269.png</v>
      </c>
      <c r="Q153" t="s">
        <v>4</v>
      </c>
      <c r="R153" t="s">
        <v>27</v>
      </c>
      <c r="S153" t="s">
        <v>74</v>
      </c>
      <c r="T153" t="s">
        <v>89</v>
      </c>
      <c r="U153">
        <v>5.49</v>
      </c>
      <c r="V153">
        <v>4.99</v>
      </c>
    </row>
    <row r="154" spans="1:22" x14ac:dyDescent="0.25">
      <c r="A154" s="2" t="s">
        <v>11</v>
      </c>
      <c r="B154" s="2" t="s">
        <v>64</v>
      </c>
      <c r="C154" t="s">
        <v>100</v>
      </c>
      <c r="D154" t="s">
        <v>27</v>
      </c>
      <c r="E154" t="s">
        <v>65</v>
      </c>
      <c r="F154" t="s">
        <v>83</v>
      </c>
      <c r="G154">
        <v>3.89</v>
      </c>
      <c r="H154">
        <v>3.59</v>
      </c>
      <c r="I154" s="2" t="str">
        <f>_xlfn.XLOOKUP(F154,DeparaIMG!B:B,DeparaIMG!D:D,,0)</f>
        <v>ORI269.png</v>
      </c>
      <c r="Q154" t="s">
        <v>29</v>
      </c>
      <c r="R154" t="s">
        <v>26</v>
      </c>
      <c r="S154" t="s">
        <v>65</v>
      </c>
      <c r="T154" t="s">
        <v>68</v>
      </c>
      <c r="U154">
        <v>5.49</v>
      </c>
      <c r="V154">
        <v>4.6900000000000004</v>
      </c>
    </row>
    <row r="155" spans="1:22" x14ac:dyDescent="0.25">
      <c r="A155" s="2" t="s">
        <v>11</v>
      </c>
      <c r="B155" s="2" t="s">
        <v>64</v>
      </c>
      <c r="C155" t="s">
        <v>101</v>
      </c>
      <c r="D155" t="s">
        <v>26</v>
      </c>
      <c r="E155" t="s">
        <v>65</v>
      </c>
      <c r="F155" t="s">
        <v>83</v>
      </c>
      <c r="G155">
        <v>3.89</v>
      </c>
      <c r="H155">
        <v>3.59</v>
      </c>
      <c r="I155" s="2" t="str">
        <f>_xlfn.XLOOKUP(F155,DeparaIMG!B:B,DeparaIMG!D:D,,0)</f>
        <v>ORI269.png</v>
      </c>
      <c r="Q155" t="s">
        <v>30</v>
      </c>
      <c r="R155" t="s">
        <v>26</v>
      </c>
      <c r="S155" t="s">
        <v>65</v>
      </c>
      <c r="T155" t="s">
        <v>68</v>
      </c>
      <c r="U155">
        <v>5.49</v>
      </c>
      <c r="V155">
        <v>4.6900000000000004</v>
      </c>
    </row>
    <row r="156" spans="1:22" x14ac:dyDescent="0.25">
      <c r="A156" s="2" t="s">
        <v>11</v>
      </c>
      <c r="B156" s="2" t="s">
        <v>64</v>
      </c>
      <c r="C156" t="s">
        <v>102</v>
      </c>
      <c r="D156" t="s">
        <v>26</v>
      </c>
      <c r="E156" t="s">
        <v>65</v>
      </c>
      <c r="F156" t="s">
        <v>83</v>
      </c>
      <c r="G156">
        <v>3.89</v>
      </c>
      <c r="H156">
        <v>3.59</v>
      </c>
      <c r="I156" s="2" t="str">
        <f>_xlfn.XLOOKUP(F156,DeparaIMG!B:B,DeparaIMG!D:D,,0)</f>
        <v>ORI269.png</v>
      </c>
      <c r="Q156" t="s">
        <v>4</v>
      </c>
      <c r="R156" t="s">
        <v>27</v>
      </c>
      <c r="S156" t="s">
        <v>65</v>
      </c>
      <c r="T156" t="s">
        <v>68</v>
      </c>
      <c r="U156">
        <v>5.49</v>
      </c>
      <c r="V156">
        <v>4.6900000000000004</v>
      </c>
    </row>
    <row r="157" spans="1:22" x14ac:dyDescent="0.25">
      <c r="A157" s="2" t="s">
        <v>11</v>
      </c>
      <c r="B157" s="2" t="s">
        <v>64</v>
      </c>
      <c r="C157" t="s">
        <v>101</v>
      </c>
      <c r="D157" t="s">
        <v>27</v>
      </c>
      <c r="E157" t="s">
        <v>65</v>
      </c>
      <c r="F157" t="s">
        <v>83</v>
      </c>
      <c r="G157">
        <v>3.89</v>
      </c>
      <c r="H157">
        <v>3.59</v>
      </c>
      <c r="I157" s="2" t="str">
        <f>_xlfn.XLOOKUP(F157,DeparaIMG!B:B,DeparaIMG!D:D,,0)</f>
        <v>ORI269.png</v>
      </c>
      <c r="Q157" t="s">
        <v>100</v>
      </c>
      <c r="R157" t="s">
        <v>26</v>
      </c>
      <c r="S157" t="s">
        <v>74</v>
      </c>
      <c r="T157" t="s">
        <v>89</v>
      </c>
      <c r="U157">
        <v>5.49</v>
      </c>
      <c r="V157">
        <v>4.99</v>
      </c>
    </row>
    <row r="158" spans="1:22" x14ac:dyDescent="0.25">
      <c r="A158" s="2" t="s">
        <v>11</v>
      </c>
      <c r="B158" s="2" t="s">
        <v>64</v>
      </c>
      <c r="C158" t="s">
        <v>102</v>
      </c>
      <c r="D158" t="s">
        <v>27</v>
      </c>
      <c r="E158" t="s">
        <v>65</v>
      </c>
      <c r="F158" t="s">
        <v>83</v>
      </c>
      <c r="G158">
        <v>3.89</v>
      </c>
      <c r="H158">
        <v>3.59</v>
      </c>
      <c r="I158" s="2" t="str">
        <f>_xlfn.XLOOKUP(F158,DeparaIMG!B:B,DeparaIMG!D:D,,0)</f>
        <v>ORI269.png</v>
      </c>
      <c r="Q158" t="s">
        <v>100</v>
      </c>
      <c r="R158" t="s">
        <v>27</v>
      </c>
      <c r="S158" t="s">
        <v>74</v>
      </c>
      <c r="T158" t="s">
        <v>89</v>
      </c>
      <c r="U158">
        <v>5.49</v>
      </c>
      <c r="V158">
        <v>4.99</v>
      </c>
    </row>
    <row r="159" spans="1:22" x14ac:dyDescent="0.25">
      <c r="A159" s="2" t="s">
        <v>11</v>
      </c>
      <c r="B159" s="2" t="s">
        <v>64</v>
      </c>
      <c r="C159" t="s">
        <v>29</v>
      </c>
      <c r="D159" t="s">
        <v>26</v>
      </c>
      <c r="E159" t="s">
        <v>65</v>
      </c>
      <c r="F159" t="s">
        <v>83</v>
      </c>
      <c r="G159">
        <v>3.89</v>
      </c>
      <c r="H159">
        <v>3.59</v>
      </c>
      <c r="I159" s="2" t="str">
        <f>_xlfn.XLOOKUP(F159,DeparaIMG!B:B,DeparaIMG!D:D,,0)</f>
        <v>ORI269.png</v>
      </c>
      <c r="Q159" t="s">
        <v>101</v>
      </c>
      <c r="R159" t="s">
        <v>26</v>
      </c>
      <c r="S159" t="s">
        <v>74</v>
      </c>
      <c r="T159" t="s">
        <v>89</v>
      </c>
      <c r="U159">
        <v>5.49</v>
      </c>
      <c r="V159">
        <v>4.99</v>
      </c>
    </row>
    <row r="160" spans="1:22" x14ac:dyDescent="0.25">
      <c r="A160" s="2" t="s">
        <v>11</v>
      </c>
      <c r="B160" s="2" t="s">
        <v>64</v>
      </c>
      <c r="C160" t="s">
        <v>30</v>
      </c>
      <c r="D160" t="s">
        <v>26</v>
      </c>
      <c r="E160" t="s">
        <v>65</v>
      </c>
      <c r="F160" t="s">
        <v>83</v>
      </c>
      <c r="G160">
        <v>3.89</v>
      </c>
      <c r="H160">
        <v>3.59</v>
      </c>
      <c r="I160" s="2" t="str">
        <f>_xlfn.XLOOKUP(F160,DeparaIMG!B:B,DeparaIMG!D:D,,0)</f>
        <v>ORI269.png</v>
      </c>
      <c r="Q160" t="s">
        <v>102</v>
      </c>
      <c r="R160" t="s">
        <v>26</v>
      </c>
      <c r="S160" t="s">
        <v>74</v>
      </c>
      <c r="T160" t="s">
        <v>89</v>
      </c>
      <c r="U160">
        <v>5.49</v>
      </c>
      <c r="V160">
        <v>4.99</v>
      </c>
    </row>
    <row r="161" spans="1:22" x14ac:dyDescent="0.25">
      <c r="A161" s="2" t="s">
        <v>11</v>
      </c>
      <c r="B161" s="2" t="s">
        <v>64</v>
      </c>
      <c r="C161" t="s">
        <v>29</v>
      </c>
      <c r="D161" t="s">
        <v>27</v>
      </c>
      <c r="E161" t="s">
        <v>65</v>
      </c>
      <c r="F161" t="s">
        <v>83</v>
      </c>
      <c r="G161">
        <v>3.89</v>
      </c>
      <c r="H161">
        <v>3.59</v>
      </c>
      <c r="I161" s="2" t="str">
        <f>_xlfn.XLOOKUP(F161,DeparaIMG!B:B,DeparaIMG!D:D,,0)</f>
        <v>ORI269.png</v>
      </c>
      <c r="Q161" t="s">
        <v>101</v>
      </c>
      <c r="R161" t="s">
        <v>27</v>
      </c>
      <c r="S161" t="s">
        <v>74</v>
      </c>
      <c r="T161" t="s">
        <v>89</v>
      </c>
      <c r="U161">
        <v>5.49</v>
      </c>
      <c r="V161">
        <v>4.99</v>
      </c>
    </row>
    <row r="162" spans="1:22" x14ac:dyDescent="0.25">
      <c r="A162" s="2" t="s">
        <v>11</v>
      </c>
      <c r="B162" s="2" t="s">
        <v>64</v>
      </c>
      <c r="C162" t="s">
        <v>30</v>
      </c>
      <c r="D162" t="s">
        <v>27</v>
      </c>
      <c r="E162" t="s">
        <v>65</v>
      </c>
      <c r="F162" t="s">
        <v>83</v>
      </c>
      <c r="G162">
        <v>3.89</v>
      </c>
      <c r="H162">
        <v>3.59</v>
      </c>
      <c r="I162" s="2" t="str">
        <f>_xlfn.XLOOKUP(F162,DeparaIMG!B:B,DeparaIMG!D:D,,0)</f>
        <v>ORI269.png</v>
      </c>
      <c r="Q162" t="s">
        <v>102</v>
      </c>
      <c r="R162" t="s">
        <v>27</v>
      </c>
      <c r="S162" t="s">
        <v>74</v>
      </c>
      <c r="T162" t="s">
        <v>89</v>
      </c>
      <c r="U162">
        <v>5.49</v>
      </c>
      <c r="V162">
        <v>4.99</v>
      </c>
    </row>
    <row r="163" spans="1:22" x14ac:dyDescent="0.25">
      <c r="A163" s="2" t="s">
        <v>11</v>
      </c>
      <c r="B163" s="2" t="s">
        <v>64</v>
      </c>
      <c r="C163" t="s">
        <v>99</v>
      </c>
      <c r="D163" t="s">
        <v>26</v>
      </c>
      <c r="E163" t="s">
        <v>65</v>
      </c>
      <c r="F163" t="s">
        <v>83</v>
      </c>
      <c r="G163">
        <v>3.89</v>
      </c>
      <c r="H163">
        <v>3.59</v>
      </c>
      <c r="I163" s="2" t="str">
        <f>_xlfn.XLOOKUP(F163,DeparaIMG!B:B,DeparaIMG!D:D,,0)</f>
        <v>ORI269.png</v>
      </c>
      <c r="Q163" t="s">
        <v>4</v>
      </c>
      <c r="R163" t="s">
        <v>26</v>
      </c>
      <c r="S163" t="s">
        <v>65</v>
      </c>
      <c r="T163" t="s">
        <v>68</v>
      </c>
      <c r="U163">
        <v>5.49</v>
      </c>
      <c r="V163">
        <v>4.6900000000000004</v>
      </c>
    </row>
    <row r="164" spans="1:22" x14ac:dyDescent="0.25">
      <c r="A164" s="2" t="s">
        <v>11</v>
      </c>
      <c r="B164" s="2" t="s">
        <v>64</v>
      </c>
      <c r="C164" t="s">
        <v>99</v>
      </c>
      <c r="D164" t="s">
        <v>27</v>
      </c>
      <c r="E164" t="s">
        <v>65</v>
      </c>
      <c r="F164" t="s">
        <v>83</v>
      </c>
      <c r="G164">
        <v>3.89</v>
      </c>
      <c r="H164">
        <v>3.59</v>
      </c>
      <c r="I164" s="2" t="str">
        <f>_xlfn.XLOOKUP(F164,DeparaIMG!B:B,DeparaIMG!D:D,,0)</f>
        <v>ORI269.png</v>
      </c>
      <c r="Q164" t="s">
        <v>29</v>
      </c>
      <c r="R164" t="s">
        <v>27</v>
      </c>
      <c r="S164" t="s">
        <v>65</v>
      </c>
      <c r="T164" t="s">
        <v>90</v>
      </c>
      <c r="U164">
        <v>6.19</v>
      </c>
      <c r="V164">
        <v>5.39</v>
      </c>
    </row>
    <row r="165" spans="1:22" x14ac:dyDescent="0.25">
      <c r="A165" s="2" t="s">
        <v>11</v>
      </c>
      <c r="B165" s="2" t="s">
        <v>64</v>
      </c>
      <c r="C165" t="s">
        <v>4</v>
      </c>
      <c r="D165" t="s">
        <v>26</v>
      </c>
      <c r="E165" t="s">
        <v>65</v>
      </c>
      <c r="F165" t="s">
        <v>83</v>
      </c>
      <c r="G165">
        <v>3.89</v>
      </c>
      <c r="H165">
        <v>3.59</v>
      </c>
      <c r="I165" s="2" t="str">
        <f>_xlfn.XLOOKUP(F165,DeparaIMG!B:B,DeparaIMG!D:D,,0)</f>
        <v>ORI269.png</v>
      </c>
      <c r="Q165" t="s">
        <v>29</v>
      </c>
      <c r="R165" t="s">
        <v>27</v>
      </c>
      <c r="S165" t="s">
        <v>65</v>
      </c>
      <c r="T165" t="s">
        <v>91</v>
      </c>
      <c r="U165">
        <v>6.19</v>
      </c>
      <c r="V165">
        <v>5.39</v>
      </c>
    </row>
    <row r="166" spans="1:22" x14ac:dyDescent="0.25">
      <c r="A166" s="2" t="s">
        <v>11</v>
      </c>
      <c r="B166" s="2" t="s">
        <v>64</v>
      </c>
      <c r="C166" t="s">
        <v>4</v>
      </c>
      <c r="D166" t="s">
        <v>27</v>
      </c>
      <c r="E166" t="s">
        <v>65</v>
      </c>
      <c r="F166" t="s">
        <v>83</v>
      </c>
      <c r="G166">
        <v>3.89</v>
      </c>
      <c r="H166">
        <v>3.59</v>
      </c>
      <c r="I166" s="2" t="str">
        <f>_xlfn.XLOOKUP(F166,DeparaIMG!B:B,DeparaIMG!D:D,,0)</f>
        <v>ORI269.png</v>
      </c>
      <c r="Q166" t="s">
        <v>29</v>
      </c>
      <c r="R166" t="s">
        <v>26</v>
      </c>
      <c r="S166" t="s">
        <v>65</v>
      </c>
      <c r="T166" t="s">
        <v>91</v>
      </c>
      <c r="U166">
        <v>6.19</v>
      </c>
      <c r="V166">
        <v>5.39</v>
      </c>
    </row>
    <row r="167" spans="1:22" x14ac:dyDescent="0.25">
      <c r="A167" s="2" t="s">
        <v>11</v>
      </c>
      <c r="B167" s="2" t="s">
        <v>64</v>
      </c>
      <c r="C167" t="s">
        <v>29</v>
      </c>
      <c r="D167" t="s">
        <v>27</v>
      </c>
      <c r="E167" t="s">
        <v>65</v>
      </c>
      <c r="F167" t="s">
        <v>84</v>
      </c>
      <c r="G167">
        <v>3.99</v>
      </c>
      <c r="H167">
        <v>3.69</v>
      </c>
      <c r="I167" s="2" t="str">
        <f>_xlfn.XLOOKUP(F167,DeparaIMG!B:B,DeparaIMG!D:D,,0)</f>
        <v>AP350.png</v>
      </c>
      <c r="Q167" t="s">
        <v>30</v>
      </c>
      <c r="R167" t="s">
        <v>27</v>
      </c>
      <c r="S167" t="s">
        <v>65</v>
      </c>
      <c r="T167" t="s">
        <v>90</v>
      </c>
      <c r="U167">
        <v>6.29</v>
      </c>
      <c r="V167">
        <v>5.49</v>
      </c>
    </row>
    <row r="168" spans="1:22" x14ac:dyDescent="0.25">
      <c r="A168" s="2" t="s">
        <v>11</v>
      </c>
      <c r="B168" s="2" t="s">
        <v>64</v>
      </c>
      <c r="C168" t="s">
        <v>30</v>
      </c>
      <c r="D168" t="s">
        <v>27</v>
      </c>
      <c r="E168" t="s">
        <v>65</v>
      </c>
      <c r="F168" t="s">
        <v>84</v>
      </c>
      <c r="G168">
        <v>3.99</v>
      </c>
      <c r="H168">
        <v>3.69</v>
      </c>
      <c r="I168" s="2" t="str">
        <f>_xlfn.XLOOKUP(F168,DeparaIMG!B:B,DeparaIMG!D:D,,0)</f>
        <v>AP350.png</v>
      </c>
      <c r="Q168" t="s">
        <v>4</v>
      </c>
      <c r="R168" t="s">
        <v>27</v>
      </c>
      <c r="S168" t="s">
        <v>65</v>
      </c>
      <c r="T168" t="s">
        <v>90</v>
      </c>
      <c r="U168">
        <v>6.29</v>
      </c>
      <c r="V168">
        <v>5.49</v>
      </c>
    </row>
    <row r="169" spans="1:22" x14ac:dyDescent="0.25">
      <c r="A169" s="2" t="s">
        <v>11</v>
      </c>
      <c r="B169" s="2" t="s">
        <v>64</v>
      </c>
      <c r="C169" t="s">
        <v>29</v>
      </c>
      <c r="D169" t="s">
        <v>27</v>
      </c>
      <c r="E169" t="s">
        <v>74</v>
      </c>
      <c r="F169" t="s">
        <v>80</v>
      </c>
      <c r="G169">
        <v>3.99</v>
      </c>
      <c r="H169">
        <v>3.49</v>
      </c>
      <c r="I169" s="2" t="str">
        <f>_xlfn.XLOOKUP(F169,DeparaIMG!B:B,DeparaIMG!D:D,,0)</f>
        <v>BC0350.png</v>
      </c>
      <c r="Q169" t="s">
        <v>30</v>
      </c>
      <c r="R169" t="s">
        <v>27</v>
      </c>
      <c r="S169" t="s">
        <v>65</v>
      </c>
      <c r="T169" t="s">
        <v>91</v>
      </c>
      <c r="U169">
        <v>6.29</v>
      </c>
      <c r="V169">
        <v>5.49</v>
      </c>
    </row>
    <row r="170" spans="1:22" x14ac:dyDescent="0.25">
      <c r="A170" s="2" t="s">
        <v>11</v>
      </c>
      <c r="B170" s="2" t="s">
        <v>64</v>
      </c>
      <c r="C170" t="s">
        <v>29</v>
      </c>
      <c r="D170" t="s">
        <v>27</v>
      </c>
      <c r="E170" t="s">
        <v>65</v>
      </c>
      <c r="F170" t="s">
        <v>80</v>
      </c>
      <c r="G170">
        <v>3.99</v>
      </c>
      <c r="H170">
        <v>3.49</v>
      </c>
      <c r="I170" s="2" t="str">
        <f>_xlfn.XLOOKUP(F170,DeparaIMG!B:B,DeparaIMG!D:D,,0)</f>
        <v>BC0350.png</v>
      </c>
      <c r="Q170" t="s">
        <v>99</v>
      </c>
      <c r="R170" t="s">
        <v>27</v>
      </c>
      <c r="S170" t="s">
        <v>65</v>
      </c>
      <c r="T170" t="s">
        <v>91</v>
      </c>
      <c r="U170">
        <v>6.29</v>
      </c>
      <c r="V170">
        <v>5.49</v>
      </c>
    </row>
    <row r="171" spans="1:22" x14ac:dyDescent="0.25">
      <c r="A171" s="2" t="s">
        <v>11</v>
      </c>
      <c r="B171" s="2" t="s">
        <v>64</v>
      </c>
      <c r="C171" t="s">
        <v>99</v>
      </c>
      <c r="D171" t="s">
        <v>27</v>
      </c>
      <c r="E171" t="s">
        <v>74</v>
      </c>
      <c r="F171" t="s">
        <v>80</v>
      </c>
      <c r="G171">
        <v>3.99</v>
      </c>
      <c r="H171">
        <v>3.49</v>
      </c>
      <c r="I171" s="2" t="str">
        <f>_xlfn.XLOOKUP(F171,DeparaIMG!B:B,DeparaIMG!D:D,,0)</f>
        <v>BC0350.png</v>
      </c>
      <c r="Q171" t="s">
        <v>100</v>
      </c>
      <c r="R171" t="s">
        <v>27</v>
      </c>
      <c r="S171" t="s">
        <v>65</v>
      </c>
      <c r="T171" t="s">
        <v>91</v>
      </c>
      <c r="U171">
        <v>6.29</v>
      </c>
      <c r="V171">
        <v>5.49</v>
      </c>
    </row>
    <row r="172" spans="1:22" x14ac:dyDescent="0.25">
      <c r="A172" s="2" t="s">
        <v>11</v>
      </c>
      <c r="B172" s="2" t="s">
        <v>64</v>
      </c>
      <c r="C172" t="s">
        <v>99</v>
      </c>
      <c r="D172" t="s">
        <v>27</v>
      </c>
      <c r="E172" t="s">
        <v>65</v>
      </c>
      <c r="F172" t="s">
        <v>80</v>
      </c>
      <c r="G172">
        <v>3.99</v>
      </c>
      <c r="H172">
        <v>3.49</v>
      </c>
      <c r="I172" s="2" t="str">
        <f>_xlfn.XLOOKUP(F172,DeparaIMG!B:B,DeparaIMG!D:D,,0)</f>
        <v>BC0350.png</v>
      </c>
      <c r="Q172" t="s">
        <v>4</v>
      </c>
      <c r="R172" t="s">
        <v>27</v>
      </c>
      <c r="S172" t="s">
        <v>65</v>
      </c>
      <c r="T172" t="s">
        <v>91</v>
      </c>
      <c r="U172">
        <v>6.29</v>
      </c>
      <c r="V172">
        <v>5.49</v>
      </c>
    </row>
    <row r="173" spans="1:22" x14ac:dyDescent="0.25">
      <c r="A173" s="2" t="s">
        <v>11</v>
      </c>
      <c r="B173" s="2" t="s">
        <v>64</v>
      </c>
      <c r="C173" t="s">
        <v>30</v>
      </c>
      <c r="D173" t="s">
        <v>27</v>
      </c>
      <c r="E173" t="s">
        <v>74</v>
      </c>
      <c r="F173" t="s">
        <v>80</v>
      </c>
      <c r="G173">
        <v>3.99</v>
      </c>
      <c r="H173">
        <v>3.49</v>
      </c>
      <c r="I173" s="2" t="str">
        <f>_xlfn.XLOOKUP(F173,DeparaIMG!B:B,DeparaIMG!D:D,,0)</f>
        <v>BC0350.png</v>
      </c>
      <c r="Q173" t="s">
        <v>102</v>
      </c>
      <c r="R173" t="s">
        <v>27</v>
      </c>
      <c r="S173" t="s">
        <v>65</v>
      </c>
      <c r="T173" t="s">
        <v>91</v>
      </c>
      <c r="U173">
        <v>6.29</v>
      </c>
      <c r="V173">
        <v>5.49</v>
      </c>
    </row>
    <row r="174" spans="1:22" x14ac:dyDescent="0.25">
      <c r="A174" s="2" t="s">
        <v>11</v>
      </c>
      <c r="B174" s="2" t="s">
        <v>64</v>
      </c>
      <c r="C174" t="s">
        <v>30</v>
      </c>
      <c r="D174" t="s">
        <v>27</v>
      </c>
      <c r="E174" t="s">
        <v>65</v>
      </c>
      <c r="F174" t="s">
        <v>80</v>
      </c>
      <c r="G174">
        <v>3.99</v>
      </c>
      <c r="H174">
        <v>3.49</v>
      </c>
      <c r="I174" s="2" t="str">
        <f>_xlfn.XLOOKUP(F174,DeparaIMG!B:B,DeparaIMG!D:D,,0)</f>
        <v>BC0350.png</v>
      </c>
      <c r="Q174" t="s">
        <v>101</v>
      </c>
      <c r="R174" t="s">
        <v>27</v>
      </c>
      <c r="S174" t="s">
        <v>65</v>
      </c>
      <c r="T174" t="s">
        <v>91</v>
      </c>
      <c r="U174">
        <v>6.29</v>
      </c>
      <c r="V174">
        <v>5.49</v>
      </c>
    </row>
    <row r="175" spans="1:22" x14ac:dyDescent="0.25">
      <c r="A175" s="2" t="s">
        <v>11</v>
      </c>
      <c r="B175" s="2" t="s">
        <v>64</v>
      </c>
      <c r="C175" t="s">
        <v>100</v>
      </c>
      <c r="D175" t="s">
        <v>27</v>
      </c>
      <c r="E175" t="s">
        <v>74</v>
      </c>
      <c r="F175" t="s">
        <v>80</v>
      </c>
      <c r="G175">
        <v>3.99</v>
      </c>
      <c r="H175">
        <v>3.49</v>
      </c>
      <c r="I175" s="2" t="str">
        <f>_xlfn.XLOOKUP(F175,DeparaIMG!B:B,DeparaIMG!D:D,,0)</f>
        <v>BC0350.png</v>
      </c>
      <c r="Q175" t="s">
        <v>99</v>
      </c>
      <c r="R175" t="s">
        <v>26</v>
      </c>
      <c r="S175" t="s">
        <v>65</v>
      </c>
      <c r="T175" t="s">
        <v>91</v>
      </c>
      <c r="U175">
        <v>6.29</v>
      </c>
      <c r="V175">
        <v>5.49</v>
      </c>
    </row>
    <row r="176" spans="1:22" x14ac:dyDescent="0.25">
      <c r="A176" s="2" t="s">
        <v>11</v>
      </c>
      <c r="B176" s="2" t="s">
        <v>64</v>
      </c>
      <c r="C176" t="s">
        <v>100</v>
      </c>
      <c r="D176" t="s">
        <v>27</v>
      </c>
      <c r="E176" t="s">
        <v>65</v>
      </c>
      <c r="F176" t="s">
        <v>80</v>
      </c>
      <c r="G176">
        <v>3.99</v>
      </c>
      <c r="H176">
        <v>3.49</v>
      </c>
      <c r="I176" s="2" t="str">
        <f>_xlfn.XLOOKUP(F176,DeparaIMG!B:B,DeparaIMG!D:D,,0)</f>
        <v>BC0350.png</v>
      </c>
      <c r="Q176" t="s">
        <v>100</v>
      </c>
      <c r="R176" t="s">
        <v>26</v>
      </c>
      <c r="S176" t="s">
        <v>65</v>
      </c>
      <c r="T176" t="s">
        <v>91</v>
      </c>
      <c r="U176">
        <v>6.29</v>
      </c>
      <c r="V176">
        <v>5.49</v>
      </c>
    </row>
    <row r="177" spans="1:22" x14ac:dyDescent="0.25">
      <c r="A177" s="2" t="s">
        <v>11</v>
      </c>
      <c r="B177" s="2" t="s">
        <v>64</v>
      </c>
      <c r="C177" t="s">
        <v>4</v>
      </c>
      <c r="D177" t="s">
        <v>27</v>
      </c>
      <c r="E177" t="s">
        <v>74</v>
      </c>
      <c r="F177" t="s">
        <v>80</v>
      </c>
      <c r="G177">
        <v>3.99</v>
      </c>
      <c r="H177">
        <v>3.49</v>
      </c>
      <c r="I177" s="2" t="str">
        <f>_xlfn.XLOOKUP(F177,DeparaIMG!B:B,DeparaIMG!D:D,,0)</f>
        <v>BC0350.png</v>
      </c>
      <c r="Q177" t="s">
        <v>102</v>
      </c>
      <c r="R177" t="s">
        <v>26</v>
      </c>
      <c r="S177" t="s">
        <v>65</v>
      </c>
      <c r="T177" t="s">
        <v>91</v>
      </c>
      <c r="U177">
        <v>6.29</v>
      </c>
      <c r="V177">
        <v>5.49</v>
      </c>
    </row>
    <row r="178" spans="1:22" x14ac:dyDescent="0.25">
      <c r="A178" s="2" t="s">
        <v>11</v>
      </c>
      <c r="B178" s="2" t="s">
        <v>64</v>
      </c>
      <c r="C178" t="s">
        <v>4</v>
      </c>
      <c r="D178" t="s">
        <v>27</v>
      </c>
      <c r="E178" t="s">
        <v>65</v>
      </c>
      <c r="F178" t="s">
        <v>80</v>
      </c>
      <c r="G178">
        <v>3.99</v>
      </c>
      <c r="H178">
        <v>3.49</v>
      </c>
      <c r="I178" s="2" t="str">
        <f>_xlfn.XLOOKUP(F178,DeparaIMG!B:B,DeparaIMG!D:D,,0)</f>
        <v>BC0350.png</v>
      </c>
      <c r="Q178" t="s">
        <v>101</v>
      </c>
      <c r="R178" t="s">
        <v>26</v>
      </c>
      <c r="S178" t="s">
        <v>65</v>
      </c>
      <c r="T178" t="s">
        <v>91</v>
      </c>
      <c r="U178">
        <v>6.29</v>
      </c>
      <c r="V178">
        <v>5.49</v>
      </c>
    </row>
    <row r="179" spans="1:22" x14ac:dyDescent="0.25">
      <c r="A179" s="2" t="s">
        <v>11</v>
      </c>
      <c r="B179" s="2" t="s">
        <v>64</v>
      </c>
      <c r="C179" t="s">
        <v>102</v>
      </c>
      <c r="D179" t="s">
        <v>27</v>
      </c>
      <c r="E179" t="s">
        <v>74</v>
      </c>
      <c r="F179" t="s">
        <v>80</v>
      </c>
      <c r="G179">
        <v>3.99</v>
      </c>
      <c r="H179">
        <v>3.49</v>
      </c>
      <c r="I179" s="2" t="str">
        <f>_xlfn.XLOOKUP(F179,DeparaIMG!B:B,DeparaIMG!D:D,,0)</f>
        <v>BC0350.png</v>
      </c>
      <c r="Q179" t="s">
        <v>30</v>
      </c>
      <c r="R179" t="s">
        <v>26</v>
      </c>
      <c r="S179" t="s">
        <v>65</v>
      </c>
      <c r="T179" t="s">
        <v>91</v>
      </c>
      <c r="U179">
        <v>6.29</v>
      </c>
      <c r="V179">
        <v>5.49</v>
      </c>
    </row>
    <row r="180" spans="1:22" x14ac:dyDescent="0.25">
      <c r="A180" s="2" t="s">
        <v>11</v>
      </c>
      <c r="B180" s="2" t="s">
        <v>64</v>
      </c>
      <c r="C180" t="s">
        <v>102</v>
      </c>
      <c r="D180" t="s">
        <v>27</v>
      </c>
      <c r="E180" t="s">
        <v>65</v>
      </c>
      <c r="F180" t="s">
        <v>80</v>
      </c>
      <c r="G180">
        <v>3.99</v>
      </c>
      <c r="H180">
        <v>3.49</v>
      </c>
      <c r="I180" s="2" t="str">
        <f>_xlfn.XLOOKUP(F180,DeparaIMG!B:B,DeparaIMG!D:D,,0)</f>
        <v>BC0350.png</v>
      </c>
      <c r="Q180" t="s">
        <v>4</v>
      </c>
      <c r="R180" t="s">
        <v>26</v>
      </c>
      <c r="S180" t="s">
        <v>65</v>
      </c>
      <c r="T180" t="s">
        <v>91</v>
      </c>
      <c r="U180">
        <v>6.29</v>
      </c>
      <c r="V180">
        <v>5.49</v>
      </c>
    </row>
    <row r="181" spans="1:22" x14ac:dyDescent="0.25">
      <c r="A181" s="2" t="s">
        <v>11</v>
      </c>
      <c r="B181" s="2" t="s">
        <v>64</v>
      </c>
      <c r="C181" t="s">
        <v>101</v>
      </c>
      <c r="D181" t="s">
        <v>27</v>
      </c>
      <c r="E181" t="s">
        <v>74</v>
      </c>
      <c r="F181" t="s">
        <v>80</v>
      </c>
      <c r="G181">
        <v>3.99</v>
      </c>
      <c r="H181">
        <v>3.49</v>
      </c>
      <c r="I181" s="2" t="str">
        <f>_xlfn.XLOOKUP(F181,DeparaIMG!B:B,DeparaIMG!D:D,,0)</f>
        <v>BC0350.png</v>
      </c>
      <c r="Q181" t="s">
        <v>29</v>
      </c>
      <c r="R181" t="s">
        <v>27</v>
      </c>
      <c r="S181" t="s">
        <v>74</v>
      </c>
      <c r="T181" t="s">
        <v>92</v>
      </c>
      <c r="U181">
        <v>6.39</v>
      </c>
      <c r="V181">
        <v>5.39</v>
      </c>
    </row>
    <row r="182" spans="1:22" x14ac:dyDescent="0.25">
      <c r="A182" s="2" t="s">
        <v>11</v>
      </c>
      <c r="B182" s="2" t="s">
        <v>64</v>
      </c>
      <c r="C182" t="s">
        <v>101</v>
      </c>
      <c r="D182" t="s">
        <v>27</v>
      </c>
      <c r="E182" t="s">
        <v>65</v>
      </c>
      <c r="F182" t="s">
        <v>80</v>
      </c>
      <c r="G182">
        <v>3.99</v>
      </c>
      <c r="H182">
        <v>3.49</v>
      </c>
      <c r="I182" s="2" t="str">
        <f>_xlfn.XLOOKUP(F182,DeparaIMG!B:B,DeparaIMG!D:D,,0)</f>
        <v>BC0350.png</v>
      </c>
      <c r="Q182" t="s">
        <v>30</v>
      </c>
      <c r="R182" t="s">
        <v>27</v>
      </c>
      <c r="S182" t="s">
        <v>74</v>
      </c>
      <c r="T182" t="s">
        <v>92</v>
      </c>
      <c r="U182">
        <v>6.39</v>
      </c>
      <c r="V182">
        <v>5.39</v>
      </c>
    </row>
    <row r="183" spans="1:22" x14ac:dyDescent="0.25">
      <c r="A183" s="2" t="s">
        <v>11</v>
      </c>
      <c r="B183" s="2" t="s">
        <v>64</v>
      </c>
      <c r="C183" t="s">
        <v>4</v>
      </c>
      <c r="D183" t="s">
        <v>26</v>
      </c>
      <c r="E183" t="s">
        <v>74</v>
      </c>
      <c r="F183" t="s">
        <v>85</v>
      </c>
      <c r="G183">
        <v>4.1900000000000004</v>
      </c>
      <c r="H183">
        <v>3.19</v>
      </c>
      <c r="I183" s="2" t="str">
        <f>_xlfn.XLOOKUP(F183,DeparaIMG!B:B,DeparaIMG!D:D,,0)</f>
        <v>BUDZERO350.png</v>
      </c>
      <c r="Q183" t="s">
        <v>99</v>
      </c>
      <c r="R183" t="s">
        <v>27</v>
      </c>
      <c r="S183" t="s">
        <v>74</v>
      </c>
      <c r="T183" t="s">
        <v>92</v>
      </c>
      <c r="U183">
        <v>6.39</v>
      </c>
      <c r="V183">
        <v>5.39</v>
      </c>
    </row>
    <row r="184" spans="1:22" x14ac:dyDescent="0.25">
      <c r="A184" s="2" t="s">
        <v>11</v>
      </c>
      <c r="B184" s="2" t="s">
        <v>64</v>
      </c>
      <c r="C184" t="s">
        <v>4</v>
      </c>
      <c r="D184" t="s">
        <v>27</v>
      </c>
      <c r="E184" t="s">
        <v>74</v>
      </c>
      <c r="F184" t="s">
        <v>85</v>
      </c>
      <c r="G184">
        <v>4.1900000000000004</v>
      </c>
      <c r="H184">
        <v>3.19</v>
      </c>
      <c r="I184" s="2" t="str">
        <f>_xlfn.XLOOKUP(F184,DeparaIMG!B:B,DeparaIMG!D:D,,0)</f>
        <v>BUDZERO350.png</v>
      </c>
      <c r="Q184" t="s">
        <v>100</v>
      </c>
      <c r="R184" t="s">
        <v>27</v>
      </c>
      <c r="S184" t="s">
        <v>74</v>
      </c>
      <c r="T184" t="s">
        <v>92</v>
      </c>
      <c r="U184">
        <v>6.39</v>
      </c>
      <c r="V184">
        <v>5.39</v>
      </c>
    </row>
    <row r="185" spans="1:22" x14ac:dyDescent="0.25">
      <c r="A185" s="2" t="s">
        <v>11</v>
      </c>
      <c r="B185" s="2" t="s">
        <v>64</v>
      </c>
      <c r="C185" t="s">
        <v>99</v>
      </c>
      <c r="D185" t="s">
        <v>27</v>
      </c>
      <c r="E185" t="s">
        <v>65</v>
      </c>
      <c r="F185" t="s">
        <v>67</v>
      </c>
      <c r="G185">
        <v>4.1900000000000004</v>
      </c>
      <c r="H185">
        <v>3.99</v>
      </c>
      <c r="I185" s="2" t="str">
        <f>_xlfn.XLOOKUP(F185,DeparaIMG!B:B,DeparaIMG!D:D,,0)</f>
        <v>SKZERO350.png</v>
      </c>
      <c r="Q185" t="s">
        <v>4</v>
      </c>
      <c r="R185" t="s">
        <v>26</v>
      </c>
      <c r="S185" t="s">
        <v>74</v>
      </c>
      <c r="T185" t="s">
        <v>93</v>
      </c>
      <c r="U185">
        <v>6.39</v>
      </c>
      <c r="V185">
        <v>5.69</v>
      </c>
    </row>
    <row r="186" spans="1:22" x14ac:dyDescent="0.25">
      <c r="A186" s="2" t="s">
        <v>11</v>
      </c>
      <c r="B186" s="2" t="s">
        <v>64</v>
      </c>
      <c r="C186" t="s">
        <v>100</v>
      </c>
      <c r="D186" t="s">
        <v>27</v>
      </c>
      <c r="E186" t="s">
        <v>65</v>
      </c>
      <c r="F186" t="s">
        <v>67</v>
      </c>
      <c r="G186">
        <v>4.1900000000000004</v>
      </c>
      <c r="H186">
        <v>3.99</v>
      </c>
      <c r="I186" s="2" t="str">
        <f>_xlfn.XLOOKUP(F186,DeparaIMG!B:B,DeparaIMG!D:D,,0)</f>
        <v>SKZERO350.png</v>
      </c>
      <c r="Q186" t="s">
        <v>4</v>
      </c>
      <c r="R186" t="s">
        <v>27</v>
      </c>
      <c r="S186" t="s">
        <v>74</v>
      </c>
      <c r="T186" t="s">
        <v>93</v>
      </c>
      <c r="U186">
        <v>6.39</v>
      </c>
      <c r="V186">
        <v>5.69</v>
      </c>
    </row>
    <row r="187" spans="1:22" x14ac:dyDescent="0.25">
      <c r="A187" s="2" t="s">
        <v>11</v>
      </c>
      <c r="B187" s="2" t="s">
        <v>64</v>
      </c>
      <c r="C187" t="s">
        <v>4</v>
      </c>
      <c r="D187" t="s">
        <v>27</v>
      </c>
      <c r="E187" t="s">
        <v>65</v>
      </c>
      <c r="F187" t="s">
        <v>67</v>
      </c>
      <c r="G187">
        <v>4.1900000000000004</v>
      </c>
      <c r="H187">
        <v>3.99</v>
      </c>
      <c r="I187" s="2" t="str">
        <f>_xlfn.XLOOKUP(F187,DeparaIMG!B:B,DeparaIMG!D:D,,0)</f>
        <v>SKZERO350.png</v>
      </c>
      <c r="Q187" t="s">
        <v>4</v>
      </c>
      <c r="R187" t="s">
        <v>26</v>
      </c>
      <c r="S187" t="s">
        <v>74</v>
      </c>
      <c r="T187" t="s">
        <v>92</v>
      </c>
      <c r="U187">
        <v>6.39</v>
      </c>
      <c r="V187">
        <v>5.39</v>
      </c>
    </row>
    <row r="188" spans="1:22" x14ac:dyDescent="0.25">
      <c r="A188" s="2" t="s">
        <v>11</v>
      </c>
      <c r="B188" s="2" t="s">
        <v>64</v>
      </c>
      <c r="C188" t="s">
        <v>101</v>
      </c>
      <c r="D188" t="s">
        <v>27</v>
      </c>
      <c r="E188" t="s">
        <v>65</v>
      </c>
      <c r="F188" t="s">
        <v>67</v>
      </c>
      <c r="G188">
        <v>4.1900000000000004</v>
      </c>
      <c r="H188">
        <v>4.09</v>
      </c>
      <c r="I188" s="2" t="str">
        <f>_xlfn.XLOOKUP(F188,DeparaIMG!B:B,DeparaIMG!D:D,,0)</f>
        <v>SKZERO350.png</v>
      </c>
      <c r="Q188" t="s">
        <v>4</v>
      </c>
      <c r="R188" t="s">
        <v>27</v>
      </c>
      <c r="S188" t="s">
        <v>74</v>
      </c>
      <c r="T188" t="s">
        <v>92</v>
      </c>
      <c r="U188">
        <v>6.39</v>
      </c>
      <c r="V188">
        <v>5.39</v>
      </c>
    </row>
    <row r="189" spans="1:22" x14ac:dyDescent="0.25">
      <c r="A189" s="2" t="s">
        <v>11</v>
      </c>
      <c r="B189" s="2" t="s">
        <v>64</v>
      </c>
      <c r="C189" t="s">
        <v>102</v>
      </c>
      <c r="D189" t="s">
        <v>27</v>
      </c>
      <c r="E189" t="s">
        <v>65</v>
      </c>
      <c r="F189" t="s">
        <v>67</v>
      </c>
      <c r="G189">
        <v>4.1900000000000004</v>
      </c>
      <c r="H189">
        <v>3.99</v>
      </c>
      <c r="I189" s="2" t="str">
        <f>_xlfn.XLOOKUP(F189,DeparaIMG!B:B,DeparaIMG!D:D,,0)</f>
        <v>SKZERO350.png</v>
      </c>
      <c r="Q189" t="s">
        <v>102</v>
      </c>
      <c r="R189" t="s">
        <v>27</v>
      </c>
      <c r="S189" t="s">
        <v>74</v>
      </c>
      <c r="T189" t="s">
        <v>92</v>
      </c>
      <c r="U189">
        <v>6.39</v>
      </c>
      <c r="V189">
        <v>5.39</v>
      </c>
    </row>
    <row r="190" spans="1:22" x14ac:dyDescent="0.25">
      <c r="A190" s="2" t="s">
        <v>11</v>
      </c>
      <c r="B190" s="2" t="s">
        <v>64</v>
      </c>
      <c r="C190" t="s">
        <v>29</v>
      </c>
      <c r="D190" t="s">
        <v>27</v>
      </c>
      <c r="E190" t="s">
        <v>65</v>
      </c>
      <c r="F190" t="s">
        <v>67</v>
      </c>
      <c r="G190">
        <v>4.1900000000000004</v>
      </c>
      <c r="H190">
        <v>3.99</v>
      </c>
      <c r="I190" s="2" t="str">
        <f>_xlfn.XLOOKUP(F190,DeparaIMG!B:B,DeparaIMG!D:D,,0)</f>
        <v>SKZERO350.png</v>
      </c>
      <c r="Q190" t="s">
        <v>29</v>
      </c>
      <c r="R190" t="s">
        <v>27</v>
      </c>
      <c r="S190" t="s">
        <v>74</v>
      </c>
      <c r="T190" t="s">
        <v>93</v>
      </c>
      <c r="U190">
        <v>6.39</v>
      </c>
      <c r="V190">
        <v>5.69</v>
      </c>
    </row>
    <row r="191" spans="1:22" x14ac:dyDescent="0.25">
      <c r="A191" s="2" t="s">
        <v>11</v>
      </c>
      <c r="B191" s="2" t="s">
        <v>64</v>
      </c>
      <c r="C191" t="s">
        <v>30</v>
      </c>
      <c r="D191" t="s">
        <v>27</v>
      </c>
      <c r="E191" t="s">
        <v>65</v>
      </c>
      <c r="F191" t="s">
        <v>67</v>
      </c>
      <c r="G191">
        <v>4.1900000000000004</v>
      </c>
      <c r="H191">
        <v>3.99</v>
      </c>
      <c r="I191" s="2" t="str">
        <f>_xlfn.XLOOKUP(F191,DeparaIMG!B:B,DeparaIMG!D:D,,0)</f>
        <v>SKZERO350.png</v>
      </c>
      <c r="Q191" t="s">
        <v>30</v>
      </c>
      <c r="R191" t="s">
        <v>27</v>
      </c>
      <c r="S191" t="s">
        <v>74</v>
      </c>
      <c r="T191" t="s">
        <v>93</v>
      </c>
      <c r="U191">
        <v>6.39</v>
      </c>
      <c r="V191">
        <v>5.69</v>
      </c>
    </row>
    <row r="192" spans="1:22" x14ac:dyDescent="0.25">
      <c r="A192" s="2" t="s">
        <v>11</v>
      </c>
      <c r="B192" s="2" t="s">
        <v>64</v>
      </c>
      <c r="C192" t="s">
        <v>99</v>
      </c>
      <c r="D192" t="s">
        <v>27</v>
      </c>
      <c r="E192" t="s">
        <v>65</v>
      </c>
      <c r="F192" t="s">
        <v>86</v>
      </c>
      <c r="G192">
        <v>4.29</v>
      </c>
      <c r="H192">
        <v>3.69</v>
      </c>
      <c r="I192" s="2" t="str">
        <f>_xlfn.XLOOKUP(F192,DeparaIMG!B:B,DeparaIMG!D:D,,0)</f>
        <v>STE269.png</v>
      </c>
      <c r="Q192" t="s">
        <v>99</v>
      </c>
      <c r="R192" t="s">
        <v>27</v>
      </c>
      <c r="S192" t="s">
        <v>74</v>
      </c>
      <c r="T192" t="s">
        <v>93</v>
      </c>
      <c r="U192">
        <v>6.39</v>
      </c>
      <c r="V192">
        <v>5.69</v>
      </c>
    </row>
    <row r="193" spans="1:22" x14ac:dyDescent="0.25">
      <c r="A193" s="2" t="s">
        <v>11</v>
      </c>
      <c r="B193" s="2" t="s">
        <v>64</v>
      </c>
      <c r="C193" t="s">
        <v>99</v>
      </c>
      <c r="D193" t="s">
        <v>26</v>
      </c>
      <c r="E193" t="s">
        <v>65</v>
      </c>
      <c r="F193" t="s">
        <v>86</v>
      </c>
      <c r="G193">
        <v>3.49</v>
      </c>
      <c r="H193">
        <v>3.49</v>
      </c>
      <c r="I193" s="2" t="str">
        <f>_xlfn.XLOOKUP(F193,DeparaIMG!B:B,DeparaIMG!D:D,,0)</f>
        <v>STE269.png</v>
      </c>
      <c r="Q193" t="s">
        <v>100</v>
      </c>
      <c r="R193" t="s">
        <v>27</v>
      </c>
      <c r="S193" t="s">
        <v>74</v>
      </c>
      <c r="T193" t="s">
        <v>93</v>
      </c>
      <c r="U193">
        <v>6.39</v>
      </c>
      <c r="V193">
        <v>5.69</v>
      </c>
    </row>
    <row r="194" spans="1:22" x14ac:dyDescent="0.25">
      <c r="A194" s="2" t="s">
        <v>11</v>
      </c>
      <c r="B194" s="2" t="s">
        <v>64</v>
      </c>
      <c r="C194" t="s">
        <v>100</v>
      </c>
      <c r="D194" t="s">
        <v>26</v>
      </c>
      <c r="E194" t="s">
        <v>65</v>
      </c>
      <c r="F194" t="s">
        <v>86</v>
      </c>
      <c r="G194">
        <v>3.49</v>
      </c>
      <c r="H194">
        <v>3.49</v>
      </c>
      <c r="I194" s="2" t="str">
        <f>_xlfn.XLOOKUP(F194,DeparaIMG!B:B,DeparaIMG!D:D,,0)</f>
        <v>STE269.png</v>
      </c>
      <c r="Q194" t="s">
        <v>102</v>
      </c>
      <c r="R194" t="s">
        <v>27</v>
      </c>
      <c r="S194" t="s">
        <v>74</v>
      </c>
      <c r="T194" t="s">
        <v>93</v>
      </c>
      <c r="U194">
        <v>6.39</v>
      </c>
      <c r="V194">
        <v>5.69</v>
      </c>
    </row>
    <row r="195" spans="1:22" x14ac:dyDescent="0.25">
      <c r="A195" s="2" t="s">
        <v>11</v>
      </c>
      <c r="B195" s="2" t="s">
        <v>64</v>
      </c>
      <c r="C195" t="s">
        <v>102</v>
      </c>
      <c r="D195" t="s">
        <v>26</v>
      </c>
      <c r="E195" t="s">
        <v>65</v>
      </c>
      <c r="F195" t="s">
        <v>86</v>
      </c>
      <c r="G195">
        <v>3.49</v>
      </c>
      <c r="H195">
        <v>3.49</v>
      </c>
      <c r="I195" s="2" t="str">
        <f>_xlfn.XLOOKUP(F195,DeparaIMG!B:B,DeparaIMG!D:D,,0)</f>
        <v>STE269.png</v>
      </c>
      <c r="Q195" t="s">
        <v>101</v>
      </c>
      <c r="R195" t="s">
        <v>27</v>
      </c>
      <c r="S195" t="s">
        <v>74</v>
      </c>
      <c r="T195" t="s">
        <v>93</v>
      </c>
      <c r="U195">
        <v>6.39</v>
      </c>
      <c r="V195">
        <v>5.69</v>
      </c>
    </row>
    <row r="196" spans="1:22" x14ac:dyDescent="0.25">
      <c r="A196" s="2" t="s">
        <v>11</v>
      </c>
      <c r="B196" s="2" t="s">
        <v>64</v>
      </c>
      <c r="C196" t="s">
        <v>101</v>
      </c>
      <c r="D196" t="s">
        <v>26</v>
      </c>
      <c r="E196" t="s">
        <v>65</v>
      </c>
      <c r="F196" t="s">
        <v>86</v>
      </c>
      <c r="G196">
        <v>3.49</v>
      </c>
      <c r="H196">
        <v>3.49</v>
      </c>
      <c r="I196" s="2" t="str">
        <f>_xlfn.XLOOKUP(F196,DeparaIMG!B:B,DeparaIMG!D:D,,0)</f>
        <v>STE269.png</v>
      </c>
      <c r="Q196" t="s">
        <v>101</v>
      </c>
      <c r="R196" t="s">
        <v>27</v>
      </c>
      <c r="S196" t="s">
        <v>74</v>
      </c>
      <c r="T196" t="s">
        <v>92</v>
      </c>
      <c r="U196">
        <v>6.39</v>
      </c>
      <c r="V196">
        <v>5.39</v>
      </c>
    </row>
    <row r="197" spans="1:22" x14ac:dyDescent="0.25">
      <c r="A197" s="2" t="s">
        <v>11</v>
      </c>
      <c r="B197" s="2" t="s">
        <v>64</v>
      </c>
      <c r="C197" t="s">
        <v>100</v>
      </c>
      <c r="D197" t="s">
        <v>27</v>
      </c>
      <c r="E197" t="s">
        <v>65</v>
      </c>
      <c r="F197" t="s">
        <v>86</v>
      </c>
      <c r="G197">
        <v>4.29</v>
      </c>
      <c r="H197">
        <v>3.69</v>
      </c>
      <c r="I197" s="2" t="str">
        <f>_xlfn.XLOOKUP(F197,DeparaIMG!B:B,DeparaIMG!D:D,,0)</f>
        <v>STE269.png</v>
      </c>
      <c r="Q197" t="s">
        <v>29</v>
      </c>
      <c r="R197" t="s">
        <v>26</v>
      </c>
      <c r="S197" t="s">
        <v>65</v>
      </c>
      <c r="T197" t="s">
        <v>94</v>
      </c>
      <c r="U197">
        <v>6.69</v>
      </c>
      <c r="V197">
        <v>5.99</v>
      </c>
    </row>
    <row r="198" spans="1:22" x14ac:dyDescent="0.25">
      <c r="A198" s="2" t="s">
        <v>11</v>
      </c>
      <c r="B198" s="2" t="s">
        <v>64</v>
      </c>
      <c r="C198" t="s">
        <v>102</v>
      </c>
      <c r="D198" t="s">
        <v>27</v>
      </c>
      <c r="E198" t="s">
        <v>65</v>
      </c>
      <c r="F198" t="s">
        <v>86</v>
      </c>
      <c r="G198">
        <v>4.29</v>
      </c>
      <c r="H198">
        <v>3.69</v>
      </c>
      <c r="I198" s="2" t="str">
        <f>_xlfn.XLOOKUP(F198,DeparaIMG!B:B,DeparaIMG!D:D,,0)</f>
        <v>STE269.png</v>
      </c>
      <c r="Q198" t="s">
        <v>29</v>
      </c>
      <c r="R198" t="s">
        <v>27</v>
      </c>
      <c r="S198" t="s">
        <v>65</v>
      </c>
      <c r="T198" t="s">
        <v>94</v>
      </c>
      <c r="U198">
        <v>6.69</v>
      </c>
      <c r="V198">
        <v>5.99</v>
      </c>
    </row>
    <row r="199" spans="1:22" x14ac:dyDescent="0.25">
      <c r="A199" s="2" t="s">
        <v>11</v>
      </c>
      <c r="B199" s="2" t="s">
        <v>64</v>
      </c>
      <c r="C199" t="s">
        <v>101</v>
      </c>
      <c r="D199" t="s">
        <v>27</v>
      </c>
      <c r="E199" t="s">
        <v>65</v>
      </c>
      <c r="F199" t="s">
        <v>86</v>
      </c>
      <c r="G199">
        <v>4.29</v>
      </c>
      <c r="H199">
        <v>3.69</v>
      </c>
      <c r="I199" s="2" t="str">
        <f>_xlfn.XLOOKUP(F199,DeparaIMG!B:B,DeparaIMG!D:D,,0)</f>
        <v>STE269.png</v>
      </c>
      <c r="Q199" t="s">
        <v>30</v>
      </c>
      <c r="R199" t="s">
        <v>26</v>
      </c>
      <c r="S199" t="s">
        <v>65</v>
      </c>
      <c r="T199" t="s">
        <v>94</v>
      </c>
      <c r="U199">
        <v>6.69</v>
      </c>
      <c r="V199">
        <v>5.99</v>
      </c>
    </row>
    <row r="200" spans="1:22" x14ac:dyDescent="0.25">
      <c r="A200" s="2" t="s">
        <v>11</v>
      </c>
      <c r="B200" s="2" t="s">
        <v>64</v>
      </c>
      <c r="C200" t="s">
        <v>4</v>
      </c>
      <c r="D200" t="s">
        <v>27</v>
      </c>
      <c r="E200" t="s">
        <v>74</v>
      </c>
      <c r="F200" t="s">
        <v>87</v>
      </c>
      <c r="G200">
        <v>4.29</v>
      </c>
      <c r="H200">
        <v>3.69</v>
      </c>
      <c r="I200" s="2" t="str">
        <f>_xlfn.XLOOKUP(F200,DeparaIMG!B:B,DeparaIMG!D:D,,0)</f>
        <v>BUD350.png</v>
      </c>
      <c r="Q200" t="s">
        <v>30</v>
      </c>
      <c r="R200" t="s">
        <v>27</v>
      </c>
      <c r="S200" t="s">
        <v>65</v>
      </c>
      <c r="T200" t="s">
        <v>94</v>
      </c>
      <c r="U200">
        <v>6.69</v>
      </c>
      <c r="V200">
        <v>5.99</v>
      </c>
    </row>
    <row r="201" spans="1:22" x14ac:dyDescent="0.25">
      <c r="A201" s="2" t="s">
        <v>11</v>
      </c>
      <c r="B201" s="2" t="s">
        <v>64</v>
      </c>
      <c r="C201" t="s">
        <v>29</v>
      </c>
      <c r="D201" t="s">
        <v>26</v>
      </c>
      <c r="E201" t="s">
        <v>74</v>
      </c>
      <c r="F201" t="s">
        <v>85</v>
      </c>
      <c r="G201">
        <v>4.49</v>
      </c>
      <c r="H201">
        <v>3.49</v>
      </c>
      <c r="I201" s="2" t="str">
        <f>_xlfn.XLOOKUP(F201,DeparaIMG!B:B,DeparaIMG!D:D,,0)</f>
        <v>BUDZERO350.png</v>
      </c>
      <c r="Q201" t="s">
        <v>99</v>
      </c>
      <c r="R201" t="s">
        <v>26</v>
      </c>
      <c r="S201" t="s">
        <v>65</v>
      </c>
      <c r="T201" t="s">
        <v>94</v>
      </c>
      <c r="U201">
        <v>6.69</v>
      </c>
      <c r="V201">
        <v>5.99</v>
      </c>
    </row>
    <row r="202" spans="1:22" x14ac:dyDescent="0.25">
      <c r="A202" s="2" t="s">
        <v>11</v>
      </c>
      <c r="B202" s="2" t="s">
        <v>64</v>
      </c>
      <c r="C202" t="s">
        <v>29</v>
      </c>
      <c r="D202" t="s">
        <v>27</v>
      </c>
      <c r="E202" t="s">
        <v>74</v>
      </c>
      <c r="F202" t="s">
        <v>87</v>
      </c>
      <c r="G202">
        <v>4.49</v>
      </c>
      <c r="H202">
        <v>3.89</v>
      </c>
      <c r="I202" s="2" t="str">
        <f>_xlfn.XLOOKUP(F202,DeparaIMG!B:B,DeparaIMG!D:D,,0)</f>
        <v>BUD350.png</v>
      </c>
      <c r="Q202" t="s">
        <v>99</v>
      </c>
      <c r="R202" t="s">
        <v>27</v>
      </c>
      <c r="S202" t="s">
        <v>65</v>
      </c>
      <c r="T202" t="s">
        <v>94</v>
      </c>
      <c r="U202">
        <v>6.69</v>
      </c>
      <c r="V202">
        <v>5.99</v>
      </c>
    </row>
    <row r="203" spans="1:22" x14ac:dyDescent="0.25">
      <c r="A203" s="2" t="s">
        <v>11</v>
      </c>
      <c r="B203" s="2" t="s">
        <v>64</v>
      </c>
      <c r="C203" t="s">
        <v>29</v>
      </c>
      <c r="D203" t="s">
        <v>27</v>
      </c>
      <c r="E203" t="s">
        <v>74</v>
      </c>
      <c r="F203" t="s">
        <v>85</v>
      </c>
      <c r="G203">
        <v>4.49</v>
      </c>
      <c r="H203">
        <v>3.49</v>
      </c>
      <c r="I203" s="2" t="str">
        <f>_xlfn.XLOOKUP(F203,DeparaIMG!B:B,DeparaIMG!D:D,,0)</f>
        <v>BUDZERO350.png</v>
      </c>
      <c r="Q203" t="s">
        <v>100</v>
      </c>
      <c r="R203" t="s">
        <v>26</v>
      </c>
      <c r="S203" t="s">
        <v>65</v>
      </c>
      <c r="T203" t="s">
        <v>94</v>
      </c>
      <c r="U203">
        <v>6.69</v>
      </c>
      <c r="V203">
        <v>5.99</v>
      </c>
    </row>
    <row r="204" spans="1:22" x14ac:dyDescent="0.25">
      <c r="A204" s="2" t="s">
        <v>11</v>
      </c>
      <c r="B204" s="2" t="s">
        <v>64</v>
      </c>
      <c r="C204" t="s">
        <v>30</v>
      </c>
      <c r="D204" t="s">
        <v>26</v>
      </c>
      <c r="E204" t="s">
        <v>74</v>
      </c>
      <c r="F204" t="s">
        <v>85</v>
      </c>
      <c r="G204">
        <v>4.49</v>
      </c>
      <c r="H204">
        <v>3.49</v>
      </c>
      <c r="I204" s="2" t="str">
        <f>_xlfn.XLOOKUP(F204,DeparaIMG!B:B,DeparaIMG!D:D,,0)</f>
        <v>BUDZERO350.png</v>
      </c>
      <c r="Q204" t="s">
        <v>100</v>
      </c>
      <c r="R204" t="s">
        <v>27</v>
      </c>
      <c r="S204" t="s">
        <v>65</v>
      </c>
      <c r="T204" t="s">
        <v>94</v>
      </c>
      <c r="U204">
        <v>6.69</v>
      </c>
      <c r="V204">
        <v>5.99</v>
      </c>
    </row>
    <row r="205" spans="1:22" x14ac:dyDescent="0.25">
      <c r="A205" s="2" t="s">
        <v>11</v>
      </c>
      <c r="B205" s="2" t="s">
        <v>64</v>
      </c>
      <c r="C205" t="s">
        <v>30</v>
      </c>
      <c r="D205" t="s">
        <v>27</v>
      </c>
      <c r="E205" t="s">
        <v>74</v>
      </c>
      <c r="F205" t="s">
        <v>87</v>
      </c>
      <c r="G205">
        <v>4.49</v>
      </c>
      <c r="H205">
        <v>3.89</v>
      </c>
      <c r="I205" s="2" t="str">
        <f>_xlfn.XLOOKUP(F205,DeparaIMG!B:B,DeparaIMG!D:D,,0)</f>
        <v>BUD350.png</v>
      </c>
      <c r="Q205" t="s">
        <v>4</v>
      </c>
      <c r="R205" t="s">
        <v>26</v>
      </c>
      <c r="S205" t="s">
        <v>65</v>
      </c>
      <c r="T205" t="s">
        <v>94</v>
      </c>
      <c r="U205">
        <v>6.69</v>
      </c>
      <c r="V205">
        <v>5.99</v>
      </c>
    </row>
    <row r="206" spans="1:22" x14ac:dyDescent="0.25">
      <c r="A206" s="2" t="s">
        <v>11</v>
      </c>
      <c r="B206" s="2" t="s">
        <v>64</v>
      </c>
      <c r="C206" t="s">
        <v>30</v>
      </c>
      <c r="D206" t="s">
        <v>27</v>
      </c>
      <c r="E206" t="s">
        <v>74</v>
      </c>
      <c r="F206" t="s">
        <v>85</v>
      </c>
      <c r="G206">
        <v>4.49</v>
      </c>
      <c r="H206">
        <v>3.49</v>
      </c>
      <c r="I206" s="2" t="str">
        <f>_xlfn.XLOOKUP(F206,DeparaIMG!B:B,DeparaIMG!D:D,,0)</f>
        <v>BUDZERO350.png</v>
      </c>
      <c r="Q206" t="s">
        <v>4</v>
      </c>
      <c r="R206" t="s">
        <v>27</v>
      </c>
      <c r="S206" t="s">
        <v>65</v>
      </c>
      <c r="T206" t="s">
        <v>94</v>
      </c>
      <c r="U206">
        <v>6.69</v>
      </c>
      <c r="V206">
        <v>5.99</v>
      </c>
    </row>
    <row r="207" spans="1:22" x14ac:dyDescent="0.25">
      <c r="A207" s="2" t="s">
        <v>11</v>
      </c>
      <c r="B207" s="2" t="s">
        <v>64</v>
      </c>
      <c r="C207" t="s">
        <v>99</v>
      </c>
      <c r="D207" t="s">
        <v>26</v>
      </c>
      <c r="E207" t="s">
        <v>74</v>
      </c>
      <c r="F207" t="s">
        <v>85</v>
      </c>
      <c r="G207">
        <v>4.49</v>
      </c>
      <c r="H207">
        <v>3.49</v>
      </c>
      <c r="I207" s="2" t="str">
        <f>_xlfn.XLOOKUP(F207,DeparaIMG!B:B,DeparaIMG!D:D,,0)</f>
        <v>BUDZERO350.png</v>
      </c>
      <c r="Q207" t="s">
        <v>102</v>
      </c>
      <c r="R207" t="s">
        <v>27</v>
      </c>
      <c r="S207" t="s">
        <v>65</v>
      </c>
      <c r="T207" t="s">
        <v>94</v>
      </c>
      <c r="U207">
        <v>6.69</v>
      </c>
      <c r="V207">
        <v>5.99</v>
      </c>
    </row>
    <row r="208" spans="1:22" x14ac:dyDescent="0.25">
      <c r="A208" s="2" t="s">
        <v>11</v>
      </c>
      <c r="B208" s="2" t="s">
        <v>64</v>
      </c>
      <c r="C208" t="s">
        <v>99</v>
      </c>
      <c r="D208" t="s">
        <v>27</v>
      </c>
      <c r="E208" t="s">
        <v>74</v>
      </c>
      <c r="F208" t="s">
        <v>85</v>
      </c>
      <c r="G208">
        <v>4.49</v>
      </c>
      <c r="H208">
        <v>3.49</v>
      </c>
      <c r="I208" s="2" t="str">
        <f>_xlfn.XLOOKUP(F208,DeparaIMG!B:B,DeparaIMG!D:D,,0)</f>
        <v>BUDZERO350.png</v>
      </c>
      <c r="Q208" t="s">
        <v>101</v>
      </c>
      <c r="R208" t="s">
        <v>27</v>
      </c>
      <c r="S208" t="s">
        <v>65</v>
      </c>
      <c r="T208" t="s">
        <v>94</v>
      </c>
      <c r="U208">
        <v>6.69</v>
      </c>
      <c r="V208">
        <v>5.99</v>
      </c>
    </row>
    <row r="209" spans="1:22" x14ac:dyDescent="0.25">
      <c r="A209" s="2" t="s">
        <v>11</v>
      </c>
      <c r="B209" s="2" t="s">
        <v>64</v>
      </c>
      <c r="C209" t="s">
        <v>100</v>
      </c>
      <c r="D209" t="s">
        <v>26</v>
      </c>
      <c r="E209" t="s">
        <v>74</v>
      </c>
      <c r="F209" t="s">
        <v>85</v>
      </c>
      <c r="G209">
        <v>4.49</v>
      </c>
      <c r="H209">
        <v>3.49</v>
      </c>
      <c r="I209" s="2" t="str">
        <f>_xlfn.XLOOKUP(F209,DeparaIMG!B:B,DeparaIMG!D:D,,0)</f>
        <v>BUDZERO350.png</v>
      </c>
      <c r="Q209" t="s">
        <v>101</v>
      </c>
      <c r="R209" t="s">
        <v>26</v>
      </c>
      <c r="S209" t="s">
        <v>65</v>
      </c>
      <c r="T209" t="s">
        <v>94</v>
      </c>
      <c r="U209">
        <v>6.69</v>
      </c>
      <c r="V209">
        <v>5.99</v>
      </c>
    </row>
    <row r="210" spans="1:22" x14ac:dyDescent="0.25">
      <c r="A210" s="2" t="s">
        <v>11</v>
      </c>
      <c r="B210" s="2" t="s">
        <v>64</v>
      </c>
      <c r="C210" t="s">
        <v>100</v>
      </c>
      <c r="D210" t="s">
        <v>27</v>
      </c>
      <c r="E210" t="s">
        <v>74</v>
      </c>
      <c r="F210" t="s">
        <v>85</v>
      </c>
      <c r="G210">
        <v>4.49</v>
      </c>
      <c r="H210">
        <v>3.49</v>
      </c>
      <c r="I210" s="2" t="str">
        <f>_xlfn.XLOOKUP(F210,DeparaIMG!B:B,DeparaIMG!D:D,,0)</f>
        <v>BUDZERO350.png</v>
      </c>
      <c r="Q210" t="s">
        <v>102</v>
      </c>
      <c r="R210" t="s">
        <v>26</v>
      </c>
      <c r="S210" t="s">
        <v>65</v>
      </c>
      <c r="T210" t="s">
        <v>94</v>
      </c>
      <c r="U210">
        <v>6.69</v>
      </c>
      <c r="V210">
        <v>5.99</v>
      </c>
    </row>
    <row r="211" spans="1:22" x14ac:dyDescent="0.25">
      <c r="A211" s="2" t="s">
        <v>11</v>
      </c>
      <c r="B211" s="2" t="s">
        <v>64</v>
      </c>
      <c r="C211" t="s">
        <v>101</v>
      </c>
      <c r="D211" t="s">
        <v>27</v>
      </c>
      <c r="E211" t="s">
        <v>74</v>
      </c>
      <c r="F211" t="s">
        <v>85</v>
      </c>
      <c r="G211">
        <v>4.49</v>
      </c>
      <c r="H211">
        <v>3.49</v>
      </c>
      <c r="I211" s="2" t="str">
        <f>_xlfn.XLOOKUP(F211,DeparaIMG!B:B,DeparaIMG!D:D,,0)</f>
        <v>BUDZERO350.png</v>
      </c>
      <c r="Q211" t="s">
        <v>103</v>
      </c>
      <c r="R211" t="s">
        <v>26</v>
      </c>
      <c r="S211" t="s">
        <v>65</v>
      </c>
      <c r="T211" t="s">
        <v>95</v>
      </c>
      <c r="U211">
        <v>6.99</v>
      </c>
      <c r="V211">
        <v>6.59</v>
      </c>
    </row>
    <row r="212" spans="1:22" x14ac:dyDescent="0.25">
      <c r="A212" s="2" t="s">
        <v>11</v>
      </c>
      <c r="B212" s="2" t="s">
        <v>64</v>
      </c>
      <c r="C212" t="s">
        <v>101</v>
      </c>
      <c r="D212" t="s">
        <v>26</v>
      </c>
      <c r="E212" t="s">
        <v>74</v>
      </c>
      <c r="F212" t="s">
        <v>85</v>
      </c>
      <c r="G212">
        <v>4.49</v>
      </c>
      <c r="H212">
        <v>3.49</v>
      </c>
      <c r="I212" s="2" t="str">
        <f>_xlfn.XLOOKUP(F212,DeparaIMG!B:B,DeparaIMG!D:D,,0)</f>
        <v>BUDZERO350.png</v>
      </c>
      <c r="Q212" t="s">
        <v>4</v>
      </c>
      <c r="R212" t="s">
        <v>26</v>
      </c>
      <c r="S212" t="s">
        <v>65</v>
      </c>
      <c r="T212" t="s">
        <v>95</v>
      </c>
      <c r="U212">
        <v>6.99</v>
      </c>
      <c r="V212">
        <v>6.59</v>
      </c>
    </row>
    <row r="213" spans="1:22" x14ac:dyDescent="0.25">
      <c r="A213" s="2" t="s">
        <v>11</v>
      </c>
      <c r="B213" s="2" t="s">
        <v>64</v>
      </c>
      <c r="C213" t="s">
        <v>102</v>
      </c>
      <c r="D213" t="s">
        <v>26</v>
      </c>
      <c r="E213" t="s">
        <v>74</v>
      </c>
      <c r="F213" t="s">
        <v>85</v>
      </c>
      <c r="G213">
        <v>4.49</v>
      </c>
      <c r="H213">
        <v>3.49</v>
      </c>
      <c r="I213" s="2" t="str">
        <f>_xlfn.XLOOKUP(F213,DeparaIMG!B:B,DeparaIMG!D:D,,0)</f>
        <v>BUDZERO350.png</v>
      </c>
      <c r="Q213" t="s">
        <v>101</v>
      </c>
      <c r="R213" t="s">
        <v>26</v>
      </c>
      <c r="S213" t="s">
        <v>65</v>
      </c>
      <c r="T213" t="s">
        <v>95</v>
      </c>
      <c r="U213">
        <v>6.99</v>
      </c>
      <c r="V213">
        <v>6.59</v>
      </c>
    </row>
    <row r="214" spans="1:22" x14ac:dyDescent="0.25">
      <c r="A214" s="2" t="s">
        <v>11</v>
      </c>
      <c r="B214" s="2" t="s">
        <v>64</v>
      </c>
      <c r="C214" t="s">
        <v>102</v>
      </c>
      <c r="D214" t="s">
        <v>27</v>
      </c>
      <c r="E214" t="s">
        <v>74</v>
      </c>
      <c r="F214" t="s">
        <v>85</v>
      </c>
      <c r="G214">
        <v>4.49</v>
      </c>
      <c r="H214">
        <v>3.49</v>
      </c>
      <c r="I214" s="2" t="str">
        <f>_xlfn.XLOOKUP(F214,DeparaIMG!B:B,DeparaIMG!D:D,,0)</f>
        <v>BUDZERO350.png</v>
      </c>
      <c r="Q214" t="s">
        <v>29</v>
      </c>
      <c r="R214" t="s">
        <v>26</v>
      </c>
      <c r="S214" t="s">
        <v>65</v>
      </c>
      <c r="T214" t="s">
        <v>95</v>
      </c>
      <c r="U214">
        <v>6.99</v>
      </c>
      <c r="V214">
        <v>6.59</v>
      </c>
    </row>
    <row r="215" spans="1:22" x14ac:dyDescent="0.25">
      <c r="A215" s="2" t="s">
        <v>11</v>
      </c>
      <c r="B215" s="2" t="s">
        <v>64</v>
      </c>
      <c r="C215" t="s">
        <v>99</v>
      </c>
      <c r="D215" t="s">
        <v>27</v>
      </c>
      <c r="E215" t="s">
        <v>65</v>
      </c>
      <c r="F215" t="s">
        <v>88</v>
      </c>
      <c r="G215">
        <v>4.6900000000000004</v>
      </c>
      <c r="H215">
        <v>4.1900000000000004</v>
      </c>
      <c r="I215" s="2" t="str">
        <f>_xlfn.XLOOKUP(F215,DeparaIMG!B:B,DeparaIMG!D:D,,0)</f>
        <v>COR269.png</v>
      </c>
      <c r="Q215" t="s">
        <v>30</v>
      </c>
      <c r="R215" t="s">
        <v>26</v>
      </c>
      <c r="S215" t="s">
        <v>65</v>
      </c>
      <c r="T215" t="s">
        <v>95</v>
      </c>
      <c r="U215">
        <v>6.99</v>
      </c>
      <c r="V215">
        <v>6.59</v>
      </c>
    </row>
    <row r="216" spans="1:22" x14ac:dyDescent="0.25">
      <c r="A216" s="2" t="s">
        <v>11</v>
      </c>
      <c r="B216" s="2" t="s">
        <v>64</v>
      </c>
      <c r="C216" t="s">
        <v>100</v>
      </c>
      <c r="D216" t="s">
        <v>27</v>
      </c>
      <c r="E216" t="s">
        <v>65</v>
      </c>
      <c r="F216" t="s">
        <v>88</v>
      </c>
      <c r="G216">
        <v>4.6900000000000004</v>
      </c>
      <c r="H216">
        <v>4.1900000000000004</v>
      </c>
      <c r="I216" s="2" t="str">
        <f>_xlfn.XLOOKUP(F216,DeparaIMG!B:B,DeparaIMG!D:D,,0)</f>
        <v>COR269.png</v>
      </c>
      <c r="Q216" t="s">
        <v>100</v>
      </c>
      <c r="R216" t="s">
        <v>26</v>
      </c>
      <c r="S216" t="s">
        <v>65</v>
      </c>
      <c r="T216" t="s">
        <v>95</v>
      </c>
      <c r="U216">
        <v>6.99</v>
      </c>
      <c r="V216">
        <v>6.59</v>
      </c>
    </row>
    <row r="217" spans="1:22" x14ac:dyDescent="0.25">
      <c r="A217" s="2" t="s">
        <v>11</v>
      </c>
      <c r="B217" s="2" t="s">
        <v>64</v>
      </c>
      <c r="C217" t="s">
        <v>102</v>
      </c>
      <c r="D217" t="s">
        <v>27</v>
      </c>
      <c r="E217" t="s">
        <v>65</v>
      </c>
      <c r="F217" t="s">
        <v>88</v>
      </c>
      <c r="G217">
        <v>4.6900000000000004</v>
      </c>
      <c r="H217">
        <v>4.1900000000000004</v>
      </c>
      <c r="I217" s="2" t="str">
        <f>_xlfn.XLOOKUP(F217,DeparaIMG!B:B,DeparaIMG!D:D,,0)</f>
        <v>COR269.png</v>
      </c>
      <c r="Q217" t="s">
        <v>99</v>
      </c>
      <c r="R217" t="s">
        <v>26</v>
      </c>
      <c r="S217" t="s">
        <v>65</v>
      </c>
      <c r="T217" t="s">
        <v>95</v>
      </c>
      <c r="U217">
        <v>6.99</v>
      </c>
      <c r="V217">
        <v>6.59</v>
      </c>
    </row>
    <row r="218" spans="1:22" x14ac:dyDescent="0.25">
      <c r="A218" s="2" t="s">
        <v>11</v>
      </c>
      <c r="B218" s="2" t="s">
        <v>64</v>
      </c>
      <c r="C218" t="s">
        <v>101</v>
      </c>
      <c r="D218" t="s">
        <v>27</v>
      </c>
      <c r="E218" t="s">
        <v>65</v>
      </c>
      <c r="F218" t="s">
        <v>88</v>
      </c>
      <c r="G218">
        <v>4.6900000000000004</v>
      </c>
      <c r="H218">
        <v>4.1900000000000004</v>
      </c>
      <c r="I218" s="2" t="str">
        <f>_xlfn.XLOOKUP(F218,DeparaIMG!B:B,DeparaIMG!D:D,,0)</f>
        <v>COR269.png</v>
      </c>
      <c r="Q218" t="s">
        <v>103</v>
      </c>
      <c r="R218" t="s">
        <v>27</v>
      </c>
      <c r="S218" t="s">
        <v>65</v>
      </c>
      <c r="T218" t="s">
        <v>95</v>
      </c>
      <c r="U218">
        <v>6.99</v>
      </c>
      <c r="V218">
        <v>6.59</v>
      </c>
    </row>
    <row r="219" spans="1:22" x14ac:dyDescent="0.25">
      <c r="A219" s="2" t="s">
        <v>11</v>
      </c>
      <c r="B219" s="2" t="s">
        <v>64</v>
      </c>
      <c r="C219" t="s">
        <v>29</v>
      </c>
      <c r="D219" t="s">
        <v>27</v>
      </c>
      <c r="E219" t="s">
        <v>65</v>
      </c>
      <c r="F219" t="s">
        <v>68</v>
      </c>
      <c r="G219">
        <v>4.49</v>
      </c>
      <c r="H219">
        <v>4.49</v>
      </c>
      <c r="I219" s="2" t="str">
        <f>_xlfn.XLOOKUP(F219,DeparaIMG!B:B,DeparaIMG!D:D,,0)</f>
        <v>STE350.png</v>
      </c>
      <c r="Q219" t="s">
        <v>4</v>
      </c>
      <c r="R219" t="s">
        <v>27</v>
      </c>
      <c r="S219" t="s">
        <v>65</v>
      </c>
      <c r="T219" t="s">
        <v>95</v>
      </c>
      <c r="U219">
        <v>6.99</v>
      </c>
      <c r="V219">
        <v>6.59</v>
      </c>
    </row>
    <row r="220" spans="1:22" x14ac:dyDescent="0.25">
      <c r="A220" s="2" t="s">
        <v>11</v>
      </c>
      <c r="B220" s="2" t="s">
        <v>64</v>
      </c>
      <c r="C220" t="s">
        <v>30</v>
      </c>
      <c r="D220" t="s">
        <v>27</v>
      </c>
      <c r="E220" t="s">
        <v>65</v>
      </c>
      <c r="F220" t="s">
        <v>68</v>
      </c>
      <c r="G220">
        <v>5.49</v>
      </c>
      <c r="H220">
        <v>4.6900000000000004</v>
      </c>
      <c r="I220" s="2" t="str">
        <f>_xlfn.XLOOKUP(F220,DeparaIMG!B:B,DeparaIMG!D:D,,0)</f>
        <v>STE350.png</v>
      </c>
      <c r="Q220" t="s">
        <v>101</v>
      </c>
      <c r="R220" t="s">
        <v>27</v>
      </c>
      <c r="S220" t="s">
        <v>65</v>
      </c>
      <c r="T220" t="s">
        <v>95</v>
      </c>
      <c r="U220">
        <v>6.99</v>
      </c>
      <c r="V220">
        <v>6.59</v>
      </c>
    </row>
    <row r="221" spans="1:22" x14ac:dyDescent="0.25">
      <c r="A221" s="2" t="s">
        <v>11</v>
      </c>
      <c r="B221" s="2" t="s">
        <v>64</v>
      </c>
      <c r="C221" t="s">
        <v>29</v>
      </c>
      <c r="D221" t="s">
        <v>26</v>
      </c>
      <c r="E221" t="s">
        <v>74</v>
      </c>
      <c r="F221" t="s">
        <v>89</v>
      </c>
      <c r="G221">
        <v>5.49</v>
      </c>
      <c r="H221">
        <v>4.99</v>
      </c>
      <c r="I221" s="2" t="str">
        <f>_xlfn.XLOOKUP(F221,DeparaIMG!B:B,DeparaIMG!D:D,,0)</f>
        <v>MIC350.png</v>
      </c>
      <c r="Q221" t="s">
        <v>29</v>
      </c>
      <c r="R221" t="s">
        <v>27</v>
      </c>
      <c r="S221" t="s">
        <v>65</v>
      </c>
      <c r="T221" t="s">
        <v>95</v>
      </c>
      <c r="U221">
        <v>6.99</v>
      </c>
      <c r="V221">
        <v>6.59</v>
      </c>
    </row>
    <row r="222" spans="1:22" x14ac:dyDescent="0.25">
      <c r="A222" s="2" t="s">
        <v>11</v>
      </c>
      <c r="B222" s="2" t="s">
        <v>64</v>
      </c>
      <c r="C222" t="s">
        <v>29</v>
      </c>
      <c r="D222" t="s">
        <v>27</v>
      </c>
      <c r="E222" t="s">
        <v>74</v>
      </c>
      <c r="F222" t="s">
        <v>89</v>
      </c>
      <c r="G222">
        <v>5.49</v>
      </c>
      <c r="H222">
        <v>4.99</v>
      </c>
      <c r="I222" s="2" t="str">
        <f>_xlfn.XLOOKUP(F222,DeparaIMG!B:B,DeparaIMG!D:D,,0)</f>
        <v>MIC350.png</v>
      </c>
      <c r="Q222" t="s">
        <v>30</v>
      </c>
      <c r="R222" t="s">
        <v>27</v>
      </c>
      <c r="S222" t="s">
        <v>65</v>
      </c>
      <c r="T222" t="s">
        <v>95</v>
      </c>
      <c r="U222">
        <v>6.99</v>
      </c>
      <c r="V222">
        <v>6.59</v>
      </c>
    </row>
    <row r="223" spans="1:22" x14ac:dyDescent="0.25">
      <c r="A223" s="2" t="s">
        <v>11</v>
      </c>
      <c r="B223" s="2" t="s">
        <v>64</v>
      </c>
      <c r="C223" t="s">
        <v>30</v>
      </c>
      <c r="D223" t="s">
        <v>26</v>
      </c>
      <c r="E223" t="s">
        <v>74</v>
      </c>
      <c r="F223" t="s">
        <v>89</v>
      </c>
      <c r="G223">
        <v>5.49</v>
      </c>
      <c r="H223">
        <v>4.99</v>
      </c>
      <c r="I223" s="2" t="str">
        <f>_xlfn.XLOOKUP(F223,DeparaIMG!B:B,DeparaIMG!D:D,,0)</f>
        <v>MIC350.png</v>
      </c>
      <c r="Q223" t="s">
        <v>100</v>
      </c>
      <c r="R223" t="s">
        <v>27</v>
      </c>
      <c r="S223" t="s">
        <v>65</v>
      </c>
      <c r="T223" t="s">
        <v>95</v>
      </c>
      <c r="U223">
        <v>6.99</v>
      </c>
      <c r="V223">
        <v>6.59</v>
      </c>
    </row>
    <row r="224" spans="1:22" x14ac:dyDescent="0.25">
      <c r="A224" s="2" t="s">
        <v>11</v>
      </c>
      <c r="B224" s="2" t="s">
        <v>64</v>
      </c>
      <c r="C224" t="s">
        <v>30</v>
      </c>
      <c r="D224" t="s">
        <v>27</v>
      </c>
      <c r="E224" t="s">
        <v>74</v>
      </c>
      <c r="F224" t="s">
        <v>89</v>
      </c>
      <c r="G224">
        <v>5.49</v>
      </c>
      <c r="H224">
        <v>4.99</v>
      </c>
      <c r="I224" s="2" t="str">
        <f>_xlfn.XLOOKUP(F224,DeparaIMG!B:B,DeparaIMG!D:D,,0)</f>
        <v>MIC350.png</v>
      </c>
      <c r="Q224" t="s">
        <v>99</v>
      </c>
      <c r="R224" t="s">
        <v>27</v>
      </c>
      <c r="S224" t="s">
        <v>65</v>
      </c>
      <c r="T224" t="s">
        <v>95</v>
      </c>
      <c r="U224">
        <v>6.99</v>
      </c>
      <c r="V224">
        <v>6.59</v>
      </c>
    </row>
    <row r="225" spans="1:22" x14ac:dyDescent="0.25">
      <c r="A225" s="2" t="s">
        <v>11</v>
      </c>
      <c r="B225" s="2" t="s">
        <v>64</v>
      </c>
      <c r="C225" t="s">
        <v>99</v>
      </c>
      <c r="D225" t="s">
        <v>26</v>
      </c>
      <c r="E225" t="s">
        <v>74</v>
      </c>
      <c r="F225" t="s">
        <v>89</v>
      </c>
      <c r="G225">
        <v>5.49</v>
      </c>
      <c r="H225">
        <v>4.99</v>
      </c>
      <c r="I225" s="2" t="str">
        <f>_xlfn.XLOOKUP(F225,DeparaIMG!B:B,DeparaIMG!D:D,,0)</f>
        <v>MIC350.png</v>
      </c>
      <c r="Q225" t="s">
        <v>100</v>
      </c>
      <c r="R225" t="s">
        <v>26</v>
      </c>
      <c r="S225" t="s">
        <v>74</v>
      </c>
      <c r="T225" t="s">
        <v>96</v>
      </c>
      <c r="U225">
        <v>7.99</v>
      </c>
      <c r="V225">
        <v>6.99</v>
      </c>
    </row>
    <row r="226" spans="1:22" x14ac:dyDescent="0.25">
      <c r="A226" s="2" t="s">
        <v>11</v>
      </c>
      <c r="B226" s="2" t="s">
        <v>64</v>
      </c>
      <c r="C226" t="s">
        <v>99</v>
      </c>
      <c r="D226" t="s">
        <v>27</v>
      </c>
      <c r="E226" t="s">
        <v>74</v>
      </c>
      <c r="F226" t="s">
        <v>89</v>
      </c>
      <c r="G226">
        <v>5.49</v>
      </c>
      <c r="H226">
        <v>4.99</v>
      </c>
      <c r="I226" s="2" t="str">
        <f>_xlfn.XLOOKUP(F226,DeparaIMG!B:B,DeparaIMG!D:D,,0)</f>
        <v>MIC350.png</v>
      </c>
      <c r="Q226" t="s">
        <v>4</v>
      </c>
      <c r="R226" t="s">
        <v>27</v>
      </c>
      <c r="S226" t="s">
        <v>74</v>
      </c>
      <c r="T226" t="s">
        <v>96</v>
      </c>
      <c r="U226">
        <v>7.99</v>
      </c>
      <c r="V226">
        <v>6.99</v>
      </c>
    </row>
    <row r="227" spans="1:22" x14ac:dyDescent="0.25">
      <c r="A227" s="2" t="s">
        <v>11</v>
      </c>
      <c r="B227" s="2" t="s">
        <v>64</v>
      </c>
      <c r="C227" t="s">
        <v>4</v>
      </c>
      <c r="D227" t="s">
        <v>26</v>
      </c>
      <c r="E227" t="s">
        <v>74</v>
      </c>
      <c r="F227" t="s">
        <v>89</v>
      </c>
      <c r="G227">
        <v>5.49</v>
      </c>
      <c r="H227">
        <v>4.99</v>
      </c>
      <c r="I227" s="2" t="str">
        <f>_xlfn.XLOOKUP(F227,DeparaIMG!B:B,DeparaIMG!D:D,,0)</f>
        <v>MIC350.png</v>
      </c>
      <c r="Q227" t="s">
        <v>101</v>
      </c>
      <c r="R227" t="s">
        <v>27</v>
      </c>
      <c r="S227" t="s">
        <v>74</v>
      </c>
      <c r="T227" t="s">
        <v>96</v>
      </c>
      <c r="U227">
        <v>7.99</v>
      </c>
      <c r="V227">
        <v>6.99</v>
      </c>
    </row>
    <row r="228" spans="1:22" x14ac:dyDescent="0.25">
      <c r="A228" s="2" t="s">
        <v>11</v>
      </c>
      <c r="B228" s="2" t="s">
        <v>64</v>
      </c>
      <c r="C228" t="s">
        <v>4</v>
      </c>
      <c r="D228" t="s">
        <v>27</v>
      </c>
      <c r="E228" t="s">
        <v>74</v>
      </c>
      <c r="F228" t="s">
        <v>89</v>
      </c>
      <c r="G228">
        <v>5.49</v>
      </c>
      <c r="H228">
        <v>4.99</v>
      </c>
      <c r="I228" s="2" t="str">
        <f>_xlfn.XLOOKUP(F228,DeparaIMG!B:B,DeparaIMG!D:D,,0)</f>
        <v>MIC350.png</v>
      </c>
      <c r="Q228" t="s">
        <v>102</v>
      </c>
      <c r="R228" t="s">
        <v>27</v>
      </c>
      <c r="S228" t="s">
        <v>74</v>
      </c>
      <c r="T228" t="s">
        <v>96</v>
      </c>
      <c r="U228">
        <v>7.99</v>
      </c>
      <c r="V228">
        <v>6.99</v>
      </c>
    </row>
    <row r="229" spans="1:22" x14ac:dyDescent="0.25">
      <c r="A229" s="2" t="s">
        <v>11</v>
      </c>
      <c r="B229" s="2" t="s">
        <v>64</v>
      </c>
      <c r="C229" t="s">
        <v>29</v>
      </c>
      <c r="D229" t="s">
        <v>26</v>
      </c>
      <c r="E229" t="s">
        <v>65</v>
      </c>
      <c r="F229" t="s">
        <v>68</v>
      </c>
      <c r="G229">
        <v>5.49</v>
      </c>
      <c r="H229">
        <v>4.6900000000000004</v>
      </c>
      <c r="I229" s="2" t="str">
        <f>_xlfn.XLOOKUP(F229,DeparaIMG!B:B,DeparaIMG!D:D,,0)</f>
        <v>STE350.png</v>
      </c>
      <c r="Q229" t="s">
        <v>101</v>
      </c>
      <c r="R229" t="s">
        <v>26</v>
      </c>
      <c r="S229" t="s">
        <v>74</v>
      </c>
      <c r="T229" t="s">
        <v>96</v>
      </c>
      <c r="U229">
        <v>7.99</v>
      </c>
      <c r="V229">
        <v>6.99</v>
      </c>
    </row>
    <row r="230" spans="1:22" x14ac:dyDescent="0.25">
      <c r="A230" s="2" t="s">
        <v>11</v>
      </c>
      <c r="B230" s="2" t="s">
        <v>64</v>
      </c>
      <c r="C230" t="s">
        <v>30</v>
      </c>
      <c r="D230" t="s">
        <v>26</v>
      </c>
      <c r="E230" t="s">
        <v>65</v>
      </c>
      <c r="F230" t="s">
        <v>68</v>
      </c>
      <c r="G230">
        <v>5.49</v>
      </c>
      <c r="H230">
        <v>4.6900000000000004</v>
      </c>
      <c r="I230" s="2" t="str">
        <f>_xlfn.XLOOKUP(F230,DeparaIMG!B:B,DeparaIMG!D:D,,0)</f>
        <v>STE350.png</v>
      </c>
      <c r="Q230" t="s">
        <v>102</v>
      </c>
      <c r="R230" t="s">
        <v>26</v>
      </c>
      <c r="S230" t="s">
        <v>74</v>
      </c>
      <c r="T230" t="s">
        <v>96</v>
      </c>
      <c r="U230">
        <v>7.99</v>
      </c>
      <c r="V230">
        <v>6.99</v>
      </c>
    </row>
    <row r="231" spans="1:22" x14ac:dyDescent="0.25">
      <c r="A231" s="2" t="s">
        <v>11</v>
      </c>
      <c r="B231" s="2" t="s">
        <v>64</v>
      </c>
      <c r="C231" t="s">
        <v>4</v>
      </c>
      <c r="D231" t="s">
        <v>27</v>
      </c>
      <c r="E231" t="s">
        <v>65</v>
      </c>
      <c r="F231" t="s">
        <v>68</v>
      </c>
      <c r="G231">
        <v>5.49</v>
      </c>
      <c r="H231">
        <v>4.6900000000000004</v>
      </c>
      <c r="I231" s="2" t="str">
        <f>_xlfn.XLOOKUP(F231,DeparaIMG!B:B,DeparaIMG!D:D,,0)</f>
        <v>STE350.png</v>
      </c>
      <c r="Q231" t="s">
        <v>100</v>
      </c>
      <c r="R231" t="s">
        <v>26</v>
      </c>
      <c r="S231" t="s">
        <v>74</v>
      </c>
      <c r="T231" t="s">
        <v>97</v>
      </c>
      <c r="U231">
        <v>7.99</v>
      </c>
      <c r="V231">
        <v>6.99</v>
      </c>
    </row>
    <row r="232" spans="1:22" x14ac:dyDescent="0.25">
      <c r="A232" s="2" t="s">
        <v>11</v>
      </c>
      <c r="B232" s="2" t="s">
        <v>64</v>
      </c>
      <c r="C232" t="s">
        <v>100</v>
      </c>
      <c r="D232" t="s">
        <v>26</v>
      </c>
      <c r="E232" t="s">
        <v>74</v>
      </c>
      <c r="F232" t="s">
        <v>89</v>
      </c>
      <c r="G232">
        <v>5.49</v>
      </c>
      <c r="H232">
        <v>4.99</v>
      </c>
      <c r="I232" s="2" t="str">
        <f>_xlfn.XLOOKUP(F232,DeparaIMG!B:B,DeparaIMG!D:D,,0)</f>
        <v>MIC350.png</v>
      </c>
      <c r="Q232" t="s">
        <v>4</v>
      </c>
      <c r="R232" t="s">
        <v>27</v>
      </c>
      <c r="S232" t="s">
        <v>74</v>
      </c>
      <c r="T232" t="s">
        <v>97</v>
      </c>
      <c r="U232">
        <v>7.99</v>
      </c>
      <c r="V232">
        <v>6.99</v>
      </c>
    </row>
    <row r="233" spans="1:22" x14ac:dyDescent="0.25">
      <c r="A233" s="2" t="s">
        <v>11</v>
      </c>
      <c r="B233" s="2" t="s">
        <v>64</v>
      </c>
      <c r="C233" t="s">
        <v>100</v>
      </c>
      <c r="D233" t="s">
        <v>27</v>
      </c>
      <c r="E233" t="s">
        <v>74</v>
      </c>
      <c r="F233" t="s">
        <v>89</v>
      </c>
      <c r="G233">
        <v>5.49</v>
      </c>
      <c r="H233">
        <v>4.99</v>
      </c>
      <c r="I233" s="2" t="str">
        <f>_xlfn.XLOOKUP(F233,DeparaIMG!B:B,DeparaIMG!D:D,,0)</f>
        <v>MIC350.png</v>
      </c>
      <c r="Q233" t="s">
        <v>101</v>
      </c>
      <c r="R233" t="s">
        <v>27</v>
      </c>
      <c r="S233" t="s">
        <v>74</v>
      </c>
      <c r="T233" t="s">
        <v>97</v>
      </c>
      <c r="U233">
        <v>7.99</v>
      </c>
      <c r="V233">
        <v>6.99</v>
      </c>
    </row>
    <row r="234" spans="1:22" x14ac:dyDescent="0.25">
      <c r="A234" s="2" t="s">
        <v>11</v>
      </c>
      <c r="B234" s="2" t="s">
        <v>64</v>
      </c>
      <c r="C234" t="s">
        <v>101</v>
      </c>
      <c r="D234" t="s">
        <v>26</v>
      </c>
      <c r="E234" t="s">
        <v>74</v>
      </c>
      <c r="F234" t="s">
        <v>89</v>
      </c>
      <c r="G234">
        <v>5.49</v>
      </c>
      <c r="H234">
        <v>4.99</v>
      </c>
      <c r="I234" s="2" t="str">
        <f>_xlfn.XLOOKUP(F234,DeparaIMG!B:B,DeparaIMG!D:D,,0)</f>
        <v>MIC350.png</v>
      </c>
      <c r="Q234" t="s">
        <v>102</v>
      </c>
      <c r="R234" t="s">
        <v>27</v>
      </c>
      <c r="S234" t="s">
        <v>74</v>
      </c>
      <c r="T234" t="s">
        <v>97</v>
      </c>
      <c r="U234">
        <v>7.99</v>
      </c>
      <c r="V234">
        <v>6.99</v>
      </c>
    </row>
    <row r="235" spans="1:22" x14ac:dyDescent="0.25">
      <c r="A235" s="2" t="s">
        <v>11</v>
      </c>
      <c r="B235" s="2" t="s">
        <v>64</v>
      </c>
      <c r="C235" t="s">
        <v>102</v>
      </c>
      <c r="D235" t="s">
        <v>26</v>
      </c>
      <c r="E235" t="s">
        <v>74</v>
      </c>
      <c r="F235" t="s">
        <v>89</v>
      </c>
      <c r="G235">
        <v>5.49</v>
      </c>
      <c r="H235">
        <v>4.99</v>
      </c>
      <c r="I235" s="2" t="str">
        <f>_xlfn.XLOOKUP(F235,DeparaIMG!B:B,DeparaIMG!D:D,,0)</f>
        <v>MIC350.png</v>
      </c>
      <c r="Q235" t="s">
        <v>101</v>
      </c>
      <c r="R235" t="s">
        <v>26</v>
      </c>
      <c r="S235" t="s">
        <v>74</v>
      </c>
      <c r="T235" t="s">
        <v>97</v>
      </c>
      <c r="U235">
        <v>7.99</v>
      </c>
      <c r="V235">
        <v>6.99</v>
      </c>
    </row>
    <row r="236" spans="1:22" x14ac:dyDescent="0.25">
      <c r="A236" s="2" t="s">
        <v>11</v>
      </c>
      <c r="B236" s="2" t="s">
        <v>64</v>
      </c>
      <c r="C236" t="s">
        <v>101</v>
      </c>
      <c r="D236" t="s">
        <v>27</v>
      </c>
      <c r="E236" t="s">
        <v>74</v>
      </c>
      <c r="F236" t="s">
        <v>89</v>
      </c>
      <c r="G236">
        <v>5.49</v>
      </c>
      <c r="H236">
        <v>4.99</v>
      </c>
      <c r="I236" s="2" t="str">
        <f>_xlfn.XLOOKUP(F236,DeparaIMG!B:B,DeparaIMG!D:D,,0)</f>
        <v>MIC350.png</v>
      </c>
      <c r="Q236" t="s">
        <v>102</v>
      </c>
      <c r="R236" t="s">
        <v>26</v>
      </c>
      <c r="S236" t="s">
        <v>74</v>
      </c>
      <c r="T236" t="s">
        <v>97</v>
      </c>
      <c r="U236">
        <v>7.99</v>
      </c>
      <c r="V236">
        <v>6.99</v>
      </c>
    </row>
    <row r="237" spans="1:22" x14ac:dyDescent="0.25">
      <c r="A237" s="2" t="s">
        <v>11</v>
      </c>
      <c r="B237" s="2" t="s">
        <v>64</v>
      </c>
      <c r="C237" t="s">
        <v>102</v>
      </c>
      <c r="D237" t="s">
        <v>27</v>
      </c>
      <c r="E237" t="s">
        <v>74</v>
      </c>
      <c r="F237" t="s">
        <v>89</v>
      </c>
      <c r="G237">
        <v>5.49</v>
      </c>
      <c r="H237">
        <v>4.99</v>
      </c>
      <c r="I237" s="2" t="str">
        <f>_xlfn.XLOOKUP(F237,DeparaIMG!B:B,DeparaIMG!D:D,,0)</f>
        <v>MIC350.png</v>
      </c>
      <c r="Q237" t="s">
        <v>29</v>
      </c>
      <c r="R237" t="s">
        <v>26</v>
      </c>
      <c r="S237" t="s">
        <v>74</v>
      </c>
      <c r="T237" t="s">
        <v>96</v>
      </c>
      <c r="U237">
        <v>7.99</v>
      </c>
      <c r="V237">
        <v>6.99</v>
      </c>
    </row>
    <row r="238" spans="1:22" x14ac:dyDescent="0.25">
      <c r="A238" s="2" t="s">
        <v>11</v>
      </c>
      <c r="B238" s="2" t="s">
        <v>64</v>
      </c>
      <c r="C238" t="s">
        <v>4</v>
      </c>
      <c r="D238" t="s">
        <v>26</v>
      </c>
      <c r="E238" t="s">
        <v>65</v>
      </c>
      <c r="F238" t="s">
        <v>68</v>
      </c>
      <c r="G238">
        <v>5.49</v>
      </c>
      <c r="H238">
        <v>4.6900000000000004</v>
      </c>
      <c r="I238" s="2" t="str">
        <f>_xlfn.XLOOKUP(F238,DeparaIMG!B:B,DeparaIMG!D:D,,0)</f>
        <v>STE350.png</v>
      </c>
      <c r="Q238" t="s">
        <v>29</v>
      </c>
      <c r="R238" t="s">
        <v>27</v>
      </c>
      <c r="S238" t="s">
        <v>74</v>
      </c>
      <c r="T238" t="s">
        <v>96</v>
      </c>
      <c r="U238">
        <v>7.99</v>
      </c>
      <c r="V238">
        <v>6.99</v>
      </c>
    </row>
    <row r="239" spans="1:22" x14ac:dyDescent="0.25">
      <c r="A239" s="2" t="s">
        <v>11</v>
      </c>
      <c r="B239" s="2" t="s">
        <v>64</v>
      </c>
      <c r="C239" t="s">
        <v>29</v>
      </c>
      <c r="D239" t="s">
        <v>27</v>
      </c>
      <c r="E239" t="s">
        <v>65</v>
      </c>
      <c r="F239" t="s">
        <v>90</v>
      </c>
      <c r="G239">
        <v>6.19</v>
      </c>
      <c r="H239">
        <v>5.39</v>
      </c>
      <c r="I239" s="2" t="str">
        <f>_xlfn.XLOOKUP(F239,DeparaIMG!B:B,DeparaIMG!D:D,,0)</f>
        <v>COR350.png</v>
      </c>
      <c r="Q239" t="s">
        <v>30</v>
      </c>
      <c r="R239" t="s">
        <v>26</v>
      </c>
      <c r="S239" t="s">
        <v>74</v>
      </c>
      <c r="T239" t="s">
        <v>96</v>
      </c>
      <c r="U239">
        <v>7.99</v>
      </c>
      <c r="V239">
        <v>6.99</v>
      </c>
    </row>
    <row r="240" spans="1:22" x14ac:dyDescent="0.25">
      <c r="A240" s="2" t="s">
        <v>11</v>
      </c>
      <c r="B240" s="2" t="s">
        <v>64</v>
      </c>
      <c r="C240" t="s">
        <v>29</v>
      </c>
      <c r="D240" t="s">
        <v>27</v>
      </c>
      <c r="E240" t="s">
        <v>65</v>
      </c>
      <c r="F240" t="s">
        <v>91</v>
      </c>
      <c r="G240">
        <v>6.19</v>
      </c>
      <c r="H240">
        <v>5.39</v>
      </c>
      <c r="I240" s="2" t="str">
        <f>_xlfn.XLOOKUP(F240,DeparaIMG!B:B,DeparaIMG!D:D,,0)</f>
        <v>CORCERO350.png</v>
      </c>
      <c r="Q240" t="s">
        <v>30</v>
      </c>
      <c r="R240" t="s">
        <v>27</v>
      </c>
      <c r="S240" t="s">
        <v>74</v>
      </c>
      <c r="T240" t="s">
        <v>96</v>
      </c>
      <c r="U240">
        <v>7.99</v>
      </c>
      <c r="V240">
        <v>6.99</v>
      </c>
    </row>
    <row r="241" spans="1:22" x14ac:dyDescent="0.25">
      <c r="A241" s="2" t="s">
        <v>11</v>
      </c>
      <c r="B241" s="2" t="s">
        <v>64</v>
      </c>
      <c r="C241" t="s">
        <v>29</v>
      </c>
      <c r="D241" t="s">
        <v>26</v>
      </c>
      <c r="E241" t="s">
        <v>65</v>
      </c>
      <c r="F241" t="s">
        <v>91</v>
      </c>
      <c r="G241">
        <v>6.19</v>
      </c>
      <c r="H241">
        <v>5.39</v>
      </c>
      <c r="I241" s="2" t="str">
        <f>_xlfn.XLOOKUP(F241,DeparaIMG!B:B,DeparaIMG!D:D,,0)</f>
        <v>CORCERO350.png</v>
      </c>
      <c r="Q241" t="s">
        <v>99</v>
      </c>
      <c r="R241" t="s">
        <v>26</v>
      </c>
      <c r="S241" t="s">
        <v>74</v>
      </c>
      <c r="T241" t="s">
        <v>96</v>
      </c>
      <c r="U241">
        <v>7.99</v>
      </c>
      <c r="V241">
        <v>6.99</v>
      </c>
    </row>
    <row r="242" spans="1:22" x14ac:dyDescent="0.25">
      <c r="A242" s="2" t="s">
        <v>11</v>
      </c>
      <c r="B242" s="2" t="s">
        <v>64</v>
      </c>
      <c r="C242" t="s">
        <v>30</v>
      </c>
      <c r="D242" t="s">
        <v>27</v>
      </c>
      <c r="E242" t="s">
        <v>65</v>
      </c>
      <c r="F242" t="s">
        <v>90</v>
      </c>
      <c r="G242">
        <v>6.29</v>
      </c>
      <c r="H242">
        <v>5.49</v>
      </c>
      <c r="I242" s="2" t="str">
        <f>_xlfn.XLOOKUP(F242,DeparaIMG!B:B,DeparaIMG!D:D,,0)</f>
        <v>COR350.png</v>
      </c>
      <c r="Q242" t="s">
        <v>99</v>
      </c>
      <c r="R242" t="s">
        <v>27</v>
      </c>
      <c r="S242" t="s">
        <v>74</v>
      </c>
      <c r="T242" t="s">
        <v>96</v>
      </c>
      <c r="U242">
        <v>7.99</v>
      </c>
      <c r="V242">
        <v>6.99</v>
      </c>
    </row>
    <row r="243" spans="1:22" x14ac:dyDescent="0.25">
      <c r="A243" s="2" t="s">
        <v>11</v>
      </c>
      <c r="B243" s="2" t="s">
        <v>64</v>
      </c>
      <c r="C243" t="s">
        <v>4</v>
      </c>
      <c r="D243" t="s">
        <v>27</v>
      </c>
      <c r="E243" t="s">
        <v>65</v>
      </c>
      <c r="F243" t="s">
        <v>90</v>
      </c>
      <c r="G243">
        <v>6.29</v>
      </c>
      <c r="H243">
        <v>5.49</v>
      </c>
      <c r="I243" s="2" t="str">
        <f>_xlfn.XLOOKUP(F243,DeparaIMG!B:B,DeparaIMG!D:D,,0)</f>
        <v>COR350.png</v>
      </c>
      <c r="Q243" t="s">
        <v>100</v>
      </c>
      <c r="R243" t="s">
        <v>27</v>
      </c>
      <c r="S243" t="s">
        <v>74</v>
      </c>
      <c r="T243" t="s">
        <v>96</v>
      </c>
      <c r="U243">
        <v>7.99</v>
      </c>
      <c r="V243">
        <v>6.99</v>
      </c>
    </row>
    <row r="244" spans="1:22" x14ac:dyDescent="0.25">
      <c r="A244" s="2" t="s">
        <v>11</v>
      </c>
      <c r="B244" s="2" t="s">
        <v>64</v>
      </c>
      <c r="C244" t="s">
        <v>30</v>
      </c>
      <c r="D244" t="s">
        <v>27</v>
      </c>
      <c r="E244" t="s">
        <v>65</v>
      </c>
      <c r="F244" t="s">
        <v>91</v>
      </c>
      <c r="G244">
        <v>6.29</v>
      </c>
      <c r="H244">
        <v>5.49</v>
      </c>
      <c r="I244" s="2" t="str">
        <f>_xlfn.XLOOKUP(F244,DeparaIMG!B:B,DeparaIMG!D:D,,0)</f>
        <v>CORCERO350.png</v>
      </c>
      <c r="Q244" t="s">
        <v>4</v>
      </c>
      <c r="R244" t="s">
        <v>26</v>
      </c>
      <c r="S244" t="s">
        <v>74</v>
      </c>
      <c r="T244" t="s">
        <v>96</v>
      </c>
      <c r="U244">
        <v>7.99</v>
      </c>
      <c r="V244">
        <v>6.99</v>
      </c>
    </row>
    <row r="245" spans="1:22" x14ac:dyDescent="0.25">
      <c r="A245" s="2" t="s">
        <v>11</v>
      </c>
      <c r="B245" s="2" t="s">
        <v>64</v>
      </c>
      <c r="C245" t="s">
        <v>99</v>
      </c>
      <c r="D245" t="s">
        <v>27</v>
      </c>
      <c r="E245" t="s">
        <v>65</v>
      </c>
      <c r="F245" t="s">
        <v>91</v>
      </c>
      <c r="G245">
        <v>6.29</v>
      </c>
      <c r="H245">
        <v>5.49</v>
      </c>
      <c r="I245" s="2" t="str">
        <f>_xlfn.XLOOKUP(F245,DeparaIMG!B:B,DeparaIMG!D:D,,0)</f>
        <v>CORCERO350.png</v>
      </c>
      <c r="Q245" t="s">
        <v>29</v>
      </c>
      <c r="R245" t="s">
        <v>26</v>
      </c>
      <c r="S245" t="s">
        <v>74</v>
      </c>
      <c r="T245" t="s">
        <v>97</v>
      </c>
      <c r="U245">
        <v>7.99</v>
      </c>
      <c r="V245">
        <v>6.99</v>
      </c>
    </row>
    <row r="246" spans="1:22" x14ac:dyDescent="0.25">
      <c r="A246" s="2" t="s">
        <v>11</v>
      </c>
      <c r="B246" s="2" t="s">
        <v>64</v>
      </c>
      <c r="C246" t="s">
        <v>100</v>
      </c>
      <c r="D246" t="s">
        <v>27</v>
      </c>
      <c r="E246" t="s">
        <v>65</v>
      </c>
      <c r="F246" t="s">
        <v>91</v>
      </c>
      <c r="G246">
        <v>6.29</v>
      </c>
      <c r="H246">
        <v>5.49</v>
      </c>
      <c r="I246" s="2" t="str">
        <f>_xlfn.XLOOKUP(F246,DeparaIMG!B:B,DeparaIMG!D:D,,0)</f>
        <v>CORCERO350.png</v>
      </c>
      <c r="Q246" t="s">
        <v>29</v>
      </c>
      <c r="R246" t="s">
        <v>27</v>
      </c>
      <c r="S246" t="s">
        <v>74</v>
      </c>
      <c r="T246" t="s">
        <v>97</v>
      </c>
      <c r="U246">
        <v>7.99</v>
      </c>
      <c r="V246">
        <v>6.99</v>
      </c>
    </row>
    <row r="247" spans="1:22" x14ac:dyDescent="0.25">
      <c r="A247" s="2" t="s">
        <v>11</v>
      </c>
      <c r="B247" s="2" t="s">
        <v>64</v>
      </c>
      <c r="C247" t="s">
        <v>4</v>
      </c>
      <c r="D247" t="s">
        <v>27</v>
      </c>
      <c r="E247" t="s">
        <v>65</v>
      </c>
      <c r="F247" t="s">
        <v>91</v>
      </c>
      <c r="G247">
        <v>6.29</v>
      </c>
      <c r="H247">
        <v>5.49</v>
      </c>
      <c r="I247" s="2" t="str">
        <f>_xlfn.XLOOKUP(F247,DeparaIMG!B:B,DeparaIMG!D:D,,0)</f>
        <v>CORCERO350.png</v>
      </c>
      <c r="Q247" t="s">
        <v>30</v>
      </c>
      <c r="R247" t="s">
        <v>26</v>
      </c>
      <c r="S247" t="s">
        <v>74</v>
      </c>
      <c r="T247" t="s">
        <v>97</v>
      </c>
      <c r="U247">
        <v>7.99</v>
      </c>
      <c r="V247">
        <v>6.99</v>
      </c>
    </row>
    <row r="248" spans="1:22" x14ac:dyDescent="0.25">
      <c r="A248" s="2" t="s">
        <v>11</v>
      </c>
      <c r="B248" s="2" t="s">
        <v>64</v>
      </c>
      <c r="C248" t="s">
        <v>102</v>
      </c>
      <c r="D248" t="s">
        <v>27</v>
      </c>
      <c r="E248" t="s">
        <v>65</v>
      </c>
      <c r="F248" t="s">
        <v>91</v>
      </c>
      <c r="G248">
        <v>6.29</v>
      </c>
      <c r="H248">
        <v>5.49</v>
      </c>
      <c r="I248" s="2" t="str">
        <f>_xlfn.XLOOKUP(F248,DeparaIMG!B:B,DeparaIMG!D:D,,0)</f>
        <v>CORCERO350.png</v>
      </c>
      <c r="Q248" t="s">
        <v>30</v>
      </c>
      <c r="R248" t="s">
        <v>27</v>
      </c>
      <c r="S248" t="s">
        <v>74</v>
      </c>
      <c r="T248" t="s">
        <v>97</v>
      </c>
      <c r="U248">
        <v>7.99</v>
      </c>
      <c r="V248">
        <v>6.99</v>
      </c>
    </row>
    <row r="249" spans="1:22" x14ac:dyDescent="0.25">
      <c r="A249" s="2" t="s">
        <v>11</v>
      </c>
      <c r="B249" s="2" t="s">
        <v>64</v>
      </c>
      <c r="C249" t="s">
        <v>101</v>
      </c>
      <c r="D249" t="s">
        <v>27</v>
      </c>
      <c r="E249" t="s">
        <v>65</v>
      </c>
      <c r="F249" t="s">
        <v>91</v>
      </c>
      <c r="G249">
        <v>6.29</v>
      </c>
      <c r="H249">
        <v>5.49</v>
      </c>
      <c r="I249" s="2" t="str">
        <f>_xlfn.XLOOKUP(F249,DeparaIMG!B:B,DeparaIMG!D:D,,0)</f>
        <v>CORCERO350.png</v>
      </c>
      <c r="Q249" t="s">
        <v>99</v>
      </c>
      <c r="R249" t="s">
        <v>26</v>
      </c>
      <c r="S249" t="s">
        <v>74</v>
      </c>
      <c r="T249" t="s">
        <v>97</v>
      </c>
      <c r="U249">
        <v>7.99</v>
      </c>
      <c r="V249">
        <v>6.99</v>
      </c>
    </row>
    <row r="250" spans="1:22" x14ac:dyDescent="0.25">
      <c r="A250" s="2" t="s">
        <v>11</v>
      </c>
      <c r="B250" s="2" t="s">
        <v>64</v>
      </c>
      <c r="C250" t="s">
        <v>99</v>
      </c>
      <c r="D250" t="s">
        <v>26</v>
      </c>
      <c r="E250" t="s">
        <v>65</v>
      </c>
      <c r="F250" t="s">
        <v>91</v>
      </c>
      <c r="G250">
        <v>6.29</v>
      </c>
      <c r="H250">
        <v>5.49</v>
      </c>
      <c r="I250" s="2" t="str">
        <f>_xlfn.XLOOKUP(F250,DeparaIMG!B:B,DeparaIMG!D:D,,0)</f>
        <v>CORCERO350.png</v>
      </c>
      <c r="Q250" t="s">
        <v>99</v>
      </c>
      <c r="R250" t="s">
        <v>27</v>
      </c>
      <c r="S250" t="s">
        <v>74</v>
      </c>
      <c r="T250" t="s">
        <v>97</v>
      </c>
      <c r="U250">
        <v>7.99</v>
      </c>
      <c r="V250">
        <v>6.99</v>
      </c>
    </row>
    <row r="251" spans="1:22" x14ac:dyDescent="0.25">
      <c r="A251" s="2" t="s">
        <v>11</v>
      </c>
      <c r="B251" s="2" t="s">
        <v>64</v>
      </c>
      <c r="C251" t="s">
        <v>100</v>
      </c>
      <c r="D251" t="s">
        <v>26</v>
      </c>
      <c r="E251" t="s">
        <v>65</v>
      </c>
      <c r="F251" t="s">
        <v>91</v>
      </c>
      <c r="G251">
        <v>6.29</v>
      </c>
      <c r="H251">
        <v>5.49</v>
      </c>
      <c r="I251" s="2" t="str">
        <f>_xlfn.XLOOKUP(F251,DeparaIMG!B:B,DeparaIMG!D:D,,0)</f>
        <v>CORCERO350.png</v>
      </c>
      <c r="Q251" t="s">
        <v>100</v>
      </c>
      <c r="R251" t="s">
        <v>27</v>
      </c>
      <c r="S251" t="s">
        <v>74</v>
      </c>
      <c r="T251" t="s">
        <v>97</v>
      </c>
      <c r="U251">
        <v>7.99</v>
      </c>
      <c r="V251">
        <v>6.99</v>
      </c>
    </row>
    <row r="252" spans="1:22" x14ac:dyDescent="0.25">
      <c r="A252" s="2" t="s">
        <v>11</v>
      </c>
      <c r="B252" s="2" t="s">
        <v>64</v>
      </c>
      <c r="C252" t="s">
        <v>102</v>
      </c>
      <c r="D252" t="s">
        <v>26</v>
      </c>
      <c r="E252" t="s">
        <v>65</v>
      </c>
      <c r="F252" t="s">
        <v>91</v>
      </c>
      <c r="G252">
        <v>6.29</v>
      </c>
      <c r="H252">
        <v>5.49</v>
      </c>
      <c r="I252" s="2" t="str">
        <f>_xlfn.XLOOKUP(F252,DeparaIMG!B:B,DeparaIMG!D:D,,0)</f>
        <v>CORCERO350.png</v>
      </c>
      <c r="Q252" t="s">
        <v>4</v>
      </c>
      <c r="R252" t="s">
        <v>26</v>
      </c>
      <c r="S252" t="s">
        <v>74</v>
      </c>
      <c r="T252" t="s">
        <v>97</v>
      </c>
      <c r="U252">
        <v>7.99</v>
      </c>
      <c r="V252">
        <v>6.99</v>
      </c>
    </row>
    <row r="253" spans="1:22" x14ac:dyDescent="0.25">
      <c r="A253" s="2" t="s">
        <v>11</v>
      </c>
      <c r="B253" s="2" t="s">
        <v>64</v>
      </c>
      <c r="C253" t="s">
        <v>101</v>
      </c>
      <c r="D253" t="s">
        <v>26</v>
      </c>
      <c r="E253" t="s">
        <v>65</v>
      </c>
      <c r="F253" t="s">
        <v>91</v>
      </c>
      <c r="G253">
        <v>6.29</v>
      </c>
      <c r="H253">
        <v>5.49</v>
      </c>
      <c r="I253" s="2" t="str">
        <f>_xlfn.XLOOKUP(F253,DeparaIMG!B:B,DeparaIMG!D:D,,0)</f>
        <v>CORCERO350.png</v>
      </c>
      <c r="Q253" t="s">
        <v>104</v>
      </c>
      <c r="R253" t="s">
        <v>27</v>
      </c>
      <c r="S253" t="s">
        <v>65</v>
      </c>
      <c r="T253" t="s">
        <v>66</v>
      </c>
      <c r="U253">
        <v>3.19</v>
      </c>
      <c r="V253">
        <v>2.99</v>
      </c>
    </row>
    <row r="254" spans="1:22" x14ac:dyDescent="0.25">
      <c r="A254" s="2" t="s">
        <v>11</v>
      </c>
      <c r="B254" s="2" t="s">
        <v>64</v>
      </c>
      <c r="C254" t="s">
        <v>30</v>
      </c>
      <c r="D254" t="s">
        <v>26</v>
      </c>
      <c r="E254" t="s">
        <v>65</v>
      </c>
      <c r="F254" t="s">
        <v>91</v>
      </c>
      <c r="G254">
        <v>6.29</v>
      </c>
      <c r="H254">
        <v>5.49</v>
      </c>
      <c r="I254" s="2" t="str">
        <f>_xlfn.XLOOKUP(F254,DeparaIMG!B:B,DeparaIMG!D:D,,0)</f>
        <v>CORCERO350.png</v>
      </c>
      <c r="Q254" t="s">
        <v>104</v>
      </c>
      <c r="R254" t="s">
        <v>26</v>
      </c>
      <c r="S254" t="s">
        <v>65</v>
      </c>
      <c r="T254" t="s">
        <v>66</v>
      </c>
      <c r="U254">
        <v>3.19</v>
      </c>
      <c r="V254">
        <v>2.99</v>
      </c>
    </row>
    <row r="255" spans="1:22" x14ac:dyDescent="0.25">
      <c r="A255" s="2" t="s">
        <v>11</v>
      </c>
      <c r="B255" s="2" t="s">
        <v>64</v>
      </c>
      <c r="C255" t="s">
        <v>4</v>
      </c>
      <c r="D255" t="s">
        <v>26</v>
      </c>
      <c r="E255" t="s">
        <v>65</v>
      </c>
      <c r="F255" t="s">
        <v>91</v>
      </c>
      <c r="G255">
        <v>6.29</v>
      </c>
      <c r="H255">
        <v>5.49</v>
      </c>
      <c r="I255" s="2" t="str">
        <f>_xlfn.XLOOKUP(F255,DeparaIMG!B:B,DeparaIMG!D:D,,0)</f>
        <v>CORCERO350.png</v>
      </c>
      <c r="Q255" t="s">
        <v>104</v>
      </c>
      <c r="R255" t="s">
        <v>26</v>
      </c>
      <c r="S255" t="s">
        <v>74</v>
      </c>
      <c r="T255" t="s">
        <v>77</v>
      </c>
      <c r="U255">
        <v>3.19</v>
      </c>
      <c r="V255">
        <v>2.99</v>
      </c>
    </row>
    <row r="256" spans="1:22" x14ac:dyDescent="0.25">
      <c r="A256" s="2" t="s">
        <v>11</v>
      </c>
      <c r="B256" s="2" t="s">
        <v>64</v>
      </c>
      <c r="C256" t="s">
        <v>29</v>
      </c>
      <c r="D256" t="s">
        <v>27</v>
      </c>
      <c r="E256" t="s">
        <v>74</v>
      </c>
      <c r="F256" t="s">
        <v>92</v>
      </c>
      <c r="G256">
        <v>6.39</v>
      </c>
      <c r="H256">
        <v>5.39</v>
      </c>
      <c r="I256" s="2" t="str">
        <f>_xlfn.XLOOKUP(F256,DeparaIMG!B:B,DeparaIMG!D:D,,0)</f>
        <v>BUDZEROLN.png</v>
      </c>
      <c r="Q256" t="s">
        <v>104</v>
      </c>
      <c r="R256" t="s">
        <v>26</v>
      </c>
      <c r="S256" t="s">
        <v>65</v>
      </c>
      <c r="T256" t="s">
        <v>72</v>
      </c>
      <c r="U256">
        <v>3.29</v>
      </c>
      <c r="V256">
        <v>3.09</v>
      </c>
    </row>
    <row r="257" spans="1:22" x14ac:dyDescent="0.25">
      <c r="A257" s="2" t="s">
        <v>11</v>
      </c>
      <c r="B257" s="2" t="s">
        <v>64</v>
      </c>
      <c r="C257" t="s">
        <v>30</v>
      </c>
      <c r="D257" t="s">
        <v>27</v>
      </c>
      <c r="E257" t="s">
        <v>74</v>
      </c>
      <c r="F257" t="s">
        <v>92</v>
      </c>
      <c r="G257">
        <v>6.39</v>
      </c>
      <c r="H257">
        <v>5.39</v>
      </c>
      <c r="I257" s="2" t="str">
        <f>_xlfn.XLOOKUP(F257,DeparaIMG!B:B,DeparaIMG!D:D,,0)</f>
        <v>BUDZEROLN.png</v>
      </c>
      <c r="Q257" t="s">
        <v>104</v>
      </c>
      <c r="R257" t="s">
        <v>27</v>
      </c>
      <c r="S257" t="s">
        <v>65</v>
      </c>
      <c r="T257" t="s">
        <v>72</v>
      </c>
      <c r="U257">
        <v>3.29</v>
      </c>
      <c r="V257">
        <v>3.09</v>
      </c>
    </row>
    <row r="258" spans="1:22" x14ac:dyDescent="0.25">
      <c r="A258" s="2" t="s">
        <v>11</v>
      </c>
      <c r="B258" s="2" t="s">
        <v>64</v>
      </c>
      <c r="C258" t="s">
        <v>99</v>
      </c>
      <c r="D258" t="s">
        <v>27</v>
      </c>
      <c r="E258" t="s">
        <v>74</v>
      </c>
      <c r="F258" t="s">
        <v>92</v>
      </c>
      <c r="G258">
        <v>6.39</v>
      </c>
      <c r="H258">
        <v>5.39</v>
      </c>
      <c r="I258" s="2" t="str">
        <f>_xlfn.XLOOKUP(F258,DeparaIMG!B:B,DeparaIMG!D:D,,0)</f>
        <v>BUDZEROLN.png</v>
      </c>
      <c r="Q258" t="s">
        <v>104</v>
      </c>
      <c r="R258" t="s">
        <v>26</v>
      </c>
      <c r="S258" t="s">
        <v>74</v>
      </c>
      <c r="T258" t="s">
        <v>79</v>
      </c>
      <c r="U258">
        <v>3.39</v>
      </c>
      <c r="V258">
        <v>2.99</v>
      </c>
    </row>
    <row r="259" spans="1:22" x14ac:dyDescent="0.25">
      <c r="A259" s="2" t="s">
        <v>11</v>
      </c>
      <c r="B259" s="2" t="s">
        <v>64</v>
      </c>
      <c r="C259" t="s">
        <v>100</v>
      </c>
      <c r="D259" t="s">
        <v>27</v>
      </c>
      <c r="E259" t="s">
        <v>74</v>
      </c>
      <c r="F259" t="s">
        <v>92</v>
      </c>
      <c r="G259">
        <v>6.39</v>
      </c>
      <c r="H259">
        <v>5.39</v>
      </c>
      <c r="I259" s="2" t="str">
        <f>_xlfn.XLOOKUP(F259,DeparaIMG!B:B,DeparaIMG!D:D,,0)</f>
        <v>BUDZEROLN.png</v>
      </c>
      <c r="Q259" t="s">
        <v>104</v>
      </c>
      <c r="R259" t="s">
        <v>26</v>
      </c>
      <c r="S259" t="s">
        <v>74</v>
      </c>
      <c r="T259" t="s">
        <v>80</v>
      </c>
      <c r="U259">
        <v>3.69</v>
      </c>
      <c r="V259">
        <v>3.19</v>
      </c>
    </row>
    <row r="260" spans="1:22" x14ac:dyDescent="0.25">
      <c r="A260" s="2" t="s">
        <v>11</v>
      </c>
      <c r="B260" s="2" t="s">
        <v>64</v>
      </c>
      <c r="C260" t="s">
        <v>4</v>
      </c>
      <c r="D260" t="s">
        <v>26</v>
      </c>
      <c r="E260" t="s">
        <v>74</v>
      </c>
      <c r="F260" t="s">
        <v>93</v>
      </c>
      <c r="G260">
        <v>6.39</v>
      </c>
      <c r="H260">
        <v>5.69</v>
      </c>
      <c r="I260" s="2" t="str">
        <f>_xlfn.XLOOKUP(F260,DeparaIMG!B:B,DeparaIMG!D:D,,0)</f>
        <v>BUDLN.png</v>
      </c>
      <c r="Q260" t="s">
        <v>104</v>
      </c>
      <c r="R260" t="s">
        <v>26</v>
      </c>
      <c r="S260" t="s">
        <v>65</v>
      </c>
      <c r="T260" t="s">
        <v>80</v>
      </c>
      <c r="U260">
        <v>3.69</v>
      </c>
      <c r="V260">
        <v>3.19</v>
      </c>
    </row>
    <row r="261" spans="1:22" x14ac:dyDescent="0.25">
      <c r="A261" s="2" t="s">
        <v>11</v>
      </c>
      <c r="B261" s="2" t="s">
        <v>64</v>
      </c>
      <c r="C261" t="s">
        <v>4</v>
      </c>
      <c r="D261" t="s">
        <v>27</v>
      </c>
      <c r="E261" t="s">
        <v>74</v>
      </c>
      <c r="F261" t="s">
        <v>93</v>
      </c>
      <c r="G261">
        <v>6.39</v>
      </c>
      <c r="H261">
        <v>5.69</v>
      </c>
      <c r="I261" s="2" t="str">
        <f>_xlfn.XLOOKUP(F261,DeparaIMG!B:B,DeparaIMG!D:D,,0)</f>
        <v>BUDLN.png</v>
      </c>
      <c r="Q261" t="s">
        <v>104</v>
      </c>
      <c r="R261" t="s">
        <v>27</v>
      </c>
      <c r="S261" t="s">
        <v>74</v>
      </c>
      <c r="T261" t="s">
        <v>82</v>
      </c>
      <c r="U261">
        <v>3.79</v>
      </c>
      <c r="V261">
        <v>3.49</v>
      </c>
    </row>
    <row r="262" spans="1:22" x14ac:dyDescent="0.25">
      <c r="A262" s="2" t="s">
        <v>11</v>
      </c>
      <c r="B262" s="2" t="s">
        <v>64</v>
      </c>
      <c r="C262" t="s">
        <v>4</v>
      </c>
      <c r="D262" t="s">
        <v>26</v>
      </c>
      <c r="E262" t="s">
        <v>74</v>
      </c>
      <c r="F262" t="s">
        <v>92</v>
      </c>
      <c r="G262">
        <v>6.39</v>
      </c>
      <c r="H262">
        <v>5.39</v>
      </c>
      <c r="I262" s="2" t="str">
        <f>_xlfn.XLOOKUP(F262,DeparaIMG!B:B,DeparaIMG!D:D,,0)</f>
        <v>BUDZEROLN.png</v>
      </c>
      <c r="Q262" t="s">
        <v>104</v>
      </c>
      <c r="R262" t="s">
        <v>26</v>
      </c>
      <c r="S262" t="s">
        <v>65</v>
      </c>
      <c r="T262" t="s">
        <v>67</v>
      </c>
      <c r="U262">
        <v>3.89</v>
      </c>
      <c r="V262">
        <v>3.69</v>
      </c>
    </row>
    <row r="263" spans="1:22" x14ac:dyDescent="0.25">
      <c r="A263" s="2" t="s">
        <v>11</v>
      </c>
      <c r="B263" s="2" t="s">
        <v>64</v>
      </c>
      <c r="C263" t="s">
        <v>4</v>
      </c>
      <c r="D263" t="s">
        <v>27</v>
      </c>
      <c r="E263" t="s">
        <v>74</v>
      </c>
      <c r="F263" t="s">
        <v>92</v>
      </c>
      <c r="G263">
        <v>6.39</v>
      </c>
      <c r="H263">
        <v>5.39</v>
      </c>
      <c r="I263" s="2" t="str">
        <f>_xlfn.XLOOKUP(F263,DeparaIMG!B:B,DeparaIMG!D:D,,0)</f>
        <v>BUDZEROLN.png</v>
      </c>
      <c r="Q263" t="s">
        <v>104</v>
      </c>
      <c r="R263" t="s">
        <v>26</v>
      </c>
      <c r="S263" t="s">
        <v>65</v>
      </c>
      <c r="T263" t="s">
        <v>83</v>
      </c>
      <c r="U263">
        <v>3.89</v>
      </c>
      <c r="V263">
        <v>3.59</v>
      </c>
    </row>
    <row r="264" spans="1:22" x14ac:dyDescent="0.25">
      <c r="A264" s="2" t="s">
        <v>11</v>
      </c>
      <c r="B264" s="2" t="s">
        <v>64</v>
      </c>
      <c r="C264" t="s">
        <v>102</v>
      </c>
      <c r="D264" t="s">
        <v>27</v>
      </c>
      <c r="E264" t="s">
        <v>74</v>
      </c>
      <c r="F264" t="s">
        <v>92</v>
      </c>
      <c r="G264">
        <v>6.39</v>
      </c>
      <c r="H264">
        <v>5.39</v>
      </c>
      <c r="I264" s="2" t="str">
        <f>_xlfn.XLOOKUP(F264,DeparaIMG!B:B,DeparaIMG!D:D,,0)</f>
        <v>BUDZEROLN.png</v>
      </c>
      <c r="Q264" t="s">
        <v>104</v>
      </c>
      <c r="R264" t="s">
        <v>27</v>
      </c>
      <c r="S264" t="s">
        <v>65</v>
      </c>
      <c r="T264" t="s">
        <v>83</v>
      </c>
      <c r="U264">
        <v>3.89</v>
      </c>
      <c r="V264">
        <v>3.59</v>
      </c>
    </row>
    <row r="265" spans="1:22" x14ac:dyDescent="0.25">
      <c r="A265" s="2" t="s">
        <v>11</v>
      </c>
      <c r="B265" s="2" t="s">
        <v>64</v>
      </c>
      <c r="C265" t="s">
        <v>29</v>
      </c>
      <c r="D265" t="s">
        <v>27</v>
      </c>
      <c r="E265" t="s">
        <v>74</v>
      </c>
      <c r="F265" t="s">
        <v>93</v>
      </c>
      <c r="G265">
        <v>6.39</v>
      </c>
      <c r="H265">
        <v>5.69</v>
      </c>
      <c r="I265" s="2" t="str">
        <f>_xlfn.XLOOKUP(F265,DeparaIMG!B:B,DeparaIMG!D:D,,0)</f>
        <v>BUDLN.png</v>
      </c>
      <c r="Q265" t="s">
        <v>104</v>
      </c>
      <c r="R265" t="s">
        <v>27</v>
      </c>
      <c r="S265" t="s">
        <v>74</v>
      </c>
      <c r="T265" t="s">
        <v>80</v>
      </c>
      <c r="U265">
        <v>3.99</v>
      </c>
      <c r="V265">
        <v>3.49</v>
      </c>
    </row>
    <row r="266" spans="1:22" x14ac:dyDescent="0.25">
      <c r="A266" s="2" t="s">
        <v>11</v>
      </c>
      <c r="B266" s="2" t="s">
        <v>64</v>
      </c>
      <c r="C266" t="s">
        <v>30</v>
      </c>
      <c r="D266" t="s">
        <v>27</v>
      </c>
      <c r="E266" t="s">
        <v>74</v>
      </c>
      <c r="F266" t="s">
        <v>93</v>
      </c>
      <c r="G266">
        <v>6.39</v>
      </c>
      <c r="H266">
        <v>5.69</v>
      </c>
      <c r="I266" s="2" t="str">
        <f>_xlfn.XLOOKUP(F266,DeparaIMG!B:B,DeparaIMG!D:D,,0)</f>
        <v>BUDLN.png</v>
      </c>
      <c r="Q266" t="s">
        <v>104</v>
      </c>
      <c r="R266" t="s">
        <v>27</v>
      </c>
      <c r="S266" t="s">
        <v>65</v>
      </c>
      <c r="T266" t="s">
        <v>80</v>
      </c>
      <c r="U266">
        <v>3.99</v>
      </c>
      <c r="V266">
        <v>3.49</v>
      </c>
    </row>
    <row r="267" spans="1:22" x14ac:dyDescent="0.25">
      <c r="A267" s="2" t="s">
        <v>11</v>
      </c>
      <c r="B267" s="2" t="s">
        <v>64</v>
      </c>
      <c r="C267" t="s">
        <v>99</v>
      </c>
      <c r="D267" t="s">
        <v>27</v>
      </c>
      <c r="E267" t="s">
        <v>74</v>
      </c>
      <c r="F267" t="s">
        <v>93</v>
      </c>
      <c r="G267">
        <v>6.39</v>
      </c>
      <c r="H267">
        <v>5.69</v>
      </c>
      <c r="I267" s="2" t="str">
        <f>_xlfn.XLOOKUP(F267,DeparaIMG!B:B,DeparaIMG!D:D,,0)</f>
        <v>BUDLN.png</v>
      </c>
      <c r="Q267" t="s">
        <v>104</v>
      </c>
      <c r="R267" t="s">
        <v>26</v>
      </c>
      <c r="S267" t="s">
        <v>74</v>
      </c>
      <c r="T267" t="s">
        <v>85</v>
      </c>
      <c r="U267">
        <v>4.1900000000000004</v>
      </c>
      <c r="V267">
        <v>3.19</v>
      </c>
    </row>
    <row r="268" spans="1:22" x14ac:dyDescent="0.25">
      <c r="A268" s="2" t="s">
        <v>11</v>
      </c>
      <c r="B268" s="2" t="s">
        <v>64</v>
      </c>
      <c r="C268" t="s">
        <v>100</v>
      </c>
      <c r="D268" t="s">
        <v>27</v>
      </c>
      <c r="E268" t="s">
        <v>74</v>
      </c>
      <c r="F268" t="s">
        <v>93</v>
      </c>
      <c r="G268">
        <v>6.39</v>
      </c>
      <c r="H268">
        <v>5.69</v>
      </c>
      <c r="I268" s="2" t="str">
        <f>_xlfn.XLOOKUP(F268,DeparaIMG!B:B,DeparaIMG!D:D,,0)</f>
        <v>BUDLN.png</v>
      </c>
      <c r="Q268" t="s">
        <v>104</v>
      </c>
      <c r="R268" t="s">
        <v>27</v>
      </c>
      <c r="S268" t="s">
        <v>74</v>
      </c>
      <c r="T268" t="s">
        <v>85</v>
      </c>
      <c r="U268">
        <v>4.1900000000000004</v>
      </c>
      <c r="V268">
        <v>3.19</v>
      </c>
    </row>
    <row r="269" spans="1:22" x14ac:dyDescent="0.25">
      <c r="A269" s="2" t="s">
        <v>11</v>
      </c>
      <c r="B269" s="2" t="s">
        <v>64</v>
      </c>
      <c r="C269" t="s">
        <v>102</v>
      </c>
      <c r="D269" t="s">
        <v>27</v>
      </c>
      <c r="E269" t="s">
        <v>74</v>
      </c>
      <c r="F269" t="s">
        <v>93</v>
      </c>
      <c r="G269">
        <v>6.39</v>
      </c>
      <c r="H269">
        <v>5.69</v>
      </c>
      <c r="I269" s="2" t="str">
        <f>_xlfn.XLOOKUP(F269,DeparaIMG!B:B,DeparaIMG!D:D,,0)</f>
        <v>BUDLN.png</v>
      </c>
      <c r="Q269" t="s">
        <v>104</v>
      </c>
      <c r="R269" t="s">
        <v>27</v>
      </c>
      <c r="S269" t="s">
        <v>65</v>
      </c>
      <c r="T269" t="s">
        <v>67</v>
      </c>
      <c r="U269">
        <v>4.1900000000000004</v>
      </c>
      <c r="V269">
        <v>3.99</v>
      </c>
    </row>
    <row r="270" spans="1:22" x14ac:dyDescent="0.25">
      <c r="A270" s="2" t="s">
        <v>11</v>
      </c>
      <c r="B270" s="2" t="s">
        <v>64</v>
      </c>
      <c r="C270" t="s">
        <v>101</v>
      </c>
      <c r="D270" t="s">
        <v>27</v>
      </c>
      <c r="E270" t="s">
        <v>74</v>
      </c>
      <c r="F270" t="s">
        <v>93</v>
      </c>
      <c r="G270">
        <v>6.39</v>
      </c>
      <c r="H270">
        <v>5.69</v>
      </c>
      <c r="I270" s="2" t="str">
        <f>_xlfn.XLOOKUP(F270,DeparaIMG!B:B,DeparaIMG!D:D,,0)</f>
        <v>BUDLN.png</v>
      </c>
      <c r="Q270" t="s">
        <v>104</v>
      </c>
      <c r="R270" t="s">
        <v>27</v>
      </c>
      <c r="S270" t="s">
        <v>74</v>
      </c>
      <c r="T270" t="s">
        <v>87</v>
      </c>
      <c r="U270">
        <v>4.29</v>
      </c>
      <c r="V270">
        <v>3.69</v>
      </c>
    </row>
    <row r="271" spans="1:22" x14ac:dyDescent="0.25">
      <c r="A271" s="2" t="s">
        <v>11</v>
      </c>
      <c r="B271" s="2" t="s">
        <v>64</v>
      </c>
      <c r="C271" t="s">
        <v>101</v>
      </c>
      <c r="D271" t="s">
        <v>27</v>
      </c>
      <c r="E271" t="s">
        <v>74</v>
      </c>
      <c r="F271" t="s">
        <v>92</v>
      </c>
      <c r="G271">
        <v>6.39</v>
      </c>
      <c r="H271">
        <v>5.39</v>
      </c>
      <c r="I271" s="2" t="str">
        <f>_xlfn.XLOOKUP(F271,DeparaIMG!B:B,DeparaIMG!D:D,,0)</f>
        <v>BUDZEROLN.png</v>
      </c>
      <c r="Q271" t="s">
        <v>104</v>
      </c>
      <c r="R271" t="s">
        <v>26</v>
      </c>
      <c r="S271" t="s">
        <v>74</v>
      </c>
      <c r="T271" t="s">
        <v>89</v>
      </c>
      <c r="U271">
        <v>5.49</v>
      </c>
      <c r="V271">
        <v>4.99</v>
      </c>
    </row>
    <row r="272" spans="1:22" x14ac:dyDescent="0.25">
      <c r="A272" s="2" t="s">
        <v>11</v>
      </c>
      <c r="B272" s="2" t="s">
        <v>64</v>
      </c>
      <c r="C272" t="s">
        <v>29</v>
      </c>
      <c r="D272" t="s">
        <v>26</v>
      </c>
      <c r="E272" t="s">
        <v>65</v>
      </c>
      <c r="F272" t="s">
        <v>94</v>
      </c>
      <c r="G272">
        <v>6.69</v>
      </c>
      <c r="H272">
        <v>5.99</v>
      </c>
      <c r="I272" s="2" t="str">
        <f>_xlfn.XLOOKUP(F272,DeparaIMG!B:B,DeparaIMG!D:D,,0)</f>
        <v>MICLN.png</v>
      </c>
      <c r="Q272" t="s">
        <v>104</v>
      </c>
      <c r="R272" t="s">
        <v>27</v>
      </c>
      <c r="S272" t="s">
        <v>74</v>
      </c>
      <c r="T272" t="s">
        <v>89</v>
      </c>
      <c r="U272">
        <v>5.49</v>
      </c>
      <c r="V272">
        <v>4.99</v>
      </c>
    </row>
    <row r="273" spans="1:22" x14ac:dyDescent="0.25">
      <c r="A273" s="2" t="s">
        <v>11</v>
      </c>
      <c r="B273" s="2" t="s">
        <v>64</v>
      </c>
      <c r="C273" t="s">
        <v>29</v>
      </c>
      <c r="D273" t="s">
        <v>27</v>
      </c>
      <c r="E273" t="s">
        <v>65</v>
      </c>
      <c r="F273" t="s">
        <v>94</v>
      </c>
      <c r="G273">
        <v>6.69</v>
      </c>
      <c r="H273">
        <v>5.99</v>
      </c>
      <c r="I273" s="2" t="str">
        <f>_xlfn.XLOOKUP(F273,DeparaIMG!B:B,DeparaIMG!D:D,,0)</f>
        <v>MICLN.png</v>
      </c>
      <c r="Q273" t="s">
        <v>104</v>
      </c>
      <c r="R273" t="s">
        <v>27</v>
      </c>
      <c r="S273" t="s">
        <v>65</v>
      </c>
      <c r="T273" t="s">
        <v>68</v>
      </c>
      <c r="U273">
        <v>5.49</v>
      </c>
      <c r="V273">
        <v>4.6900000000000004</v>
      </c>
    </row>
    <row r="274" spans="1:22" x14ac:dyDescent="0.25">
      <c r="A274" s="2" t="s">
        <v>11</v>
      </c>
      <c r="B274" s="2" t="s">
        <v>64</v>
      </c>
      <c r="C274" t="s">
        <v>30</v>
      </c>
      <c r="D274" t="s">
        <v>26</v>
      </c>
      <c r="E274" t="s">
        <v>65</v>
      </c>
      <c r="F274" t="s">
        <v>94</v>
      </c>
      <c r="G274">
        <v>6.69</v>
      </c>
      <c r="H274">
        <v>5.99</v>
      </c>
      <c r="I274" s="2" t="str">
        <f>_xlfn.XLOOKUP(F274,DeparaIMG!B:B,DeparaIMG!D:D,,0)</f>
        <v>MICLN.png</v>
      </c>
      <c r="Q274" t="s">
        <v>104</v>
      </c>
      <c r="R274" t="s">
        <v>26</v>
      </c>
      <c r="S274" t="s">
        <v>65</v>
      </c>
      <c r="T274" t="s">
        <v>68</v>
      </c>
      <c r="U274">
        <v>5.49</v>
      </c>
      <c r="V274">
        <v>4.6900000000000004</v>
      </c>
    </row>
    <row r="275" spans="1:22" x14ac:dyDescent="0.25">
      <c r="A275" s="2" t="s">
        <v>11</v>
      </c>
      <c r="B275" s="2" t="s">
        <v>64</v>
      </c>
      <c r="C275" t="s">
        <v>30</v>
      </c>
      <c r="D275" t="s">
        <v>27</v>
      </c>
      <c r="E275" t="s">
        <v>65</v>
      </c>
      <c r="F275" t="s">
        <v>94</v>
      </c>
      <c r="G275">
        <v>6.69</v>
      </c>
      <c r="H275">
        <v>5.99</v>
      </c>
      <c r="I275" s="2" t="str">
        <f>_xlfn.XLOOKUP(F275,DeparaIMG!B:B,DeparaIMG!D:D,,0)</f>
        <v>MICLN.png</v>
      </c>
      <c r="Q275" t="s">
        <v>104</v>
      </c>
      <c r="R275" t="s">
        <v>27</v>
      </c>
      <c r="S275" t="s">
        <v>65</v>
      </c>
      <c r="T275" t="s">
        <v>90</v>
      </c>
      <c r="U275">
        <v>6.29</v>
      </c>
      <c r="V275">
        <v>5.49</v>
      </c>
    </row>
    <row r="276" spans="1:22" x14ac:dyDescent="0.25">
      <c r="A276" s="2" t="s">
        <v>11</v>
      </c>
      <c r="B276" s="2" t="s">
        <v>64</v>
      </c>
      <c r="C276" t="s">
        <v>99</v>
      </c>
      <c r="D276" t="s">
        <v>26</v>
      </c>
      <c r="E276" t="s">
        <v>65</v>
      </c>
      <c r="F276" t="s">
        <v>94</v>
      </c>
      <c r="G276">
        <v>6.69</v>
      </c>
      <c r="H276">
        <v>5.99</v>
      </c>
      <c r="I276" s="2" t="str">
        <f>_xlfn.XLOOKUP(F276,DeparaIMG!B:B,DeparaIMG!D:D,,0)</f>
        <v>MICLN.png</v>
      </c>
      <c r="Q276" t="s">
        <v>104</v>
      </c>
      <c r="R276" t="s">
        <v>27</v>
      </c>
      <c r="S276" t="s">
        <v>65</v>
      </c>
      <c r="T276" t="s">
        <v>91</v>
      </c>
      <c r="U276">
        <v>6.29</v>
      </c>
      <c r="V276">
        <v>5.49</v>
      </c>
    </row>
    <row r="277" spans="1:22" x14ac:dyDescent="0.25">
      <c r="A277" s="2" t="s">
        <v>11</v>
      </c>
      <c r="B277" s="2" t="s">
        <v>64</v>
      </c>
      <c r="C277" t="s">
        <v>99</v>
      </c>
      <c r="D277" t="s">
        <v>27</v>
      </c>
      <c r="E277" t="s">
        <v>65</v>
      </c>
      <c r="F277" t="s">
        <v>94</v>
      </c>
      <c r="G277">
        <v>6.69</v>
      </c>
      <c r="H277">
        <v>5.99</v>
      </c>
      <c r="I277" s="2" t="str">
        <f>_xlfn.XLOOKUP(F277,DeparaIMG!B:B,DeparaIMG!D:D,,0)</f>
        <v>MICLN.png</v>
      </c>
      <c r="Q277" t="s">
        <v>104</v>
      </c>
      <c r="R277" t="s">
        <v>26</v>
      </c>
      <c r="S277" t="s">
        <v>65</v>
      </c>
      <c r="T277" t="s">
        <v>91</v>
      </c>
      <c r="U277">
        <v>6.29</v>
      </c>
      <c r="V277">
        <v>5.49</v>
      </c>
    </row>
    <row r="278" spans="1:22" x14ac:dyDescent="0.25">
      <c r="A278" s="2" t="s">
        <v>11</v>
      </c>
      <c r="B278" s="2" t="s">
        <v>64</v>
      </c>
      <c r="C278" t="s">
        <v>100</v>
      </c>
      <c r="D278" t="s">
        <v>26</v>
      </c>
      <c r="E278" t="s">
        <v>65</v>
      </c>
      <c r="F278" t="s">
        <v>94</v>
      </c>
      <c r="G278">
        <v>6.69</v>
      </c>
      <c r="H278">
        <v>5.99</v>
      </c>
      <c r="I278" s="2" t="str">
        <f>_xlfn.XLOOKUP(F278,DeparaIMG!B:B,DeparaIMG!D:D,,0)</f>
        <v>MICLN.png</v>
      </c>
      <c r="Q278" t="s">
        <v>104</v>
      </c>
      <c r="R278" t="s">
        <v>26</v>
      </c>
      <c r="S278" t="s">
        <v>74</v>
      </c>
      <c r="T278" t="s">
        <v>93</v>
      </c>
      <c r="U278">
        <v>6.39</v>
      </c>
      <c r="V278">
        <v>5.69</v>
      </c>
    </row>
    <row r="279" spans="1:22" x14ac:dyDescent="0.25">
      <c r="A279" s="2" t="s">
        <v>11</v>
      </c>
      <c r="B279" s="2" t="s">
        <v>64</v>
      </c>
      <c r="C279" t="s">
        <v>100</v>
      </c>
      <c r="D279" t="s">
        <v>27</v>
      </c>
      <c r="E279" t="s">
        <v>65</v>
      </c>
      <c r="F279" t="s">
        <v>94</v>
      </c>
      <c r="G279">
        <v>6.69</v>
      </c>
      <c r="H279">
        <v>5.99</v>
      </c>
      <c r="I279" s="2" t="str">
        <f>_xlfn.XLOOKUP(F279,DeparaIMG!B:B,DeparaIMG!D:D,,0)</f>
        <v>MICLN.png</v>
      </c>
      <c r="Q279" t="s">
        <v>104</v>
      </c>
      <c r="R279" t="s">
        <v>27</v>
      </c>
      <c r="S279" t="s">
        <v>74</v>
      </c>
      <c r="T279" t="s">
        <v>93</v>
      </c>
      <c r="U279">
        <v>6.39</v>
      </c>
      <c r="V279">
        <v>5.69</v>
      </c>
    </row>
    <row r="280" spans="1:22" x14ac:dyDescent="0.25">
      <c r="A280" s="2" t="s">
        <v>11</v>
      </c>
      <c r="B280" s="2" t="s">
        <v>64</v>
      </c>
      <c r="C280" t="s">
        <v>4</v>
      </c>
      <c r="D280" t="s">
        <v>26</v>
      </c>
      <c r="E280" t="s">
        <v>65</v>
      </c>
      <c r="F280" t="s">
        <v>94</v>
      </c>
      <c r="G280">
        <v>6.69</v>
      </c>
      <c r="H280">
        <v>5.99</v>
      </c>
      <c r="I280" s="2" t="str">
        <f>_xlfn.XLOOKUP(F280,DeparaIMG!B:B,DeparaIMG!D:D,,0)</f>
        <v>MICLN.png</v>
      </c>
      <c r="Q280" t="s">
        <v>104</v>
      </c>
      <c r="R280" t="s">
        <v>26</v>
      </c>
      <c r="S280" t="s">
        <v>74</v>
      </c>
      <c r="T280" t="s">
        <v>92</v>
      </c>
      <c r="U280">
        <v>6.39</v>
      </c>
      <c r="V280">
        <v>5.39</v>
      </c>
    </row>
    <row r="281" spans="1:22" x14ac:dyDescent="0.25">
      <c r="A281" s="2" t="s">
        <v>11</v>
      </c>
      <c r="B281" s="2" t="s">
        <v>64</v>
      </c>
      <c r="C281" t="s">
        <v>4</v>
      </c>
      <c r="D281" t="s">
        <v>27</v>
      </c>
      <c r="E281" t="s">
        <v>65</v>
      </c>
      <c r="F281" t="s">
        <v>94</v>
      </c>
      <c r="G281">
        <v>6.69</v>
      </c>
      <c r="H281">
        <v>5.99</v>
      </c>
      <c r="I281" s="2" t="str">
        <f>_xlfn.XLOOKUP(F281,DeparaIMG!B:B,DeparaIMG!D:D,,0)</f>
        <v>MICLN.png</v>
      </c>
      <c r="Q281" t="s">
        <v>104</v>
      </c>
      <c r="R281" t="s">
        <v>27</v>
      </c>
      <c r="S281" t="s">
        <v>74</v>
      </c>
      <c r="T281" t="s">
        <v>92</v>
      </c>
      <c r="U281">
        <v>6.39</v>
      </c>
      <c r="V281">
        <v>5.39</v>
      </c>
    </row>
    <row r="282" spans="1:22" x14ac:dyDescent="0.25">
      <c r="A282" s="2" t="s">
        <v>11</v>
      </c>
      <c r="B282" s="2" t="s">
        <v>64</v>
      </c>
      <c r="C282" t="s">
        <v>102</v>
      </c>
      <c r="D282" t="s">
        <v>27</v>
      </c>
      <c r="E282" t="s">
        <v>65</v>
      </c>
      <c r="F282" t="s">
        <v>94</v>
      </c>
      <c r="G282">
        <v>6.69</v>
      </c>
      <c r="H282">
        <v>5.99</v>
      </c>
      <c r="I282" s="2" t="str">
        <f>_xlfn.XLOOKUP(F282,DeparaIMG!B:B,DeparaIMG!D:D,,0)</f>
        <v>MICLN.png</v>
      </c>
      <c r="Q282" t="s">
        <v>104</v>
      </c>
      <c r="R282" t="s">
        <v>26</v>
      </c>
      <c r="S282" t="s">
        <v>65</v>
      </c>
      <c r="T282" t="s">
        <v>94</v>
      </c>
      <c r="U282">
        <v>6.69</v>
      </c>
      <c r="V282">
        <v>5.99</v>
      </c>
    </row>
    <row r="283" spans="1:22" x14ac:dyDescent="0.25">
      <c r="A283" s="2" t="s">
        <v>11</v>
      </c>
      <c r="B283" s="2" t="s">
        <v>64</v>
      </c>
      <c r="C283" t="s">
        <v>101</v>
      </c>
      <c r="D283" t="s">
        <v>27</v>
      </c>
      <c r="E283" t="s">
        <v>65</v>
      </c>
      <c r="F283" t="s">
        <v>94</v>
      </c>
      <c r="G283">
        <v>6.69</v>
      </c>
      <c r="H283">
        <v>5.99</v>
      </c>
      <c r="I283" s="2" t="str">
        <f>_xlfn.XLOOKUP(F283,DeparaIMG!B:B,DeparaIMG!D:D,,0)</f>
        <v>MICLN.png</v>
      </c>
      <c r="Q283" t="s">
        <v>104</v>
      </c>
      <c r="R283" t="s">
        <v>27</v>
      </c>
      <c r="S283" t="s">
        <v>65</v>
      </c>
      <c r="T283" t="s">
        <v>94</v>
      </c>
      <c r="U283">
        <v>6.69</v>
      </c>
      <c r="V283">
        <v>5.99</v>
      </c>
    </row>
    <row r="284" spans="1:22" x14ac:dyDescent="0.25">
      <c r="A284" s="2" t="s">
        <v>11</v>
      </c>
      <c r="B284" s="2" t="s">
        <v>64</v>
      </c>
      <c r="C284" t="s">
        <v>101</v>
      </c>
      <c r="D284" t="s">
        <v>26</v>
      </c>
      <c r="E284" t="s">
        <v>65</v>
      </c>
      <c r="F284" t="s">
        <v>94</v>
      </c>
      <c r="G284">
        <v>6.69</v>
      </c>
      <c r="H284">
        <v>5.99</v>
      </c>
      <c r="I284" s="2" t="str">
        <f>_xlfn.XLOOKUP(F284,DeparaIMG!B:B,DeparaIMG!D:D,,0)</f>
        <v>MICLN.png</v>
      </c>
      <c r="Q284" t="s">
        <v>104</v>
      </c>
      <c r="R284" t="s">
        <v>26</v>
      </c>
      <c r="S284" t="s">
        <v>65</v>
      </c>
      <c r="T284" t="s">
        <v>95</v>
      </c>
      <c r="U284">
        <v>6.99</v>
      </c>
      <c r="V284">
        <v>6.59</v>
      </c>
    </row>
    <row r="285" spans="1:22" x14ac:dyDescent="0.25">
      <c r="A285" s="2" t="s">
        <v>11</v>
      </c>
      <c r="B285" s="2" t="s">
        <v>64</v>
      </c>
      <c r="C285" t="s">
        <v>102</v>
      </c>
      <c r="D285" t="s">
        <v>26</v>
      </c>
      <c r="E285" t="s">
        <v>65</v>
      </c>
      <c r="F285" t="s">
        <v>94</v>
      </c>
      <c r="G285">
        <v>6.69</v>
      </c>
      <c r="H285">
        <v>5.99</v>
      </c>
      <c r="I285" s="2" t="str">
        <f>_xlfn.XLOOKUP(F285,DeparaIMG!B:B,DeparaIMG!D:D,,0)</f>
        <v>MICLN.png</v>
      </c>
      <c r="Q285" t="s">
        <v>104</v>
      </c>
      <c r="R285" t="s">
        <v>27</v>
      </c>
      <c r="S285" t="s">
        <v>65</v>
      </c>
      <c r="T285" t="s">
        <v>95</v>
      </c>
      <c r="U285">
        <v>6.99</v>
      </c>
      <c r="V285">
        <v>6.59</v>
      </c>
    </row>
    <row r="286" spans="1:22" x14ac:dyDescent="0.25">
      <c r="A286" s="2" t="s">
        <v>11</v>
      </c>
      <c r="B286" s="2" t="s">
        <v>64</v>
      </c>
      <c r="C286" t="s">
        <v>103</v>
      </c>
      <c r="D286" t="s">
        <v>26</v>
      </c>
      <c r="E286" t="s">
        <v>65</v>
      </c>
      <c r="F286" t="s">
        <v>95</v>
      </c>
      <c r="G286">
        <v>6.99</v>
      </c>
      <c r="H286">
        <v>6.59</v>
      </c>
      <c r="I286" s="2" t="str">
        <f>_xlfn.XLOOKUP(F286,DeparaIMG!B:B,DeparaIMG!D:D,,0)</f>
        <v>STELN.png</v>
      </c>
      <c r="Q286" t="s">
        <v>104</v>
      </c>
      <c r="R286" t="s">
        <v>27</v>
      </c>
      <c r="S286" t="s">
        <v>74</v>
      </c>
      <c r="T286" t="s">
        <v>96</v>
      </c>
      <c r="U286">
        <v>7.99</v>
      </c>
      <c r="V286">
        <v>6.99</v>
      </c>
    </row>
    <row r="287" spans="1:22" x14ac:dyDescent="0.25">
      <c r="A287" s="2" t="s">
        <v>11</v>
      </c>
      <c r="B287" s="2" t="s">
        <v>64</v>
      </c>
      <c r="C287" t="s">
        <v>4</v>
      </c>
      <c r="D287" t="s">
        <v>26</v>
      </c>
      <c r="E287" t="s">
        <v>65</v>
      </c>
      <c r="F287" t="s">
        <v>95</v>
      </c>
      <c r="G287">
        <v>6.99</v>
      </c>
      <c r="H287">
        <v>6.59</v>
      </c>
      <c r="I287" s="2" t="str">
        <f>_xlfn.XLOOKUP(F287,DeparaIMG!B:B,DeparaIMG!D:D,,0)</f>
        <v>STELN.png</v>
      </c>
      <c r="Q287" t="s">
        <v>104</v>
      </c>
      <c r="R287" t="s">
        <v>27</v>
      </c>
      <c r="S287" t="s">
        <v>74</v>
      </c>
      <c r="T287" t="s">
        <v>97</v>
      </c>
      <c r="U287">
        <v>7.99</v>
      </c>
      <c r="V287">
        <v>6.99</v>
      </c>
    </row>
    <row r="288" spans="1:22" x14ac:dyDescent="0.25">
      <c r="A288" s="2" t="s">
        <v>11</v>
      </c>
      <c r="B288" s="2" t="s">
        <v>64</v>
      </c>
      <c r="C288" t="s">
        <v>101</v>
      </c>
      <c r="D288" t="s">
        <v>26</v>
      </c>
      <c r="E288" t="s">
        <v>65</v>
      </c>
      <c r="F288" t="s">
        <v>95</v>
      </c>
      <c r="G288">
        <v>6.99</v>
      </c>
      <c r="H288">
        <v>6.59</v>
      </c>
      <c r="I288" s="2" t="str">
        <f>_xlfn.XLOOKUP(F288,DeparaIMG!B:B,DeparaIMG!D:D,,0)</f>
        <v>STELN.png</v>
      </c>
      <c r="Q288" t="s">
        <v>104</v>
      </c>
      <c r="R288" t="s">
        <v>26</v>
      </c>
      <c r="S288" t="s">
        <v>74</v>
      </c>
      <c r="T288" t="s">
        <v>96</v>
      </c>
      <c r="U288">
        <v>7.99</v>
      </c>
      <c r="V288">
        <v>6.99</v>
      </c>
    </row>
    <row r="289" spans="1:22" x14ac:dyDescent="0.25">
      <c r="A289" s="2" t="s">
        <v>11</v>
      </c>
      <c r="B289" s="2" t="s">
        <v>64</v>
      </c>
      <c r="C289" t="s">
        <v>29</v>
      </c>
      <c r="D289" t="s">
        <v>26</v>
      </c>
      <c r="E289" t="s">
        <v>65</v>
      </c>
      <c r="F289" t="s">
        <v>95</v>
      </c>
      <c r="G289">
        <v>6.99</v>
      </c>
      <c r="H289">
        <v>6.59</v>
      </c>
      <c r="I289" s="2" t="str">
        <f>_xlfn.XLOOKUP(F289,DeparaIMG!B:B,DeparaIMG!D:D,,0)</f>
        <v>STELN.png</v>
      </c>
      <c r="Q289" t="s">
        <v>104</v>
      </c>
      <c r="R289" t="s">
        <v>26</v>
      </c>
      <c r="S289" t="s">
        <v>74</v>
      </c>
      <c r="T289" t="s">
        <v>97</v>
      </c>
      <c r="U289">
        <v>7.99</v>
      </c>
      <c r="V289">
        <v>6.99</v>
      </c>
    </row>
    <row r="290" spans="1:22" x14ac:dyDescent="0.25">
      <c r="A290" s="2" t="s">
        <v>11</v>
      </c>
      <c r="B290" s="2" t="s">
        <v>64</v>
      </c>
      <c r="C290" t="s">
        <v>30</v>
      </c>
      <c r="D290" t="s">
        <v>26</v>
      </c>
      <c r="E290" t="s">
        <v>65</v>
      </c>
      <c r="F290" t="s">
        <v>95</v>
      </c>
      <c r="G290">
        <v>6.99</v>
      </c>
      <c r="H290">
        <v>6.59</v>
      </c>
      <c r="I290" s="2" t="str">
        <f>_xlfn.XLOOKUP(F290,DeparaIMG!B:B,DeparaIMG!D:D,,0)</f>
        <v>STELN.png</v>
      </c>
      <c r="Q290" t="s">
        <v>105</v>
      </c>
      <c r="R290" t="s">
        <v>27</v>
      </c>
      <c r="S290" t="s">
        <v>65</v>
      </c>
      <c r="T290" t="s">
        <v>66</v>
      </c>
      <c r="U290">
        <v>3.19</v>
      </c>
      <c r="V290">
        <v>2.99</v>
      </c>
    </row>
    <row r="291" spans="1:22" x14ac:dyDescent="0.25">
      <c r="A291" s="2" t="s">
        <v>11</v>
      </c>
      <c r="B291" s="2" t="s">
        <v>64</v>
      </c>
      <c r="C291" t="s">
        <v>100</v>
      </c>
      <c r="D291" t="s">
        <v>26</v>
      </c>
      <c r="E291" t="s">
        <v>65</v>
      </c>
      <c r="F291" t="s">
        <v>95</v>
      </c>
      <c r="G291">
        <v>6.99</v>
      </c>
      <c r="H291">
        <v>6.59</v>
      </c>
      <c r="I291" s="2" t="str">
        <f>_xlfn.XLOOKUP(F291,DeparaIMG!B:B,DeparaIMG!D:D,,0)</f>
        <v>STELN.png</v>
      </c>
      <c r="Q291" t="s">
        <v>105</v>
      </c>
      <c r="R291" t="s">
        <v>26</v>
      </c>
      <c r="S291" t="s">
        <v>65</v>
      </c>
      <c r="T291" t="s">
        <v>66</v>
      </c>
      <c r="U291">
        <v>3.19</v>
      </c>
      <c r="V291">
        <v>2.99</v>
      </c>
    </row>
    <row r="292" spans="1:22" x14ac:dyDescent="0.25">
      <c r="A292" s="2" t="s">
        <v>11</v>
      </c>
      <c r="B292" s="2" t="s">
        <v>64</v>
      </c>
      <c r="C292" t="s">
        <v>99</v>
      </c>
      <c r="D292" t="s">
        <v>26</v>
      </c>
      <c r="E292" t="s">
        <v>65</v>
      </c>
      <c r="F292" t="s">
        <v>95</v>
      </c>
      <c r="G292">
        <v>6.99</v>
      </c>
      <c r="H292">
        <v>6.59</v>
      </c>
      <c r="I292" s="2" t="str">
        <f>_xlfn.XLOOKUP(F292,DeparaIMG!B:B,DeparaIMG!D:D,,0)</f>
        <v>STELN.png</v>
      </c>
      <c r="Q292" t="s">
        <v>105</v>
      </c>
      <c r="R292" t="s">
        <v>26</v>
      </c>
      <c r="S292" t="s">
        <v>74</v>
      </c>
      <c r="T292" t="s">
        <v>77</v>
      </c>
      <c r="U292">
        <v>3.19</v>
      </c>
      <c r="V292">
        <v>2.99</v>
      </c>
    </row>
    <row r="293" spans="1:22" x14ac:dyDescent="0.25">
      <c r="A293" s="2" t="s">
        <v>11</v>
      </c>
      <c r="B293" s="2" t="s">
        <v>64</v>
      </c>
      <c r="C293" t="s">
        <v>103</v>
      </c>
      <c r="D293" t="s">
        <v>27</v>
      </c>
      <c r="E293" t="s">
        <v>65</v>
      </c>
      <c r="F293" t="s">
        <v>95</v>
      </c>
      <c r="G293">
        <v>6.99</v>
      </c>
      <c r="H293">
        <v>6.59</v>
      </c>
      <c r="I293" s="2" t="str">
        <f>_xlfn.XLOOKUP(F293,DeparaIMG!B:B,DeparaIMG!D:D,,0)</f>
        <v>STELN.png</v>
      </c>
      <c r="Q293" t="s">
        <v>105</v>
      </c>
      <c r="R293" t="s">
        <v>26</v>
      </c>
      <c r="S293" t="s">
        <v>65</v>
      </c>
      <c r="T293" t="s">
        <v>72</v>
      </c>
      <c r="U293">
        <v>3.29</v>
      </c>
      <c r="V293">
        <v>3.09</v>
      </c>
    </row>
    <row r="294" spans="1:22" x14ac:dyDescent="0.25">
      <c r="A294" s="2" t="s">
        <v>11</v>
      </c>
      <c r="B294" s="2" t="s">
        <v>64</v>
      </c>
      <c r="C294" t="s">
        <v>4</v>
      </c>
      <c r="D294" t="s">
        <v>27</v>
      </c>
      <c r="E294" t="s">
        <v>65</v>
      </c>
      <c r="F294" t="s">
        <v>95</v>
      </c>
      <c r="G294">
        <v>6.99</v>
      </c>
      <c r="H294">
        <v>6.59</v>
      </c>
      <c r="I294" s="2" t="str">
        <f>_xlfn.XLOOKUP(F294,DeparaIMG!B:B,DeparaIMG!D:D,,0)</f>
        <v>STELN.png</v>
      </c>
      <c r="Q294" t="s">
        <v>105</v>
      </c>
      <c r="R294" t="s">
        <v>27</v>
      </c>
      <c r="S294" t="s">
        <v>65</v>
      </c>
      <c r="T294" t="s">
        <v>72</v>
      </c>
      <c r="U294">
        <v>3.29</v>
      </c>
      <c r="V294">
        <v>3.09</v>
      </c>
    </row>
    <row r="295" spans="1:22" x14ac:dyDescent="0.25">
      <c r="A295" s="2" t="s">
        <v>11</v>
      </c>
      <c r="B295" s="2" t="s">
        <v>64</v>
      </c>
      <c r="C295" t="s">
        <v>101</v>
      </c>
      <c r="D295" t="s">
        <v>27</v>
      </c>
      <c r="E295" t="s">
        <v>65</v>
      </c>
      <c r="F295" t="s">
        <v>95</v>
      </c>
      <c r="G295">
        <v>6.99</v>
      </c>
      <c r="H295">
        <v>6.59</v>
      </c>
      <c r="I295" s="2" t="str">
        <f>_xlfn.XLOOKUP(F295,DeparaIMG!B:B,DeparaIMG!D:D,,0)</f>
        <v>STELN.png</v>
      </c>
      <c r="Q295" t="s">
        <v>105</v>
      </c>
      <c r="R295" t="s">
        <v>26</v>
      </c>
      <c r="S295" t="s">
        <v>74</v>
      </c>
      <c r="T295" t="s">
        <v>79</v>
      </c>
      <c r="U295">
        <v>3.39</v>
      </c>
      <c r="V295">
        <v>2.99</v>
      </c>
    </row>
    <row r="296" spans="1:22" x14ac:dyDescent="0.25">
      <c r="A296" s="2" t="s">
        <v>11</v>
      </c>
      <c r="B296" s="2" t="s">
        <v>64</v>
      </c>
      <c r="C296" t="s">
        <v>29</v>
      </c>
      <c r="D296" t="s">
        <v>27</v>
      </c>
      <c r="E296" t="s">
        <v>65</v>
      </c>
      <c r="F296" t="s">
        <v>95</v>
      </c>
      <c r="G296">
        <v>6.99</v>
      </c>
      <c r="H296">
        <v>6.59</v>
      </c>
      <c r="I296" s="2" t="str">
        <f>_xlfn.XLOOKUP(F296,DeparaIMG!B:B,DeparaIMG!D:D,,0)</f>
        <v>STELN.png</v>
      </c>
      <c r="Q296" t="s">
        <v>105</v>
      </c>
      <c r="R296" t="s">
        <v>26</v>
      </c>
      <c r="S296" t="s">
        <v>74</v>
      </c>
      <c r="T296" t="s">
        <v>80</v>
      </c>
      <c r="U296">
        <v>3.69</v>
      </c>
      <c r="V296">
        <v>3.19</v>
      </c>
    </row>
    <row r="297" spans="1:22" x14ac:dyDescent="0.25">
      <c r="A297" s="2" t="s">
        <v>11</v>
      </c>
      <c r="B297" s="2" t="s">
        <v>64</v>
      </c>
      <c r="C297" t="s">
        <v>30</v>
      </c>
      <c r="D297" t="s">
        <v>27</v>
      </c>
      <c r="E297" t="s">
        <v>65</v>
      </c>
      <c r="F297" t="s">
        <v>95</v>
      </c>
      <c r="G297">
        <v>6.99</v>
      </c>
      <c r="H297">
        <v>6.59</v>
      </c>
      <c r="I297" s="2" t="str">
        <f>_xlfn.XLOOKUP(F297,DeparaIMG!B:B,DeparaIMG!D:D,,0)</f>
        <v>STELN.png</v>
      </c>
      <c r="Q297" t="s">
        <v>105</v>
      </c>
      <c r="R297" t="s">
        <v>26</v>
      </c>
      <c r="S297" t="s">
        <v>65</v>
      </c>
      <c r="T297" t="s">
        <v>80</v>
      </c>
      <c r="U297">
        <v>3.69</v>
      </c>
      <c r="V297">
        <v>3.19</v>
      </c>
    </row>
    <row r="298" spans="1:22" x14ac:dyDescent="0.25">
      <c r="A298" s="2" t="s">
        <v>11</v>
      </c>
      <c r="B298" s="2" t="s">
        <v>64</v>
      </c>
      <c r="C298" t="s">
        <v>100</v>
      </c>
      <c r="D298" t="s">
        <v>27</v>
      </c>
      <c r="E298" t="s">
        <v>65</v>
      </c>
      <c r="F298" t="s">
        <v>95</v>
      </c>
      <c r="G298">
        <v>6.99</v>
      </c>
      <c r="H298">
        <v>6.59</v>
      </c>
      <c r="I298" s="2" t="str">
        <f>_xlfn.XLOOKUP(F298,DeparaIMG!B:B,DeparaIMG!D:D,,0)</f>
        <v>STELN.png</v>
      </c>
      <c r="Q298" t="s">
        <v>105</v>
      </c>
      <c r="R298" t="s">
        <v>27</v>
      </c>
      <c r="S298" t="s">
        <v>74</v>
      </c>
      <c r="T298" t="s">
        <v>82</v>
      </c>
      <c r="U298">
        <v>3.79</v>
      </c>
      <c r="V298">
        <v>3.49</v>
      </c>
    </row>
    <row r="299" spans="1:22" x14ac:dyDescent="0.25">
      <c r="A299" s="2" t="s">
        <v>11</v>
      </c>
      <c r="B299" s="2" t="s">
        <v>64</v>
      </c>
      <c r="C299" t="s">
        <v>99</v>
      </c>
      <c r="D299" t="s">
        <v>27</v>
      </c>
      <c r="E299" t="s">
        <v>65</v>
      </c>
      <c r="F299" t="s">
        <v>95</v>
      </c>
      <c r="G299">
        <v>6.99</v>
      </c>
      <c r="H299">
        <v>6.59</v>
      </c>
      <c r="I299" s="2" t="str">
        <f>_xlfn.XLOOKUP(F299,DeparaIMG!B:B,DeparaIMG!D:D,,0)</f>
        <v>STELN.png</v>
      </c>
      <c r="Q299" t="s">
        <v>105</v>
      </c>
      <c r="R299" t="s">
        <v>26</v>
      </c>
      <c r="S299" t="s">
        <v>65</v>
      </c>
      <c r="T299" t="s">
        <v>67</v>
      </c>
      <c r="U299">
        <v>3.89</v>
      </c>
      <c r="V299">
        <v>3.69</v>
      </c>
    </row>
    <row r="300" spans="1:22" x14ac:dyDescent="0.25">
      <c r="A300" s="2" t="s">
        <v>11</v>
      </c>
      <c r="B300" s="2" t="s">
        <v>64</v>
      </c>
      <c r="C300" t="s">
        <v>100</v>
      </c>
      <c r="D300" t="s">
        <v>26</v>
      </c>
      <c r="E300" t="s">
        <v>74</v>
      </c>
      <c r="F300" t="s">
        <v>96</v>
      </c>
      <c r="G300">
        <v>7.99</v>
      </c>
      <c r="H300">
        <v>6.99</v>
      </c>
      <c r="I300" s="2" t="str">
        <f>_xlfn.XLOOKUP(F300,DeparaIMG!B:B,DeparaIMG!D:D,,0)</f>
        <v>CORLN.png</v>
      </c>
      <c r="Q300" t="s">
        <v>105</v>
      </c>
      <c r="R300" t="s">
        <v>26</v>
      </c>
      <c r="S300" t="s">
        <v>65</v>
      </c>
      <c r="T300" t="s">
        <v>83</v>
      </c>
      <c r="U300">
        <v>3.89</v>
      </c>
      <c r="V300">
        <v>3.59</v>
      </c>
    </row>
    <row r="301" spans="1:22" x14ac:dyDescent="0.25">
      <c r="A301" s="2" t="s">
        <v>11</v>
      </c>
      <c r="B301" s="2" t="s">
        <v>64</v>
      </c>
      <c r="C301" t="s">
        <v>4</v>
      </c>
      <c r="D301" t="s">
        <v>27</v>
      </c>
      <c r="E301" t="s">
        <v>74</v>
      </c>
      <c r="F301" t="s">
        <v>96</v>
      </c>
      <c r="G301">
        <v>7.99</v>
      </c>
      <c r="H301">
        <v>6.99</v>
      </c>
      <c r="I301" s="2" t="str">
        <f>_xlfn.XLOOKUP(F301,DeparaIMG!B:B,DeparaIMG!D:D,,0)</f>
        <v>CORLN.png</v>
      </c>
      <c r="Q301" t="s">
        <v>105</v>
      </c>
      <c r="R301" t="s">
        <v>27</v>
      </c>
      <c r="S301" t="s">
        <v>65</v>
      </c>
      <c r="T301" t="s">
        <v>83</v>
      </c>
      <c r="U301">
        <v>3.89</v>
      </c>
      <c r="V301">
        <v>3.59</v>
      </c>
    </row>
    <row r="302" spans="1:22" x14ac:dyDescent="0.25">
      <c r="A302" s="2" t="s">
        <v>11</v>
      </c>
      <c r="B302" s="2" t="s">
        <v>64</v>
      </c>
      <c r="C302" t="s">
        <v>101</v>
      </c>
      <c r="D302" t="s">
        <v>27</v>
      </c>
      <c r="E302" t="s">
        <v>74</v>
      </c>
      <c r="F302" t="s">
        <v>96</v>
      </c>
      <c r="G302">
        <v>7.99</v>
      </c>
      <c r="H302">
        <v>6.99</v>
      </c>
      <c r="I302" s="2" t="str">
        <f>_xlfn.XLOOKUP(F302,DeparaIMG!B:B,DeparaIMG!D:D,,0)</f>
        <v>CORLN.png</v>
      </c>
      <c r="Q302" t="s">
        <v>105</v>
      </c>
      <c r="R302" t="s">
        <v>27</v>
      </c>
      <c r="S302" t="s">
        <v>74</v>
      </c>
      <c r="T302" t="s">
        <v>80</v>
      </c>
      <c r="U302">
        <v>3.99</v>
      </c>
      <c r="V302">
        <v>3.49</v>
      </c>
    </row>
    <row r="303" spans="1:22" x14ac:dyDescent="0.25">
      <c r="A303" s="2" t="s">
        <v>11</v>
      </c>
      <c r="B303" s="2" t="s">
        <v>64</v>
      </c>
      <c r="C303" t="s">
        <v>102</v>
      </c>
      <c r="D303" t="s">
        <v>27</v>
      </c>
      <c r="E303" t="s">
        <v>74</v>
      </c>
      <c r="F303" t="s">
        <v>96</v>
      </c>
      <c r="G303">
        <v>7.99</v>
      </c>
      <c r="H303">
        <v>6.99</v>
      </c>
      <c r="I303" s="2" t="str">
        <f>_xlfn.XLOOKUP(F303,DeparaIMG!B:B,DeparaIMG!D:D,,0)</f>
        <v>CORLN.png</v>
      </c>
      <c r="Q303" t="s">
        <v>105</v>
      </c>
      <c r="R303" t="s">
        <v>27</v>
      </c>
      <c r="S303" t="s">
        <v>65</v>
      </c>
      <c r="T303" t="s">
        <v>80</v>
      </c>
      <c r="U303">
        <v>3.99</v>
      </c>
      <c r="V303">
        <v>3.49</v>
      </c>
    </row>
    <row r="304" spans="1:22" x14ac:dyDescent="0.25">
      <c r="A304" s="2" t="s">
        <v>11</v>
      </c>
      <c r="B304" s="2" t="s">
        <v>64</v>
      </c>
      <c r="C304" t="s">
        <v>101</v>
      </c>
      <c r="D304" t="s">
        <v>26</v>
      </c>
      <c r="E304" t="s">
        <v>74</v>
      </c>
      <c r="F304" t="s">
        <v>96</v>
      </c>
      <c r="G304">
        <v>7.99</v>
      </c>
      <c r="H304">
        <v>6.99</v>
      </c>
      <c r="I304" s="2" t="str">
        <f>_xlfn.XLOOKUP(F304,DeparaIMG!B:B,DeparaIMG!D:D,,0)</f>
        <v>CORLN.png</v>
      </c>
      <c r="Q304" t="s">
        <v>105</v>
      </c>
      <c r="R304" t="s">
        <v>26</v>
      </c>
      <c r="S304" t="s">
        <v>74</v>
      </c>
      <c r="T304" t="s">
        <v>85</v>
      </c>
      <c r="U304">
        <v>4.1900000000000004</v>
      </c>
      <c r="V304">
        <v>3.19</v>
      </c>
    </row>
    <row r="305" spans="1:22" x14ac:dyDescent="0.25">
      <c r="A305" s="2" t="s">
        <v>11</v>
      </c>
      <c r="B305" s="2" t="s">
        <v>64</v>
      </c>
      <c r="C305" t="s">
        <v>102</v>
      </c>
      <c r="D305" t="s">
        <v>26</v>
      </c>
      <c r="E305" t="s">
        <v>74</v>
      </c>
      <c r="F305" t="s">
        <v>96</v>
      </c>
      <c r="G305">
        <v>7.99</v>
      </c>
      <c r="H305">
        <v>6.99</v>
      </c>
      <c r="I305" s="2" t="str">
        <f>_xlfn.XLOOKUP(F305,DeparaIMG!B:B,DeparaIMG!D:D,,0)</f>
        <v>CORLN.png</v>
      </c>
      <c r="Q305" t="s">
        <v>105</v>
      </c>
      <c r="R305" t="s">
        <v>27</v>
      </c>
      <c r="S305" t="s">
        <v>74</v>
      </c>
      <c r="T305" t="s">
        <v>85</v>
      </c>
      <c r="U305">
        <v>4.1900000000000004</v>
      </c>
      <c r="V305">
        <v>3.19</v>
      </c>
    </row>
    <row r="306" spans="1:22" x14ac:dyDescent="0.25">
      <c r="A306" s="2" t="s">
        <v>11</v>
      </c>
      <c r="B306" s="2" t="s">
        <v>64</v>
      </c>
      <c r="C306" t="s">
        <v>100</v>
      </c>
      <c r="D306" t="s">
        <v>26</v>
      </c>
      <c r="E306" t="s">
        <v>74</v>
      </c>
      <c r="F306" t="s">
        <v>97</v>
      </c>
      <c r="G306">
        <v>7.99</v>
      </c>
      <c r="H306">
        <v>6.99</v>
      </c>
      <c r="I306" s="2" t="str">
        <f>_xlfn.XLOOKUP(F306,DeparaIMG!B:B,DeparaIMG!D:D,,0)</f>
        <v>CORCEROLN.png</v>
      </c>
      <c r="Q306" t="s">
        <v>105</v>
      </c>
      <c r="R306" t="s">
        <v>27</v>
      </c>
      <c r="S306" t="s">
        <v>65</v>
      </c>
      <c r="T306" t="s">
        <v>67</v>
      </c>
      <c r="U306">
        <v>4.1900000000000004</v>
      </c>
      <c r="V306">
        <v>3.99</v>
      </c>
    </row>
    <row r="307" spans="1:22" x14ac:dyDescent="0.25">
      <c r="A307" s="2" t="s">
        <v>11</v>
      </c>
      <c r="B307" s="2" t="s">
        <v>64</v>
      </c>
      <c r="C307" t="s">
        <v>4</v>
      </c>
      <c r="D307" t="s">
        <v>27</v>
      </c>
      <c r="E307" t="s">
        <v>74</v>
      </c>
      <c r="F307" t="s">
        <v>97</v>
      </c>
      <c r="G307">
        <v>7.99</v>
      </c>
      <c r="H307">
        <v>6.99</v>
      </c>
      <c r="I307" s="2" t="str">
        <f>_xlfn.XLOOKUP(F307,DeparaIMG!B:B,DeparaIMG!D:D,,0)</f>
        <v>CORCEROLN.png</v>
      </c>
      <c r="Q307" t="s">
        <v>105</v>
      </c>
      <c r="R307" t="s">
        <v>27</v>
      </c>
      <c r="S307" t="s">
        <v>74</v>
      </c>
      <c r="T307" t="s">
        <v>87</v>
      </c>
      <c r="U307">
        <v>4.29</v>
      </c>
      <c r="V307">
        <v>3.69</v>
      </c>
    </row>
    <row r="308" spans="1:22" x14ac:dyDescent="0.25">
      <c r="A308" s="2" t="s">
        <v>11</v>
      </c>
      <c r="B308" s="2" t="s">
        <v>64</v>
      </c>
      <c r="C308" t="s">
        <v>101</v>
      </c>
      <c r="D308" t="s">
        <v>27</v>
      </c>
      <c r="E308" t="s">
        <v>74</v>
      </c>
      <c r="F308" t="s">
        <v>97</v>
      </c>
      <c r="G308">
        <v>7.99</v>
      </c>
      <c r="H308">
        <v>6.99</v>
      </c>
      <c r="I308" s="2" t="str">
        <f>_xlfn.XLOOKUP(F308,DeparaIMG!B:B,DeparaIMG!D:D,,0)</f>
        <v>CORCEROLN.png</v>
      </c>
      <c r="Q308" t="s">
        <v>105</v>
      </c>
      <c r="R308" t="s">
        <v>26</v>
      </c>
      <c r="S308" t="s">
        <v>74</v>
      </c>
      <c r="T308" t="s">
        <v>89</v>
      </c>
      <c r="U308">
        <v>5.49</v>
      </c>
      <c r="V308">
        <v>4.99</v>
      </c>
    </row>
    <row r="309" spans="1:22" x14ac:dyDescent="0.25">
      <c r="A309" s="2" t="s">
        <v>11</v>
      </c>
      <c r="B309" s="2" t="s">
        <v>64</v>
      </c>
      <c r="C309" t="s">
        <v>102</v>
      </c>
      <c r="D309" t="s">
        <v>27</v>
      </c>
      <c r="E309" t="s">
        <v>74</v>
      </c>
      <c r="F309" t="s">
        <v>97</v>
      </c>
      <c r="G309">
        <v>7.99</v>
      </c>
      <c r="H309">
        <v>6.99</v>
      </c>
      <c r="I309" s="2" t="str">
        <f>_xlfn.XLOOKUP(F309,DeparaIMG!B:B,DeparaIMG!D:D,,0)</f>
        <v>CORCEROLN.png</v>
      </c>
      <c r="Q309" t="s">
        <v>105</v>
      </c>
      <c r="R309" t="s">
        <v>27</v>
      </c>
      <c r="S309" t="s">
        <v>74</v>
      </c>
      <c r="T309" t="s">
        <v>89</v>
      </c>
      <c r="U309">
        <v>5.49</v>
      </c>
      <c r="V309">
        <v>4.99</v>
      </c>
    </row>
    <row r="310" spans="1:22" x14ac:dyDescent="0.25">
      <c r="A310" s="2" t="s">
        <v>11</v>
      </c>
      <c r="B310" s="2" t="s">
        <v>64</v>
      </c>
      <c r="C310" t="s">
        <v>101</v>
      </c>
      <c r="D310" t="s">
        <v>26</v>
      </c>
      <c r="E310" t="s">
        <v>74</v>
      </c>
      <c r="F310" t="s">
        <v>97</v>
      </c>
      <c r="G310">
        <v>7.99</v>
      </c>
      <c r="H310">
        <v>6.99</v>
      </c>
      <c r="I310" s="2" t="str">
        <f>_xlfn.XLOOKUP(F310,DeparaIMG!B:B,DeparaIMG!D:D,,0)</f>
        <v>CORCEROLN.png</v>
      </c>
      <c r="Q310" t="s">
        <v>105</v>
      </c>
      <c r="R310" t="s">
        <v>27</v>
      </c>
      <c r="S310" t="s">
        <v>65</v>
      </c>
      <c r="T310" t="s">
        <v>68</v>
      </c>
      <c r="U310">
        <v>5.49</v>
      </c>
      <c r="V310">
        <v>4.6900000000000004</v>
      </c>
    </row>
    <row r="311" spans="1:22" x14ac:dyDescent="0.25">
      <c r="A311" s="2" t="s">
        <v>11</v>
      </c>
      <c r="B311" s="2" t="s">
        <v>64</v>
      </c>
      <c r="C311" t="s">
        <v>102</v>
      </c>
      <c r="D311" t="s">
        <v>26</v>
      </c>
      <c r="E311" t="s">
        <v>74</v>
      </c>
      <c r="F311" t="s">
        <v>97</v>
      </c>
      <c r="G311">
        <v>7.99</v>
      </c>
      <c r="H311">
        <v>6.99</v>
      </c>
      <c r="I311" s="2" t="str">
        <f>_xlfn.XLOOKUP(F311,DeparaIMG!B:B,DeparaIMG!D:D,,0)</f>
        <v>CORCEROLN.png</v>
      </c>
      <c r="Q311" t="s">
        <v>105</v>
      </c>
      <c r="R311" t="s">
        <v>26</v>
      </c>
      <c r="S311" t="s">
        <v>65</v>
      </c>
      <c r="T311" t="s">
        <v>68</v>
      </c>
      <c r="U311">
        <v>5.49</v>
      </c>
      <c r="V311">
        <v>4.6900000000000004</v>
      </c>
    </row>
    <row r="312" spans="1:22" x14ac:dyDescent="0.25">
      <c r="A312" s="2" t="s">
        <v>11</v>
      </c>
      <c r="B312" s="2" t="s">
        <v>64</v>
      </c>
      <c r="C312" t="s">
        <v>29</v>
      </c>
      <c r="D312" t="s">
        <v>26</v>
      </c>
      <c r="E312" t="s">
        <v>74</v>
      </c>
      <c r="F312" t="s">
        <v>96</v>
      </c>
      <c r="G312">
        <v>7.99</v>
      </c>
      <c r="H312">
        <v>6.99</v>
      </c>
      <c r="I312" s="2" t="str">
        <f>_xlfn.XLOOKUP(F312,DeparaIMG!B:B,DeparaIMG!D:D,,0)</f>
        <v>CORLN.png</v>
      </c>
      <c r="Q312" t="s">
        <v>105</v>
      </c>
      <c r="R312" t="s">
        <v>27</v>
      </c>
      <c r="S312" t="s">
        <v>65</v>
      </c>
      <c r="T312" t="s">
        <v>90</v>
      </c>
      <c r="U312">
        <v>6.29</v>
      </c>
      <c r="V312">
        <v>5.49</v>
      </c>
    </row>
    <row r="313" spans="1:22" x14ac:dyDescent="0.25">
      <c r="A313" s="2" t="s">
        <v>11</v>
      </c>
      <c r="B313" s="2" t="s">
        <v>64</v>
      </c>
      <c r="C313" t="s">
        <v>29</v>
      </c>
      <c r="D313" t="s">
        <v>27</v>
      </c>
      <c r="E313" t="s">
        <v>74</v>
      </c>
      <c r="F313" t="s">
        <v>96</v>
      </c>
      <c r="G313">
        <v>7.99</v>
      </c>
      <c r="H313">
        <v>6.99</v>
      </c>
      <c r="I313" s="2" t="str">
        <f>_xlfn.XLOOKUP(F313,DeparaIMG!B:B,DeparaIMG!D:D,,0)</f>
        <v>CORLN.png</v>
      </c>
      <c r="Q313" t="s">
        <v>105</v>
      </c>
      <c r="R313" t="s">
        <v>27</v>
      </c>
      <c r="S313" t="s">
        <v>65</v>
      </c>
      <c r="T313" t="s">
        <v>91</v>
      </c>
      <c r="U313">
        <v>6.29</v>
      </c>
      <c r="V313">
        <v>5.49</v>
      </c>
    </row>
    <row r="314" spans="1:22" x14ac:dyDescent="0.25">
      <c r="A314" s="2" t="s">
        <v>11</v>
      </c>
      <c r="B314" s="2" t="s">
        <v>64</v>
      </c>
      <c r="C314" t="s">
        <v>30</v>
      </c>
      <c r="D314" t="s">
        <v>26</v>
      </c>
      <c r="E314" t="s">
        <v>74</v>
      </c>
      <c r="F314" t="s">
        <v>96</v>
      </c>
      <c r="G314">
        <v>7.99</v>
      </c>
      <c r="H314">
        <v>6.99</v>
      </c>
      <c r="I314" s="2" t="str">
        <f>_xlfn.XLOOKUP(F314,DeparaIMG!B:B,DeparaIMG!D:D,,0)</f>
        <v>CORLN.png</v>
      </c>
      <c r="Q314" t="s">
        <v>105</v>
      </c>
      <c r="R314" t="s">
        <v>26</v>
      </c>
      <c r="S314" t="s">
        <v>65</v>
      </c>
      <c r="T314" t="s">
        <v>91</v>
      </c>
      <c r="U314">
        <v>6.29</v>
      </c>
      <c r="V314">
        <v>5.49</v>
      </c>
    </row>
    <row r="315" spans="1:22" x14ac:dyDescent="0.25">
      <c r="A315" s="2" t="s">
        <v>11</v>
      </c>
      <c r="B315" s="2" t="s">
        <v>64</v>
      </c>
      <c r="C315" t="s">
        <v>30</v>
      </c>
      <c r="D315" t="s">
        <v>27</v>
      </c>
      <c r="E315" t="s">
        <v>74</v>
      </c>
      <c r="F315" t="s">
        <v>96</v>
      </c>
      <c r="G315">
        <v>7.99</v>
      </c>
      <c r="H315">
        <v>6.99</v>
      </c>
      <c r="I315" s="2" t="str">
        <f>_xlfn.XLOOKUP(F315,DeparaIMG!B:B,DeparaIMG!D:D,,0)</f>
        <v>CORLN.png</v>
      </c>
      <c r="Q315" t="s">
        <v>105</v>
      </c>
      <c r="R315" t="s">
        <v>26</v>
      </c>
      <c r="S315" t="s">
        <v>74</v>
      </c>
      <c r="T315" t="s">
        <v>93</v>
      </c>
      <c r="U315">
        <v>6.39</v>
      </c>
      <c r="V315">
        <v>5.69</v>
      </c>
    </row>
    <row r="316" spans="1:22" x14ac:dyDescent="0.25">
      <c r="A316" s="2" t="s">
        <v>11</v>
      </c>
      <c r="B316" s="2" t="s">
        <v>64</v>
      </c>
      <c r="C316" t="s">
        <v>99</v>
      </c>
      <c r="D316" t="s">
        <v>26</v>
      </c>
      <c r="E316" t="s">
        <v>74</v>
      </c>
      <c r="F316" t="s">
        <v>96</v>
      </c>
      <c r="G316">
        <v>7.99</v>
      </c>
      <c r="H316">
        <v>6.99</v>
      </c>
      <c r="I316" s="2" t="str">
        <f>_xlfn.XLOOKUP(F316,DeparaIMG!B:B,DeparaIMG!D:D,,0)</f>
        <v>CORLN.png</v>
      </c>
      <c r="Q316" t="s">
        <v>105</v>
      </c>
      <c r="R316" t="s">
        <v>27</v>
      </c>
      <c r="S316" t="s">
        <v>74</v>
      </c>
      <c r="T316" t="s">
        <v>93</v>
      </c>
      <c r="U316">
        <v>6.39</v>
      </c>
      <c r="V316">
        <v>5.69</v>
      </c>
    </row>
    <row r="317" spans="1:22" x14ac:dyDescent="0.25">
      <c r="A317" s="2" t="s">
        <v>11</v>
      </c>
      <c r="B317" s="2" t="s">
        <v>64</v>
      </c>
      <c r="C317" t="s">
        <v>99</v>
      </c>
      <c r="D317" t="s">
        <v>27</v>
      </c>
      <c r="E317" t="s">
        <v>74</v>
      </c>
      <c r="F317" t="s">
        <v>96</v>
      </c>
      <c r="G317">
        <v>7.99</v>
      </c>
      <c r="H317">
        <v>6.99</v>
      </c>
      <c r="I317" s="2" t="str">
        <f>_xlfn.XLOOKUP(F317,DeparaIMG!B:B,DeparaIMG!D:D,,0)</f>
        <v>CORLN.png</v>
      </c>
      <c r="Q317" t="s">
        <v>105</v>
      </c>
      <c r="R317" t="s">
        <v>26</v>
      </c>
      <c r="S317" t="s">
        <v>74</v>
      </c>
      <c r="T317" t="s">
        <v>92</v>
      </c>
      <c r="U317">
        <v>6.39</v>
      </c>
      <c r="V317">
        <v>5.39</v>
      </c>
    </row>
    <row r="318" spans="1:22" x14ac:dyDescent="0.25">
      <c r="A318" s="2" t="s">
        <v>11</v>
      </c>
      <c r="B318" s="2" t="s">
        <v>64</v>
      </c>
      <c r="C318" t="s">
        <v>100</v>
      </c>
      <c r="D318" t="s">
        <v>27</v>
      </c>
      <c r="E318" t="s">
        <v>74</v>
      </c>
      <c r="F318" t="s">
        <v>96</v>
      </c>
      <c r="G318">
        <v>7.99</v>
      </c>
      <c r="H318">
        <v>6.99</v>
      </c>
      <c r="I318" s="2" t="str">
        <f>_xlfn.XLOOKUP(F318,DeparaIMG!B:B,DeparaIMG!D:D,,0)</f>
        <v>CORLN.png</v>
      </c>
      <c r="Q318" t="s">
        <v>105</v>
      </c>
      <c r="R318" t="s">
        <v>27</v>
      </c>
      <c r="S318" t="s">
        <v>74</v>
      </c>
      <c r="T318" t="s">
        <v>92</v>
      </c>
      <c r="U318">
        <v>6.39</v>
      </c>
      <c r="V318">
        <v>5.39</v>
      </c>
    </row>
    <row r="319" spans="1:22" x14ac:dyDescent="0.25">
      <c r="A319" s="2" t="s">
        <v>11</v>
      </c>
      <c r="B319" s="2" t="s">
        <v>64</v>
      </c>
      <c r="C319" t="s">
        <v>4</v>
      </c>
      <c r="D319" t="s">
        <v>26</v>
      </c>
      <c r="E319" t="s">
        <v>74</v>
      </c>
      <c r="F319" t="s">
        <v>96</v>
      </c>
      <c r="G319">
        <v>7.99</v>
      </c>
      <c r="H319">
        <v>6.99</v>
      </c>
      <c r="I319" s="2" t="str">
        <f>_xlfn.XLOOKUP(F319,DeparaIMG!B:B,DeparaIMG!D:D,,0)</f>
        <v>CORLN.png</v>
      </c>
      <c r="Q319" t="s">
        <v>105</v>
      </c>
      <c r="R319" t="s">
        <v>26</v>
      </c>
      <c r="S319" t="s">
        <v>65</v>
      </c>
      <c r="T319" t="s">
        <v>94</v>
      </c>
      <c r="U319">
        <v>6.69</v>
      </c>
      <c r="V319">
        <v>5.99</v>
      </c>
    </row>
    <row r="320" spans="1:22" x14ac:dyDescent="0.25">
      <c r="A320" s="2" t="s">
        <v>11</v>
      </c>
      <c r="B320" s="2" t="s">
        <v>64</v>
      </c>
      <c r="C320" t="s">
        <v>29</v>
      </c>
      <c r="D320" t="s">
        <v>26</v>
      </c>
      <c r="E320" t="s">
        <v>74</v>
      </c>
      <c r="F320" t="s">
        <v>97</v>
      </c>
      <c r="G320">
        <v>7.99</v>
      </c>
      <c r="H320">
        <v>6.99</v>
      </c>
      <c r="I320" s="2" t="str">
        <f>_xlfn.XLOOKUP(F320,DeparaIMG!B:B,DeparaIMG!D:D,,0)</f>
        <v>CORCEROLN.png</v>
      </c>
      <c r="Q320" t="s">
        <v>105</v>
      </c>
      <c r="R320" t="s">
        <v>27</v>
      </c>
      <c r="S320" t="s">
        <v>65</v>
      </c>
      <c r="T320" t="s">
        <v>94</v>
      </c>
      <c r="U320">
        <v>6.69</v>
      </c>
      <c r="V320">
        <v>5.99</v>
      </c>
    </row>
    <row r="321" spans="1:22" x14ac:dyDescent="0.25">
      <c r="A321" s="2" t="s">
        <v>11</v>
      </c>
      <c r="B321" s="2" t="s">
        <v>64</v>
      </c>
      <c r="C321" t="s">
        <v>29</v>
      </c>
      <c r="D321" t="s">
        <v>27</v>
      </c>
      <c r="E321" t="s">
        <v>74</v>
      </c>
      <c r="F321" t="s">
        <v>97</v>
      </c>
      <c r="G321">
        <v>7.99</v>
      </c>
      <c r="H321">
        <v>6.99</v>
      </c>
      <c r="I321" s="2" t="str">
        <f>_xlfn.XLOOKUP(F321,DeparaIMG!B:B,DeparaIMG!D:D,,0)</f>
        <v>CORCEROLN.png</v>
      </c>
      <c r="Q321" t="s">
        <v>105</v>
      </c>
      <c r="R321" t="s">
        <v>26</v>
      </c>
      <c r="S321" t="s">
        <v>65</v>
      </c>
      <c r="T321" t="s">
        <v>95</v>
      </c>
      <c r="U321">
        <v>6.99</v>
      </c>
      <c r="V321">
        <v>6.59</v>
      </c>
    </row>
    <row r="322" spans="1:22" x14ac:dyDescent="0.25">
      <c r="A322" s="2" t="s">
        <v>11</v>
      </c>
      <c r="B322" s="2" t="s">
        <v>64</v>
      </c>
      <c r="C322" t="s">
        <v>30</v>
      </c>
      <c r="D322" t="s">
        <v>26</v>
      </c>
      <c r="E322" t="s">
        <v>74</v>
      </c>
      <c r="F322" t="s">
        <v>97</v>
      </c>
      <c r="G322">
        <v>7.99</v>
      </c>
      <c r="H322">
        <v>6.99</v>
      </c>
      <c r="I322" s="2" t="str">
        <f>_xlfn.XLOOKUP(F322,DeparaIMG!B:B,DeparaIMG!D:D,,0)</f>
        <v>CORCEROLN.png</v>
      </c>
      <c r="Q322" t="s">
        <v>105</v>
      </c>
      <c r="R322" t="s">
        <v>27</v>
      </c>
      <c r="S322" t="s">
        <v>65</v>
      </c>
      <c r="T322" t="s">
        <v>95</v>
      </c>
      <c r="U322">
        <v>6.99</v>
      </c>
      <c r="V322">
        <v>6.59</v>
      </c>
    </row>
    <row r="323" spans="1:22" x14ac:dyDescent="0.25">
      <c r="A323" s="2" t="s">
        <v>11</v>
      </c>
      <c r="B323" s="2" t="s">
        <v>64</v>
      </c>
      <c r="C323" t="s">
        <v>30</v>
      </c>
      <c r="D323" t="s">
        <v>27</v>
      </c>
      <c r="E323" t="s">
        <v>74</v>
      </c>
      <c r="F323" t="s">
        <v>97</v>
      </c>
      <c r="G323">
        <v>7.99</v>
      </c>
      <c r="H323">
        <v>6.99</v>
      </c>
      <c r="I323" s="2" t="str">
        <f>_xlfn.XLOOKUP(F323,DeparaIMG!B:B,DeparaIMG!D:D,,0)</f>
        <v>CORCEROLN.png</v>
      </c>
      <c r="Q323" t="s">
        <v>105</v>
      </c>
      <c r="R323" t="s">
        <v>27</v>
      </c>
      <c r="S323" t="s">
        <v>74</v>
      </c>
      <c r="T323" t="s">
        <v>96</v>
      </c>
      <c r="U323">
        <v>7.99</v>
      </c>
      <c r="V323">
        <v>6.99</v>
      </c>
    </row>
    <row r="324" spans="1:22" x14ac:dyDescent="0.25">
      <c r="A324" s="2" t="s">
        <v>11</v>
      </c>
      <c r="B324" s="2" t="s">
        <v>64</v>
      </c>
      <c r="C324" t="s">
        <v>99</v>
      </c>
      <c r="D324" t="s">
        <v>26</v>
      </c>
      <c r="E324" t="s">
        <v>74</v>
      </c>
      <c r="F324" t="s">
        <v>97</v>
      </c>
      <c r="G324">
        <v>7.99</v>
      </c>
      <c r="H324">
        <v>6.99</v>
      </c>
      <c r="I324" s="2" t="str">
        <f>_xlfn.XLOOKUP(F324,DeparaIMG!B:B,DeparaIMG!D:D,,0)</f>
        <v>CORCEROLN.png</v>
      </c>
      <c r="Q324" t="s">
        <v>105</v>
      </c>
      <c r="R324" t="s">
        <v>27</v>
      </c>
      <c r="S324" t="s">
        <v>74</v>
      </c>
      <c r="T324" t="s">
        <v>97</v>
      </c>
      <c r="U324">
        <v>7.99</v>
      </c>
      <c r="V324">
        <v>6.99</v>
      </c>
    </row>
    <row r="325" spans="1:22" x14ac:dyDescent="0.25">
      <c r="A325" s="2" t="s">
        <v>11</v>
      </c>
      <c r="B325" s="2" t="s">
        <v>64</v>
      </c>
      <c r="C325" t="s">
        <v>99</v>
      </c>
      <c r="D325" t="s">
        <v>27</v>
      </c>
      <c r="E325" t="s">
        <v>74</v>
      </c>
      <c r="F325" t="s">
        <v>97</v>
      </c>
      <c r="G325">
        <v>7.99</v>
      </c>
      <c r="H325">
        <v>6.99</v>
      </c>
      <c r="I325" s="2" t="str">
        <f>_xlfn.XLOOKUP(F325,DeparaIMG!B:B,DeparaIMG!D:D,,0)</f>
        <v>CORCEROLN.png</v>
      </c>
      <c r="Q325" t="s">
        <v>105</v>
      </c>
      <c r="R325" t="s">
        <v>26</v>
      </c>
      <c r="S325" t="s">
        <v>74</v>
      </c>
      <c r="T325" t="s">
        <v>96</v>
      </c>
      <c r="U325">
        <v>7.99</v>
      </c>
      <c r="V325">
        <v>6.99</v>
      </c>
    </row>
    <row r="326" spans="1:22" x14ac:dyDescent="0.25">
      <c r="A326" s="2" t="s">
        <v>11</v>
      </c>
      <c r="B326" s="2" t="s">
        <v>64</v>
      </c>
      <c r="C326" t="s">
        <v>100</v>
      </c>
      <c r="D326" t="s">
        <v>27</v>
      </c>
      <c r="E326" t="s">
        <v>74</v>
      </c>
      <c r="F326" t="s">
        <v>97</v>
      </c>
      <c r="G326">
        <v>7.99</v>
      </c>
      <c r="H326">
        <v>6.99</v>
      </c>
      <c r="I326" s="2" t="str">
        <f>_xlfn.XLOOKUP(F326,DeparaIMG!B:B,DeparaIMG!D:D,,0)</f>
        <v>CORCEROLN.png</v>
      </c>
      <c r="Q326" t="s">
        <v>105</v>
      </c>
      <c r="R326" t="s">
        <v>26</v>
      </c>
      <c r="S326" t="s">
        <v>74</v>
      </c>
      <c r="T326" t="s">
        <v>97</v>
      </c>
      <c r="U326">
        <v>7.99</v>
      </c>
      <c r="V326">
        <v>6.99</v>
      </c>
    </row>
    <row r="327" spans="1:22" x14ac:dyDescent="0.25">
      <c r="A327" s="2" t="s">
        <v>11</v>
      </c>
      <c r="B327" s="2" t="s">
        <v>64</v>
      </c>
      <c r="C327" t="s">
        <v>4</v>
      </c>
      <c r="D327" t="s">
        <v>26</v>
      </c>
      <c r="E327" t="s">
        <v>74</v>
      </c>
      <c r="F327" t="s">
        <v>97</v>
      </c>
      <c r="G327">
        <v>7.99</v>
      </c>
      <c r="H327">
        <v>6.99</v>
      </c>
      <c r="I327" s="2" t="str">
        <f>_xlfn.XLOOKUP(F327,DeparaIMG!B:B,DeparaIMG!D:D,,0)</f>
        <v>CORCEROLN.png</v>
      </c>
      <c r="Q327" t="s">
        <v>106</v>
      </c>
      <c r="R327" t="s">
        <v>26</v>
      </c>
      <c r="S327" t="s">
        <v>65</v>
      </c>
      <c r="T327" t="s">
        <v>76</v>
      </c>
      <c r="U327">
        <v>3.19</v>
      </c>
      <c r="V327">
        <v>2.99</v>
      </c>
    </row>
    <row r="328" spans="1:22" x14ac:dyDescent="0.25">
      <c r="A328" s="2" t="s">
        <v>11</v>
      </c>
      <c r="B328" s="2" t="s">
        <v>64</v>
      </c>
      <c r="C328" t="s">
        <v>104</v>
      </c>
      <c r="D328" t="s">
        <v>27</v>
      </c>
      <c r="E328" t="s">
        <v>65</v>
      </c>
      <c r="F328" t="s">
        <v>66</v>
      </c>
      <c r="G328">
        <v>3.19</v>
      </c>
      <c r="H328">
        <v>2.99</v>
      </c>
      <c r="I328" s="2" t="str">
        <f>_xlfn.XLOOKUP(F328,DeparaIMG!B:B,DeparaIMG!D:D,,0)</f>
        <v>SKZERO269.png</v>
      </c>
      <c r="Q328" t="s">
        <v>106</v>
      </c>
      <c r="R328" t="s">
        <v>27</v>
      </c>
      <c r="S328" t="s">
        <v>65</v>
      </c>
      <c r="T328" t="s">
        <v>66</v>
      </c>
      <c r="U328">
        <v>3.19</v>
      </c>
      <c r="V328">
        <v>2.99</v>
      </c>
    </row>
    <row r="329" spans="1:22" x14ac:dyDescent="0.25">
      <c r="A329" s="2" t="s">
        <v>11</v>
      </c>
      <c r="B329" s="2" t="s">
        <v>64</v>
      </c>
      <c r="C329" t="s">
        <v>104</v>
      </c>
      <c r="D329" t="s">
        <v>26</v>
      </c>
      <c r="E329" t="s">
        <v>65</v>
      </c>
      <c r="F329" t="s">
        <v>66</v>
      </c>
      <c r="G329">
        <v>3.19</v>
      </c>
      <c r="H329">
        <v>2.99</v>
      </c>
      <c r="I329" s="2" t="str">
        <f>_xlfn.XLOOKUP(F329,DeparaIMG!B:B,DeparaIMG!D:D,,0)</f>
        <v>SKZERO269.png</v>
      </c>
      <c r="Q329" t="s">
        <v>106</v>
      </c>
      <c r="R329" t="s">
        <v>26</v>
      </c>
      <c r="S329" t="s">
        <v>65</v>
      </c>
      <c r="T329" t="s">
        <v>66</v>
      </c>
      <c r="U329">
        <v>3.19</v>
      </c>
      <c r="V329">
        <v>2.99</v>
      </c>
    </row>
    <row r="330" spans="1:22" x14ac:dyDescent="0.25">
      <c r="A330" s="2" t="s">
        <v>11</v>
      </c>
      <c r="B330" s="2" t="s">
        <v>64</v>
      </c>
      <c r="C330" t="s">
        <v>104</v>
      </c>
      <c r="D330" t="s">
        <v>26</v>
      </c>
      <c r="E330" t="s">
        <v>74</v>
      </c>
      <c r="F330" t="s">
        <v>77</v>
      </c>
      <c r="G330">
        <v>3.19</v>
      </c>
      <c r="H330">
        <v>2.99</v>
      </c>
      <c r="I330" s="2" t="str">
        <f>_xlfn.XLOOKUP(F330,DeparaIMG!B:B,DeparaIMG!D:D,,0)</f>
        <v>BC269.png</v>
      </c>
      <c r="Q330" t="s">
        <v>106</v>
      </c>
      <c r="R330" t="s">
        <v>26</v>
      </c>
      <c r="S330" t="s">
        <v>74</v>
      </c>
      <c r="T330" t="s">
        <v>77</v>
      </c>
      <c r="U330">
        <v>3.19</v>
      </c>
      <c r="V330">
        <v>2.99</v>
      </c>
    </row>
    <row r="331" spans="1:22" x14ac:dyDescent="0.25">
      <c r="A331" s="2" t="s">
        <v>11</v>
      </c>
      <c r="B331" s="2" t="s">
        <v>64</v>
      </c>
      <c r="C331" t="s">
        <v>104</v>
      </c>
      <c r="D331" t="s">
        <v>26</v>
      </c>
      <c r="E331" t="s">
        <v>65</v>
      </c>
      <c r="F331" t="s">
        <v>72</v>
      </c>
      <c r="G331">
        <v>3.29</v>
      </c>
      <c r="H331">
        <v>3.09</v>
      </c>
      <c r="I331" s="2" t="str">
        <f>_xlfn.XLOOKUP(F331,DeparaIMG!B:B,DeparaIMG!D:D,,0)</f>
        <v>SK269.png</v>
      </c>
      <c r="Q331" t="s">
        <v>106</v>
      </c>
      <c r="R331" t="s">
        <v>27</v>
      </c>
      <c r="S331" t="s">
        <v>74</v>
      </c>
      <c r="T331" t="s">
        <v>77</v>
      </c>
      <c r="U331">
        <v>3.19</v>
      </c>
      <c r="V331">
        <v>2.99</v>
      </c>
    </row>
    <row r="332" spans="1:22" x14ac:dyDescent="0.25">
      <c r="A332" s="2" t="s">
        <v>11</v>
      </c>
      <c r="B332" s="2" t="s">
        <v>64</v>
      </c>
      <c r="C332" t="s">
        <v>104</v>
      </c>
      <c r="D332" t="s">
        <v>27</v>
      </c>
      <c r="E332" t="s">
        <v>65</v>
      </c>
      <c r="F332" t="s">
        <v>72</v>
      </c>
      <c r="G332">
        <v>3.29</v>
      </c>
      <c r="H332">
        <v>3.09</v>
      </c>
      <c r="I332" s="2" t="str">
        <f>_xlfn.XLOOKUP(F332,DeparaIMG!B:B,DeparaIMG!D:D,,0)</f>
        <v>SK269.png</v>
      </c>
      <c r="Q332" t="s">
        <v>106</v>
      </c>
      <c r="R332" t="s">
        <v>26</v>
      </c>
      <c r="S332" t="s">
        <v>74</v>
      </c>
      <c r="T332" t="s">
        <v>79</v>
      </c>
      <c r="U332">
        <v>3.49</v>
      </c>
      <c r="V332">
        <v>3.09</v>
      </c>
    </row>
    <row r="333" spans="1:22" x14ac:dyDescent="0.25">
      <c r="A333" s="2" t="s">
        <v>11</v>
      </c>
      <c r="B333" s="2" t="s">
        <v>64</v>
      </c>
      <c r="C333" t="s">
        <v>104</v>
      </c>
      <c r="D333" t="s">
        <v>26</v>
      </c>
      <c r="E333" t="s">
        <v>74</v>
      </c>
      <c r="F333" t="s">
        <v>79</v>
      </c>
      <c r="G333">
        <v>3.39</v>
      </c>
      <c r="H333">
        <v>2.99</v>
      </c>
      <c r="I333" s="2" t="str">
        <f>_xlfn.XLOOKUP(F333,DeparaIMG!B:B,DeparaIMG!D:D,,0)</f>
        <v>BUD269.png</v>
      </c>
      <c r="Q333" t="s">
        <v>106</v>
      </c>
      <c r="R333" t="s">
        <v>26</v>
      </c>
      <c r="S333" t="s">
        <v>74</v>
      </c>
      <c r="T333" t="s">
        <v>80</v>
      </c>
      <c r="U333">
        <v>3.69</v>
      </c>
      <c r="V333">
        <v>3.19</v>
      </c>
    </row>
    <row r="334" spans="1:22" x14ac:dyDescent="0.25">
      <c r="A334" s="2" t="s">
        <v>11</v>
      </c>
      <c r="B334" s="2" t="s">
        <v>64</v>
      </c>
      <c r="C334" t="s">
        <v>104</v>
      </c>
      <c r="D334" t="s">
        <v>26</v>
      </c>
      <c r="E334" t="s">
        <v>74</v>
      </c>
      <c r="F334" t="s">
        <v>80</v>
      </c>
      <c r="G334">
        <v>3.69</v>
      </c>
      <c r="H334">
        <v>3.19</v>
      </c>
      <c r="I334" s="2" t="str">
        <f>_xlfn.XLOOKUP(F334,DeparaIMG!B:B,DeparaIMG!D:D,,0)</f>
        <v>BC0350.png</v>
      </c>
      <c r="Q334" t="s">
        <v>106</v>
      </c>
      <c r="R334" t="s">
        <v>26</v>
      </c>
      <c r="S334" t="s">
        <v>65</v>
      </c>
      <c r="T334" t="s">
        <v>80</v>
      </c>
      <c r="U334">
        <v>3.69</v>
      </c>
      <c r="V334">
        <v>3.19</v>
      </c>
    </row>
    <row r="335" spans="1:22" x14ac:dyDescent="0.25">
      <c r="A335" s="2" t="s">
        <v>11</v>
      </c>
      <c r="B335" s="2" t="s">
        <v>64</v>
      </c>
      <c r="C335" t="s">
        <v>104</v>
      </c>
      <c r="D335" t="s">
        <v>26</v>
      </c>
      <c r="E335" t="s">
        <v>65</v>
      </c>
      <c r="F335" t="s">
        <v>80</v>
      </c>
      <c r="G335">
        <v>3.69</v>
      </c>
      <c r="H335">
        <v>3.19</v>
      </c>
      <c r="I335" s="2" t="str">
        <f>_xlfn.XLOOKUP(F335,DeparaIMG!B:B,DeparaIMG!D:D,,0)</f>
        <v>BC0350.png</v>
      </c>
      <c r="Q335" t="s">
        <v>106</v>
      </c>
      <c r="R335" t="s">
        <v>26</v>
      </c>
      <c r="S335" t="s">
        <v>65</v>
      </c>
      <c r="T335" t="s">
        <v>67</v>
      </c>
      <c r="U335">
        <v>3.89</v>
      </c>
      <c r="V335">
        <v>3.69</v>
      </c>
    </row>
    <row r="336" spans="1:22" x14ac:dyDescent="0.25">
      <c r="A336" s="2" t="s">
        <v>11</v>
      </c>
      <c r="B336" s="2" t="s">
        <v>64</v>
      </c>
      <c r="C336" t="s">
        <v>104</v>
      </c>
      <c r="D336" t="s">
        <v>27</v>
      </c>
      <c r="E336" t="s">
        <v>74</v>
      </c>
      <c r="F336" t="s">
        <v>82</v>
      </c>
      <c r="G336">
        <v>3.79</v>
      </c>
      <c r="H336">
        <v>3.49</v>
      </c>
      <c r="I336" s="2" t="str">
        <f>_xlfn.XLOOKUP(F336,DeparaIMG!B:B,DeparaIMG!D:D,,0)</f>
        <v>BC350.png</v>
      </c>
      <c r="Q336" t="s">
        <v>106</v>
      </c>
      <c r="R336" t="s">
        <v>26</v>
      </c>
      <c r="S336" t="s">
        <v>65</v>
      </c>
      <c r="T336" t="s">
        <v>83</v>
      </c>
      <c r="U336">
        <v>3.89</v>
      </c>
      <c r="V336">
        <v>3.59</v>
      </c>
    </row>
    <row r="337" spans="1:22" x14ac:dyDescent="0.25">
      <c r="A337" s="2" t="s">
        <v>11</v>
      </c>
      <c r="B337" s="2" t="s">
        <v>64</v>
      </c>
      <c r="C337" t="s">
        <v>104</v>
      </c>
      <c r="D337" t="s">
        <v>26</v>
      </c>
      <c r="E337" t="s">
        <v>65</v>
      </c>
      <c r="F337" t="s">
        <v>67</v>
      </c>
      <c r="G337">
        <v>3.89</v>
      </c>
      <c r="H337">
        <v>3.69</v>
      </c>
      <c r="I337" s="2" t="str">
        <f>_xlfn.XLOOKUP(F337,DeparaIMG!B:B,DeparaIMG!D:D,,0)</f>
        <v>SKZERO350.png</v>
      </c>
      <c r="Q337" t="s">
        <v>106</v>
      </c>
      <c r="R337" t="s">
        <v>27</v>
      </c>
      <c r="S337" t="s">
        <v>65</v>
      </c>
      <c r="T337" t="s">
        <v>83</v>
      </c>
      <c r="U337">
        <v>3.89</v>
      </c>
      <c r="V337">
        <v>3.59</v>
      </c>
    </row>
    <row r="338" spans="1:22" x14ac:dyDescent="0.25">
      <c r="A338" s="2" t="s">
        <v>11</v>
      </c>
      <c r="B338" s="2" t="s">
        <v>64</v>
      </c>
      <c r="C338" t="s">
        <v>104</v>
      </c>
      <c r="D338" t="s">
        <v>26</v>
      </c>
      <c r="E338" t="s">
        <v>65</v>
      </c>
      <c r="F338" t="s">
        <v>83</v>
      </c>
      <c r="G338">
        <v>3.89</v>
      </c>
      <c r="H338">
        <v>3.59</v>
      </c>
      <c r="I338" s="2" t="str">
        <f>_xlfn.XLOOKUP(F338,DeparaIMG!B:B,DeparaIMG!D:D,,0)</f>
        <v>ORI269.png</v>
      </c>
      <c r="Q338" t="s">
        <v>106</v>
      </c>
      <c r="R338" t="s">
        <v>27</v>
      </c>
      <c r="S338" t="s">
        <v>65</v>
      </c>
      <c r="T338" t="s">
        <v>84</v>
      </c>
      <c r="U338">
        <v>3.99</v>
      </c>
      <c r="V338">
        <v>3.69</v>
      </c>
    </row>
    <row r="339" spans="1:22" x14ac:dyDescent="0.25">
      <c r="A339" s="2" t="s">
        <v>11</v>
      </c>
      <c r="B339" s="2" t="s">
        <v>64</v>
      </c>
      <c r="C339" t="s">
        <v>104</v>
      </c>
      <c r="D339" t="s">
        <v>27</v>
      </c>
      <c r="E339" t="s">
        <v>65</v>
      </c>
      <c r="F339" t="s">
        <v>83</v>
      </c>
      <c r="G339">
        <v>3.89</v>
      </c>
      <c r="H339">
        <v>3.59</v>
      </c>
      <c r="I339" s="2" t="str">
        <f>_xlfn.XLOOKUP(F339,DeparaIMG!B:B,DeparaIMG!D:D,,0)</f>
        <v>ORI269.png</v>
      </c>
      <c r="Q339" t="s">
        <v>106</v>
      </c>
      <c r="R339" t="s">
        <v>27</v>
      </c>
      <c r="S339" t="s">
        <v>74</v>
      </c>
      <c r="T339" t="s">
        <v>80</v>
      </c>
      <c r="U339">
        <v>3.99</v>
      </c>
      <c r="V339">
        <v>3.49</v>
      </c>
    </row>
    <row r="340" spans="1:22" x14ac:dyDescent="0.25">
      <c r="A340" s="2" t="s">
        <v>11</v>
      </c>
      <c r="B340" s="2" t="s">
        <v>64</v>
      </c>
      <c r="C340" t="s">
        <v>104</v>
      </c>
      <c r="D340" t="s">
        <v>27</v>
      </c>
      <c r="E340" t="s">
        <v>74</v>
      </c>
      <c r="F340" t="s">
        <v>80</v>
      </c>
      <c r="G340">
        <v>3.99</v>
      </c>
      <c r="H340">
        <v>3.49</v>
      </c>
      <c r="I340" s="2" t="str">
        <f>_xlfn.XLOOKUP(F340,DeparaIMG!B:B,DeparaIMG!D:D,,0)</f>
        <v>BC0350.png</v>
      </c>
      <c r="Q340" t="s">
        <v>106</v>
      </c>
      <c r="R340" t="s">
        <v>27</v>
      </c>
      <c r="S340" t="s">
        <v>65</v>
      </c>
      <c r="T340" t="s">
        <v>80</v>
      </c>
      <c r="U340">
        <v>3.99</v>
      </c>
      <c r="V340">
        <v>3.49</v>
      </c>
    </row>
    <row r="341" spans="1:22" x14ac:dyDescent="0.25">
      <c r="A341" s="2" t="s">
        <v>11</v>
      </c>
      <c r="B341" s="2" t="s">
        <v>64</v>
      </c>
      <c r="C341" t="s">
        <v>104</v>
      </c>
      <c r="D341" t="s">
        <v>27</v>
      </c>
      <c r="E341" t="s">
        <v>65</v>
      </c>
      <c r="F341" t="s">
        <v>80</v>
      </c>
      <c r="G341">
        <v>3.99</v>
      </c>
      <c r="H341">
        <v>3.49</v>
      </c>
      <c r="I341" s="2" t="str">
        <f>_xlfn.XLOOKUP(F341,DeparaIMG!B:B,DeparaIMG!D:D,,0)</f>
        <v>BC0350.png</v>
      </c>
      <c r="Q341" t="s">
        <v>106</v>
      </c>
      <c r="R341" t="s">
        <v>27</v>
      </c>
      <c r="S341" t="s">
        <v>65</v>
      </c>
      <c r="T341" t="s">
        <v>67</v>
      </c>
      <c r="U341">
        <v>4.1900000000000004</v>
      </c>
      <c r="V341">
        <v>3.99</v>
      </c>
    </row>
    <row r="342" spans="1:22" x14ac:dyDescent="0.25">
      <c r="A342" s="2" t="s">
        <v>11</v>
      </c>
      <c r="B342" s="2" t="s">
        <v>64</v>
      </c>
      <c r="C342" t="s">
        <v>104</v>
      </c>
      <c r="D342" t="s">
        <v>26</v>
      </c>
      <c r="E342" t="s">
        <v>74</v>
      </c>
      <c r="F342" t="s">
        <v>85</v>
      </c>
      <c r="G342">
        <v>4.1900000000000004</v>
      </c>
      <c r="H342">
        <v>3.19</v>
      </c>
      <c r="I342" s="2" t="str">
        <f>_xlfn.XLOOKUP(F342,DeparaIMG!B:B,DeparaIMG!D:D,,0)</f>
        <v>BUDZERO350.png</v>
      </c>
      <c r="Q342" t="s">
        <v>106</v>
      </c>
      <c r="R342" t="s">
        <v>26</v>
      </c>
      <c r="S342" t="s">
        <v>74</v>
      </c>
      <c r="T342" t="s">
        <v>85</v>
      </c>
      <c r="U342">
        <v>4.49</v>
      </c>
      <c r="V342">
        <v>3.49</v>
      </c>
    </row>
    <row r="343" spans="1:22" x14ac:dyDescent="0.25">
      <c r="A343" s="2" t="s">
        <v>11</v>
      </c>
      <c r="B343" s="2" t="s">
        <v>64</v>
      </c>
      <c r="C343" t="s">
        <v>104</v>
      </c>
      <c r="D343" t="s">
        <v>27</v>
      </c>
      <c r="E343" t="s">
        <v>74</v>
      </c>
      <c r="F343" t="s">
        <v>85</v>
      </c>
      <c r="G343">
        <v>4.1900000000000004</v>
      </c>
      <c r="H343">
        <v>3.19</v>
      </c>
      <c r="I343" s="2" t="str">
        <f>_xlfn.XLOOKUP(F343,DeparaIMG!B:B,DeparaIMG!D:D,,0)</f>
        <v>BUDZERO350.png</v>
      </c>
      <c r="Q343" t="s">
        <v>106</v>
      </c>
      <c r="R343" t="s">
        <v>27</v>
      </c>
      <c r="S343" t="s">
        <v>74</v>
      </c>
      <c r="T343" t="s">
        <v>87</v>
      </c>
      <c r="U343">
        <v>4.49</v>
      </c>
      <c r="V343">
        <v>3.89</v>
      </c>
    </row>
    <row r="344" spans="1:22" x14ac:dyDescent="0.25">
      <c r="A344" s="2" t="s">
        <v>11</v>
      </c>
      <c r="B344" s="2" t="s">
        <v>64</v>
      </c>
      <c r="C344" t="s">
        <v>104</v>
      </c>
      <c r="D344" t="s">
        <v>27</v>
      </c>
      <c r="E344" t="s">
        <v>65</v>
      </c>
      <c r="F344" t="s">
        <v>67</v>
      </c>
      <c r="G344">
        <v>4.1900000000000004</v>
      </c>
      <c r="H344">
        <v>3.99</v>
      </c>
      <c r="I344" s="2" t="str">
        <f>_xlfn.XLOOKUP(F344,DeparaIMG!B:B,DeparaIMG!D:D,,0)</f>
        <v>SKZERO350.png</v>
      </c>
      <c r="Q344" t="s">
        <v>106</v>
      </c>
      <c r="R344" t="s">
        <v>27</v>
      </c>
      <c r="S344" t="s">
        <v>74</v>
      </c>
      <c r="T344" t="s">
        <v>85</v>
      </c>
      <c r="U344">
        <v>4.49</v>
      </c>
      <c r="V344">
        <v>3.49</v>
      </c>
    </row>
    <row r="345" spans="1:22" x14ac:dyDescent="0.25">
      <c r="A345" s="2" t="s">
        <v>11</v>
      </c>
      <c r="B345" s="2" t="s">
        <v>64</v>
      </c>
      <c r="C345" t="s">
        <v>104</v>
      </c>
      <c r="D345" t="s">
        <v>27</v>
      </c>
      <c r="E345" t="s">
        <v>74</v>
      </c>
      <c r="F345" t="s">
        <v>87</v>
      </c>
      <c r="G345">
        <v>4.29</v>
      </c>
      <c r="H345">
        <v>3.69</v>
      </c>
      <c r="I345" s="2" t="str">
        <f>_xlfn.XLOOKUP(F345,DeparaIMG!B:B,DeparaIMG!D:D,,0)</f>
        <v>BUD350.png</v>
      </c>
      <c r="Q345" t="s">
        <v>106</v>
      </c>
      <c r="R345" t="s">
        <v>27</v>
      </c>
      <c r="S345" t="s">
        <v>65</v>
      </c>
      <c r="T345" t="s">
        <v>68</v>
      </c>
      <c r="U345">
        <v>4.49</v>
      </c>
      <c r="V345">
        <v>4.49</v>
      </c>
    </row>
    <row r="346" spans="1:22" x14ac:dyDescent="0.25">
      <c r="A346" s="2" t="s">
        <v>11</v>
      </c>
      <c r="B346" s="2" t="s">
        <v>64</v>
      </c>
      <c r="C346" t="s">
        <v>104</v>
      </c>
      <c r="D346" t="s">
        <v>26</v>
      </c>
      <c r="E346" t="s">
        <v>74</v>
      </c>
      <c r="F346" t="s">
        <v>89</v>
      </c>
      <c r="G346">
        <v>5.49</v>
      </c>
      <c r="H346">
        <v>4.99</v>
      </c>
      <c r="I346" s="2" t="str">
        <f>_xlfn.XLOOKUP(F346,DeparaIMG!B:B,DeparaIMG!D:D,,0)</f>
        <v>MIC350.png</v>
      </c>
      <c r="Q346" t="s">
        <v>106</v>
      </c>
      <c r="R346" t="s">
        <v>26</v>
      </c>
      <c r="S346" t="s">
        <v>74</v>
      </c>
      <c r="T346" t="s">
        <v>89</v>
      </c>
      <c r="U346">
        <v>5.49</v>
      </c>
      <c r="V346">
        <v>4.99</v>
      </c>
    </row>
    <row r="347" spans="1:22" x14ac:dyDescent="0.25">
      <c r="A347" s="2" t="s">
        <v>11</v>
      </c>
      <c r="B347" s="2" t="s">
        <v>64</v>
      </c>
      <c r="C347" t="s">
        <v>104</v>
      </c>
      <c r="D347" t="s">
        <v>27</v>
      </c>
      <c r="E347" t="s">
        <v>74</v>
      </c>
      <c r="F347" t="s">
        <v>89</v>
      </c>
      <c r="G347">
        <v>5.49</v>
      </c>
      <c r="H347">
        <v>4.99</v>
      </c>
      <c r="I347" s="2" t="str">
        <f>_xlfn.XLOOKUP(F347,DeparaIMG!B:B,DeparaIMG!D:D,,0)</f>
        <v>MIC350.png</v>
      </c>
      <c r="Q347" t="s">
        <v>106</v>
      </c>
      <c r="R347" t="s">
        <v>27</v>
      </c>
      <c r="S347" t="s">
        <v>74</v>
      </c>
      <c r="T347" t="s">
        <v>89</v>
      </c>
      <c r="U347">
        <v>5.49</v>
      </c>
      <c r="V347">
        <v>4.99</v>
      </c>
    </row>
    <row r="348" spans="1:22" x14ac:dyDescent="0.25">
      <c r="A348" s="2" t="s">
        <v>11</v>
      </c>
      <c r="B348" s="2" t="s">
        <v>64</v>
      </c>
      <c r="C348" t="s">
        <v>104</v>
      </c>
      <c r="D348" t="s">
        <v>27</v>
      </c>
      <c r="E348" t="s">
        <v>65</v>
      </c>
      <c r="F348" t="s">
        <v>68</v>
      </c>
      <c r="G348">
        <v>5.49</v>
      </c>
      <c r="H348">
        <v>4.6900000000000004</v>
      </c>
      <c r="I348" s="2" t="str">
        <f>_xlfn.XLOOKUP(F348,DeparaIMG!B:B,DeparaIMG!D:D,,0)</f>
        <v>STE350.png</v>
      </c>
      <c r="Q348" t="s">
        <v>106</v>
      </c>
      <c r="R348" t="s">
        <v>26</v>
      </c>
      <c r="S348" t="s">
        <v>65</v>
      </c>
      <c r="T348" t="s">
        <v>68</v>
      </c>
      <c r="U348">
        <v>5.49</v>
      </c>
      <c r="V348">
        <v>4.6900000000000004</v>
      </c>
    </row>
    <row r="349" spans="1:22" x14ac:dyDescent="0.25">
      <c r="A349" s="2" t="s">
        <v>11</v>
      </c>
      <c r="B349" s="2" t="s">
        <v>64</v>
      </c>
      <c r="C349" t="s">
        <v>104</v>
      </c>
      <c r="D349" t="s">
        <v>26</v>
      </c>
      <c r="E349" t="s">
        <v>65</v>
      </c>
      <c r="F349" t="s">
        <v>68</v>
      </c>
      <c r="G349">
        <v>5.49</v>
      </c>
      <c r="H349">
        <v>4.6900000000000004</v>
      </c>
      <c r="I349" s="2" t="str">
        <f>_xlfn.XLOOKUP(F349,DeparaIMG!B:B,DeparaIMG!D:D,,0)</f>
        <v>STE350.png</v>
      </c>
      <c r="Q349" t="s">
        <v>106</v>
      </c>
      <c r="R349" t="s">
        <v>27</v>
      </c>
      <c r="S349" t="s">
        <v>65</v>
      </c>
      <c r="T349" t="s">
        <v>90</v>
      </c>
      <c r="U349">
        <v>6.19</v>
      </c>
      <c r="V349">
        <v>5.39</v>
      </c>
    </row>
    <row r="350" spans="1:22" x14ac:dyDescent="0.25">
      <c r="A350" s="2" t="s">
        <v>11</v>
      </c>
      <c r="B350" s="2" t="s">
        <v>64</v>
      </c>
      <c r="C350" t="s">
        <v>104</v>
      </c>
      <c r="D350" t="s">
        <v>27</v>
      </c>
      <c r="E350" t="s">
        <v>65</v>
      </c>
      <c r="F350" t="s">
        <v>90</v>
      </c>
      <c r="G350">
        <v>6.29</v>
      </c>
      <c r="H350">
        <v>5.49</v>
      </c>
      <c r="I350" s="2" t="str">
        <f>_xlfn.XLOOKUP(F350,DeparaIMG!B:B,DeparaIMG!D:D,,0)</f>
        <v>COR350.png</v>
      </c>
      <c r="Q350" t="s">
        <v>106</v>
      </c>
      <c r="R350" t="s">
        <v>27</v>
      </c>
      <c r="S350" t="s">
        <v>65</v>
      </c>
      <c r="T350" t="s">
        <v>91</v>
      </c>
      <c r="U350">
        <v>6.19</v>
      </c>
      <c r="V350">
        <v>5.39</v>
      </c>
    </row>
    <row r="351" spans="1:22" x14ac:dyDescent="0.25">
      <c r="A351" s="2" t="s">
        <v>11</v>
      </c>
      <c r="B351" s="2" t="s">
        <v>64</v>
      </c>
      <c r="C351" t="s">
        <v>104</v>
      </c>
      <c r="D351" t="s">
        <v>27</v>
      </c>
      <c r="E351" t="s">
        <v>65</v>
      </c>
      <c r="F351" t="s">
        <v>91</v>
      </c>
      <c r="G351">
        <v>6.29</v>
      </c>
      <c r="H351">
        <v>5.49</v>
      </c>
      <c r="I351" s="2" t="str">
        <f>_xlfn.XLOOKUP(F351,DeparaIMG!B:B,DeparaIMG!D:D,,0)</f>
        <v>CORCERO350.png</v>
      </c>
      <c r="Q351" t="s">
        <v>106</v>
      </c>
      <c r="R351" t="s">
        <v>26</v>
      </c>
      <c r="S351" t="s">
        <v>65</v>
      </c>
      <c r="T351" t="s">
        <v>91</v>
      </c>
      <c r="U351">
        <v>6.19</v>
      </c>
      <c r="V351">
        <v>5.39</v>
      </c>
    </row>
    <row r="352" spans="1:22" x14ac:dyDescent="0.25">
      <c r="A352" s="2" t="s">
        <v>11</v>
      </c>
      <c r="B352" s="2" t="s">
        <v>64</v>
      </c>
      <c r="C352" t="s">
        <v>104</v>
      </c>
      <c r="D352" t="s">
        <v>26</v>
      </c>
      <c r="E352" t="s">
        <v>65</v>
      </c>
      <c r="F352" t="s">
        <v>91</v>
      </c>
      <c r="G352">
        <v>6.29</v>
      </c>
      <c r="H352">
        <v>5.49</v>
      </c>
      <c r="I352" s="2" t="str">
        <f>_xlfn.XLOOKUP(F352,DeparaIMG!B:B,DeparaIMG!D:D,,0)</f>
        <v>CORCERO350.png</v>
      </c>
      <c r="Q352" t="s">
        <v>106</v>
      </c>
      <c r="R352" t="s">
        <v>27</v>
      </c>
      <c r="S352" t="s">
        <v>74</v>
      </c>
      <c r="T352" t="s">
        <v>92</v>
      </c>
      <c r="U352">
        <v>6.39</v>
      </c>
      <c r="V352">
        <v>5.39</v>
      </c>
    </row>
    <row r="353" spans="1:22" x14ac:dyDescent="0.25">
      <c r="A353" s="2" t="s">
        <v>11</v>
      </c>
      <c r="B353" s="2" t="s">
        <v>64</v>
      </c>
      <c r="C353" t="s">
        <v>104</v>
      </c>
      <c r="D353" t="s">
        <v>26</v>
      </c>
      <c r="E353" t="s">
        <v>74</v>
      </c>
      <c r="F353" t="s">
        <v>93</v>
      </c>
      <c r="G353">
        <v>6.39</v>
      </c>
      <c r="H353">
        <v>5.69</v>
      </c>
      <c r="I353" s="2" t="str">
        <f>_xlfn.XLOOKUP(F353,DeparaIMG!B:B,DeparaIMG!D:D,,0)</f>
        <v>BUDLN.png</v>
      </c>
      <c r="Q353" t="s">
        <v>106</v>
      </c>
      <c r="R353" t="s">
        <v>27</v>
      </c>
      <c r="S353" t="s">
        <v>74</v>
      </c>
      <c r="T353" t="s">
        <v>93</v>
      </c>
      <c r="U353">
        <v>6.39</v>
      </c>
      <c r="V353">
        <v>5.69</v>
      </c>
    </row>
    <row r="354" spans="1:22" x14ac:dyDescent="0.25">
      <c r="A354" s="2" t="s">
        <v>11</v>
      </c>
      <c r="B354" s="2" t="s">
        <v>64</v>
      </c>
      <c r="C354" t="s">
        <v>104</v>
      </c>
      <c r="D354" t="s">
        <v>27</v>
      </c>
      <c r="E354" t="s">
        <v>74</v>
      </c>
      <c r="F354" t="s">
        <v>93</v>
      </c>
      <c r="G354">
        <v>6.39</v>
      </c>
      <c r="H354">
        <v>5.69</v>
      </c>
      <c r="I354" s="2" t="str">
        <f>_xlfn.XLOOKUP(F354,DeparaIMG!B:B,DeparaIMG!D:D,,0)</f>
        <v>BUDLN.png</v>
      </c>
      <c r="Q354" t="s">
        <v>106</v>
      </c>
      <c r="R354" t="s">
        <v>26</v>
      </c>
      <c r="S354" t="s">
        <v>65</v>
      </c>
      <c r="T354" t="s">
        <v>94</v>
      </c>
      <c r="U354">
        <v>6.69</v>
      </c>
      <c r="V354">
        <v>5.99</v>
      </c>
    </row>
    <row r="355" spans="1:22" x14ac:dyDescent="0.25">
      <c r="A355" s="2" t="s">
        <v>11</v>
      </c>
      <c r="B355" s="2" t="s">
        <v>64</v>
      </c>
      <c r="C355" t="s">
        <v>104</v>
      </c>
      <c r="D355" t="s">
        <v>26</v>
      </c>
      <c r="E355" t="s">
        <v>74</v>
      </c>
      <c r="F355" t="s">
        <v>92</v>
      </c>
      <c r="G355">
        <v>6.39</v>
      </c>
      <c r="H355">
        <v>5.39</v>
      </c>
      <c r="I355" s="2" t="str">
        <f>_xlfn.XLOOKUP(F355,DeparaIMG!B:B,DeparaIMG!D:D,,0)</f>
        <v>BUDZEROLN.png</v>
      </c>
      <c r="Q355" t="s">
        <v>106</v>
      </c>
      <c r="R355" t="s">
        <v>27</v>
      </c>
      <c r="S355" t="s">
        <v>65</v>
      </c>
      <c r="T355" t="s">
        <v>94</v>
      </c>
      <c r="U355">
        <v>6.69</v>
      </c>
      <c r="V355">
        <v>5.99</v>
      </c>
    </row>
    <row r="356" spans="1:22" x14ac:dyDescent="0.25">
      <c r="A356" s="2" t="s">
        <v>11</v>
      </c>
      <c r="B356" s="2" t="s">
        <v>64</v>
      </c>
      <c r="C356" t="s">
        <v>104</v>
      </c>
      <c r="D356" t="s">
        <v>27</v>
      </c>
      <c r="E356" t="s">
        <v>74</v>
      </c>
      <c r="F356" t="s">
        <v>92</v>
      </c>
      <c r="G356">
        <v>6.39</v>
      </c>
      <c r="H356">
        <v>5.39</v>
      </c>
      <c r="I356" s="2" t="str">
        <f>_xlfn.XLOOKUP(F356,DeparaIMG!B:B,DeparaIMG!D:D,,0)</f>
        <v>BUDZEROLN.png</v>
      </c>
      <c r="Q356" t="s">
        <v>106</v>
      </c>
      <c r="R356" t="s">
        <v>26</v>
      </c>
      <c r="S356" t="s">
        <v>65</v>
      </c>
      <c r="T356" t="s">
        <v>95</v>
      </c>
      <c r="U356">
        <v>6.99</v>
      </c>
      <c r="V356">
        <v>6.59</v>
      </c>
    </row>
    <row r="357" spans="1:22" x14ac:dyDescent="0.25">
      <c r="A357" s="2" t="s">
        <v>11</v>
      </c>
      <c r="B357" s="2" t="s">
        <v>64</v>
      </c>
      <c r="C357" t="s">
        <v>104</v>
      </c>
      <c r="D357" t="s">
        <v>26</v>
      </c>
      <c r="E357" t="s">
        <v>65</v>
      </c>
      <c r="F357" t="s">
        <v>94</v>
      </c>
      <c r="G357">
        <v>6.69</v>
      </c>
      <c r="H357">
        <v>5.99</v>
      </c>
      <c r="I357" s="2" t="str">
        <f>_xlfn.XLOOKUP(F357,DeparaIMG!B:B,DeparaIMG!D:D,,0)</f>
        <v>MICLN.png</v>
      </c>
      <c r="Q357" t="s">
        <v>106</v>
      </c>
      <c r="R357" t="s">
        <v>27</v>
      </c>
      <c r="S357" t="s">
        <v>65</v>
      </c>
      <c r="T357" t="s">
        <v>95</v>
      </c>
      <c r="U357">
        <v>6.99</v>
      </c>
      <c r="V357">
        <v>6.59</v>
      </c>
    </row>
    <row r="358" spans="1:22" x14ac:dyDescent="0.25">
      <c r="A358" s="2" t="s">
        <v>11</v>
      </c>
      <c r="B358" s="2" t="s">
        <v>64</v>
      </c>
      <c r="C358" t="s">
        <v>104</v>
      </c>
      <c r="D358" t="s">
        <v>27</v>
      </c>
      <c r="E358" t="s">
        <v>65</v>
      </c>
      <c r="F358" t="s">
        <v>94</v>
      </c>
      <c r="G358">
        <v>6.69</v>
      </c>
      <c r="H358">
        <v>5.99</v>
      </c>
      <c r="I358" s="2" t="str">
        <f>_xlfn.XLOOKUP(F358,DeparaIMG!B:B,DeparaIMG!D:D,,0)</f>
        <v>MICLN.png</v>
      </c>
      <c r="Q358" t="s">
        <v>106</v>
      </c>
      <c r="R358" t="s">
        <v>26</v>
      </c>
      <c r="S358" t="s">
        <v>74</v>
      </c>
      <c r="T358" t="s">
        <v>96</v>
      </c>
      <c r="U358">
        <v>7.99</v>
      </c>
      <c r="V358">
        <v>6.99</v>
      </c>
    </row>
    <row r="359" spans="1:22" x14ac:dyDescent="0.25">
      <c r="A359" s="2" t="s">
        <v>11</v>
      </c>
      <c r="B359" s="2" t="s">
        <v>64</v>
      </c>
      <c r="C359" t="s">
        <v>104</v>
      </c>
      <c r="D359" t="s">
        <v>26</v>
      </c>
      <c r="E359" t="s">
        <v>65</v>
      </c>
      <c r="F359" t="s">
        <v>95</v>
      </c>
      <c r="G359">
        <v>6.99</v>
      </c>
      <c r="H359">
        <v>6.59</v>
      </c>
      <c r="I359" s="2" t="str">
        <f>_xlfn.XLOOKUP(F359,DeparaIMG!B:B,DeparaIMG!D:D,,0)</f>
        <v>STELN.png</v>
      </c>
      <c r="Q359" t="s">
        <v>106</v>
      </c>
      <c r="R359" t="s">
        <v>27</v>
      </c>
      <c r="S359" t="s">
        <v>74</v>
      </c>
      <c r="T359" t="s">
        <v>96</v>
      </c>
      <c r="U359">
        <v>7.99</v>
      </c>
      <c r="V359">
        <v>6.99</v>
      </c>
    </row>
    <row r="360" spans="1:22" x14ac:dyDescent="0.25">
      <c r="A360" s="2" t="s">
        <v>11</v>
      </c>
      <c r="B360" s="2" t="s">
        <v>64</v>
      </c>
      <c r="C360" t="s">
        <v>104</v>
      </c>
      <c r="D360" t="s">
        <v>27</v>
      </c>
      <c r="E360" t="s">
        <v>65</v>
      </c>
      <c r="F360" t="s">
        <v>95</v>
      </c>
      <c r="G360">
        <v>6.99</v>
      </c>
      <c r="H360">
        <v>6.59</v>
      </c>
      <c r="I360" s="2" t="str">
        <f>_xlfn.XLOOKUP(F360,DeparaIMG!B:B,DeparaIMG!D:D,,0)</f>
        <v>STELN.png</v>
      </c>
      <c r="Q360" t="s">
        <v>106</v>
      </c>
      <c r="R360" t="s">
        <v>26</v>
      </c>
      <c r="S360" t="s">
        <v>74</v>
      </c>
      <c r="T360" t="s">
        <v>97</v>
      </c>
      <c r="U360">
        <v>7.99</v>
      </c>
      <c r="V360">
        <v>6.99</v>
      </c>
    </row>
    <row r="361" spans="1:22" x14ac:dyDescent="0.25">
      <c r="A361" s="2" t="s">
        <v>11</v>
      </c>
      <c r="B361" s="2" t="s">
        <v>64</v>
      </c>
      <c r="C361" t="s">
        <v>104</v>
      </c>
      <c r="D361" t="s">
        <v>27</v>
      </c>
      <c r="E361" t="s">
        <v>74</v>
      </c>
      <c r="F361" t="s">
        <v>96</v>
      </c>
      <c r="G361">
        <v>7.99</v>
      </c>
      <c r="H361">
        <v>6.99</v>
      </c>
      <c r="I361" s="2" t="str">
        <f>_xlfn.XLOOKUP(F361,DeparaIMG!B:B,DeparaIMG!D:D,,0)</f>
        <v>CORLN.png</v>
      </c>
      <c r="Q361" t="s">
        <v>106</v>
      </c>
      <c r="R361" t="s">
        <v>27</v>
      </c>
      <c r="S361" t="s">
        <v>74</v>
      </c>
      <c r="T361" t="s">
        <v>97</v>
      </c>
      <c r="U361">
        <v>7.99</v>
      </c>
      <c r="V361">
        <v>6.99</v>
      </c>
    </row>
    <row r="362" spans="1:22" x14ac:dyDescent="0.25">
      <c r="A362" s="2" t="s">
        <v>11</v>
      </c>
      <c r="B362" s="2" t="s">
        <v>64</v>
      </c>
      <c r="C362" t="s">
        <v>104</v>
      </c>
      <c r="D362" t="s">
        <v>27</v>
      </c>
      <c r="E362" t="s">
        <v>74</v>
      </c>
      <c r="F362" t="s">
        <v>97</v>
      </c>
      <c r="G362">
        <v>7.99</v>
      </c>
      <c r="H362">
        <v>6.99</v>
      </c>
      <c r="I362" s="2" t="str">
        <f>_xlfn.XLOOKUP(F362,DeparaIMG!B:B,DeparaIMG!D:D,,0)</f>
        <v>CORCEROLN.png</v>
      </c>
    </row>
    <row r="363" spans="1:22" x14ac:dyDescent="0.25">
      <c r="A363" s="2" t="s">
        <v>11</v>
      </c>
      <c r="B363" s="2" t="s">
        <v>64</v>
      </c>
      <c r="C363" t="s">
        <v>104</v>
      </c>
      <c r="D363" t="s">
        <v>26</v>
      </c>
      <c r="E363" t="s">
        <v>74</v>
      </c>
      <c r="F363" t="s">
        <v>96</v>
      </c>
      <c r="G363">
        <v>7.99</v>
      </c>
      <c r="H363">
        <v>6.99</v>
      </c>
      <c r="I363" s="2" t="str">
        <f>_xlfn.XLOOKUP(F363,DeparaIMG!B:B,DeparaIMG!D:D,,0)</f>
        <v>CORLN.png</v>
      </c>
    </row>
    <row r="364" spans="1:22" x14ac:dyDescent="0.25">
      <c r="A364" s="2" t="s">
        <v>11</v>
      </c>
      <c r="B364" s="2" t="s">
        <v>64</v>
      </c>
      <c r="C364" t="s">
        <v>104</v>
      </c>
      <c r="D364" t="s">
        <v>26</v>
      </c>
      <c r="E364" t="s">
        <v>74</v>
      </c>
      <c r="F364" t="s">
        <v>97</v>
      </c>
      <c r="G364">
        <v>7.99</v>
      </c>
      <c r="H364">
        <v>6.99</v>
      </c>
      <c r="I364" s="2" t="str">
        <f>_xlfn.XLOOKUP(F364,DeparaIMG!B:B,DeparaIMG!D:D,,0)</f>
        <v>CORCEROLN.png</v>
      </c>
    </row>
    <row r="365" spans="1:22" x14ac:dyDescent="0.25">
      <c r="A365" s="2" t="s">
        <v>11</v>
      </c>
      <c r="B365" s="2" t="s">
        <v>64</v>
      </c>
      <c r="C365" t="s">
        <v>105</v>
      </c>
      <c r="D365" t="s">
        <v>27</v>
      </c>
      <c r="E365" t="s">
        <v>65</v>
      </c>
      <c r="F365" t="s">
        <v>66</v>
      </c>
      <c r="G365">
        <v>3.19</v>
      </c>
      <c r="H365">
        <v>2.99</v>
      </c>
      <c r="I365" s="2" t="str">
        <f>_xlfn.XLOOKUP(F365,DeparaIMG!B:B,DeparaIMG!D:D,,0)</f>
        <v>SKZERO269.png</v>
      </c>
    </row>
    <row r="366" spans="1:22" x14ac:dyDescent="0.25">
      <c r="A366" s="2" t="s">
        <v>11</v>
      </c>
      <c r="B366" s="2" t="s">
        <v>64</v>
      </c>
      <c r="C366" t="s">
        <v>105</v>
      </c>
      <c r="D366" t="s">
        <v>26</v>
      </c>
      <c r="E366" t="s">
        <v>65</v>
      </c>
      <c r="F366" t="s">
        <v>66</v>
      </c>
      <c r="G366">
        <v>3.19</v>
      </c>
      <c r="H366">
        <v>2.99</v>
      </c>
      <c r="I366" s="2" t="str">
        <f>_xlfn.XLOOKUP(F366,DeparaIMG!B:B,DeparaIMG!D:D,,0)</f>
        <v>SKZERO269.png</v>
      </c>
    </row>
    <row r="367" spans="1:22" x14ac:dyDescent="0.25">
      <c r="A367" s="2" t="s">
        <v>11</v>
      </c>
      <c r="B367" s="2" t="s">
        <v>64</v>
      </c>
      <c r="C367" t="s">
        <v>105</v>
      </c>
      <c r="D367" t="s">
        <v>26</v>
      </c>
      <c r="E367" t="s">
        <v>74</v>
      </c>
      <c r="F367" t="s">
        <v>77</v>
      </c>
      <c r="G367">
        <v>3.19</v>
      </c>
      <c r="H367">
        <v>2.99</v>
      </c>
      <c r="I367" s="2" t="str">
        <f>_xlfn.XLOOKUP(F367,DeparaIMG!B:B,DeparaIMG!D:D,,0)</f>
        <v>BC269.png</v>
      </c>
    </row>
    <row r="368" spans="1:22" x14ac:dyDescent="0.25">
      <c r="A368" s="2" t="s">
        <v>11</v>
      </c>
      <c r="B368" s="2" t="s">
        <v>64</v>
      </c>
      <c r="C368" t="s">
        <v>105</v>
      </c>
      <c r="D368" t="s">
        <v>26</v>
      </c>
      <c r="E368" t="s">
        <v>65</v>
      </c>
      <c r="F368" t="s">
        <v>72</v>
      </c>
      <c r="G368">
        <v>3.29</v>
      </c>
      <c r="H368">
        <v>3.09</v>
      </c>
      <c r="I368" s="2" t="str">
        <f>_xlfn.XLOOKUP(F368,DeparaIMG!B:B,DeparaIMG!D:D,,0)</f>
        <v>SK269.png</v>
      </c>
    </row>
    <row r="369" spans="1:9" x14ac:dyDescent="0.25">
      <c r="A369" s="2" t="s">
        <v>11</v>
      </c>
      <c r="B369" s="2" t="s">
        <v>64</v>
      </c>
      <c r="C369" t="s">
        <v>105</v>
      </c>
      <c r="D369" t="s">
        <v>27</v>
      </c>
      <c r="E369" t="s">
        <v>65</v>
      </c>
      <c r="F369" t="s">
        <v>72</v>
      </c>
      <c r="G369">
        <v>3.29</v>
      </c>
      <c r="H369">
        <v>3.09</v>
      </c>
      <c r="I369" s="2" t="str">
        <f>_xlfn.XLOOKUP(F369,DeparaIMG!B:B,DeparaIMG!D:D,,0)</f>
        <v>SK269.png</v>
      </c>
    </row>
    <row r="370" spans="1:9" x14ac:dyDescent="0.25">
      <c r="A370" s="2" t="s">
        <v>11</v>
      </c>
      <c r="B370" s="2" t="s">
        <v>64</v>
      </c>
      <c r="C370" t="s">
        <v>105</v>
      </c>
      <c r="D370" t="s">
        <v>26</v>
      </c>
      <c r="E370" t="s">
        <v>74</v>
      </c>
      <c r="F370" t="s">
        <v>79</v>
      </c>
      <c r="G370">
        <v>3.39</v>
      </c>
      <c r="H370">
        <v>2.99</v>
      </c>
      <c r="I370" s="2" t="str">
        <f>_xlfn.XLOOKUP(F370,DeparaIMG!B:B,DeparaIMG!D:D,,0)</f>
        <v>BUD269.png</v>
      </c>
    </row>
    <row r="371" spans="1:9" x14ac:dyDescent="0.25">
      <c r="A371" s="2" t="s">
        <v>11</v>
      </c>
      <c r="B371" s="2" t="s">
        <v>64</v>
      </c>
      <c r="C371" t="s">
        <v>105</v>
      </c>
      <c r="D371" t="s">
        <v>26</v>
      </c>
      <c r="E371" t="s">
        <v>74</v>
      </c>
      <c r="F371" t="s">
        <v>80</v>
      </c>
      <c r="G371">
        <v>3.69</v>
      </c>
      <c r="H371">
        <v>3.19</v>
      </c>
      <c r="I371" s="2" t="str">
        <f>_xlfn.XLOOKUP(F371,DeparaIMG!B:B,DeparaIMG!D:D,,0)</f>
        <v>BC0350.png</v>
      </c>
    </row>
    <row r="372" spans="1:9" x14ac:dyDescent="0.25">
      <c r="A372" s="2" t="s">
        <v>11</v>
      </c>
      <c r="B372" s="2" t="s">
        <v>64</v>
      </c>
      <c r="C372" t="s">
        <v>105</v>
      </c>
      <c r="D372" t="s">
        <v>26</v>
      </c>
      <c r="E372" t="s">
        <v>65</v>
      </c>
      <c r="F372" t="s">
        <v>80</v>
      </c>
      <c r="G372">
        <v>3.69</v>
      </c>
      <c r="H372">
        <v>3.19</v>
      </c>
      <c r="I372" s="2" t="str">
        <f>_xlfn.XLOOKUP(F372,DeparaIMG!B:B,DeparaIMG!D:D,,0)</f>
        <v>BC0350.png</v>
      </c>
    </row>
    <row r="373" spans="1:9" x14ac:dyDescent="0.25">
      <c r="A373" s="2" t="s">
        <v>11</v>
      </c>
      <c r="B373" s="2" t="s">
        <v>64</v>
      </c>
      <c r="C373" t="s">
        <v>105</v>
      </c>
      <c r="D373" t="s">
        <v>27</v>
      </c>
      <c r="E373" t="s">
        <v>74</v>
      </c>
      <c r="F373" t="s">
        <v>82</v>
      </c>
      <c r="G373">
        <v>3.79</v>
      </c>
      <c r="H373">
        <v>3.49</v>
      </c>
      <c r="I373" s="2" t="str">
        <f>_xlfn.XLOOKUP(F373,DeparaIMG!B:B,DeparaIMG!D:D,,0)</f>
        <v>BC350.png</v>
      </c>
    </row>
    <row r="374" spans="1:9" x14ac:dyDescent="0.25">
      <c r="A374" s="2" t="s">
        <v>11</v>
      </c>
      <c r="B374" s="2" t="s">
        <v>64</v>
      </c>
      <c r="C374" t="s">
        <v>105</v>
      </c>
      <c r="D374" t="s">
        <v>26</v>
      </c>
      <c r="E374" t="s">
        <v>65</v>
      </c>
      <c r="F374" t="s">
        <v>67</v>
      </c>
      <c r="G374">
        <v>3.89</v>
      </c>
      <c r="H374">
        <v>3.69</v>
      </c>
      <c r="I374" s="2" t="str">
        <f>_xlfn.XLOOKUP(F374,DeparaIMG!B:B,DeparaIMG!D:D,,0)</f>
        <v>SKZERO350.png</v>
      </c>
    </row>
    <row r="375" spans="1:9" x14ac:dyDescent="0.25">
      <c r="A375" s="2" t="s">
        <v>11</v>
      </c>
      <c r="B375" s="2" t="s">
        <v>64</v>
      </c>
      <c r="C375" t="s">
        <v>105</v>
      </c>
      <c r="D375" t="s">
        <v>26</v>
      </c>
      <c r="E375" t="s">
        <v>65</v>
      </c>
      <c r="F375" t="s">
        <v>83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11</v>
      </c>
      <c r="B376" s="2" t="s">
        <v>64</v>
      </c>
      <c r="C376" t="s">
        <v>105</v>
      </c>
      <c r="D376" t="s">
        <v>27</v>
      </c>
      <c r="E376" t="s">
        <v>65</v>
      </c>
      <c r="F376" t="s">
        <v>83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11</v>
      </c>
      <c r="B377" s="2" t="s">
        <v>64</v>
      </c>
      <c r="C377" t="s">
        <v>105</v>
      </c>
      <c r="D377" t="s">
        <v>27</v>
      </c>
      <c r="E377" t="s">
        <v>74</v>
      </c>
      <c r="F377" t="s">
        <v>80</v>
      </c>
      <c r="G377">
        <v>3.99</v>
      </c>
      <c r="H377">
        <v>3.49</v>
      </c>
      <c r="I377" s="2" t="str">
        <f>_xlfn.XLOOKUP(F377,DeparaIMG!B:B,DeparaIMG!D:D,,0)</f>
        <v>BC0350.png</v>
      </c>
    </row>
    <row r="378" spans="1:9" x14ac:dyDescent="0.25">
      <c r="A378" s="2" t="s">
        <v>11</v>
      </c>
      <c r="B378" s="2" t="s">
        <v>64</v>
      </c>
      <c r="C378" t="s">
        <v>105</v>
      </c>
      <c r="D378" t="s">
        <v>27</v>
      </c>
      <c r="E378" t="s">
        <v>65</v>
      </c>
      <c r="F378" t="s">
        <v>80</v>
      </c>
      <c r="G378">
        <v>3.99</v>
      </c>
      <c r="H378">
        <v>3.49</v>
      </c>
      <c r="I378" s="2" t="str">
        <f>_xlfn.XLOOKUP(F378,DeparaIMG!B:B,DeparaIMG!D:D,,0)</f>
        <v>BC0350.png</v>
      </c>
    </row>
    <row r="379" spans="1:9" x14ac:dyDescent="0.25">
      <c r="A379" s="2" t="s">
        <v>11</v>
      </c>
      <c r="B379" s="2" t="s">
        <v>64</v>
      </c>
      <c r="C379" t="s">
        <v>105</v>
      </c>
      <c r="D379" t="s">
        <v>26</v>
      </c>
      <c r="E379" t="s">
        <v>74</v>
      </c>
      <c r="F379" t="s">
        <v>85</v>
      </c>
      <c r="G379">
        <v>4.1900000000000004</v>
      </c>
      <c r="H379">
        <v>3.19</v>
      </c>
      <c r="I379" s="2" t="str">
        <f>_xlfn.XLOOKUP(F379,DeparaIMG!B:B,DeparaIMG!D:D,,0)</f>
        <v>BUDZERO350.png</v>
      </c>
    </row>
    <row r="380" spans="1:9" x14ac:dyDescent="0.25">
      <c r="A380" s="2" t="s">
        <v>11</v>
      </c>
      <c r="B380" s="2" t="s">
        <v>64</v>
      </c>
      <c r="C380" t="s">
        <v>105</v>
      </c>
      <c r="D380" t="s">
        <v>27</v>
      </c>
      <c r="E380" t="s">
        <v>74</v>
      </c>
      <c r="F380" t="s">
        <v>85</v>
      </c>
      <c r="G380">
        <v>4.1900000000000004</v>
      </c>
      <c r="H380">
        <v>3.19</v>
      </c>
      <c r="I380" s="2" t="str">
        <f>_xlfn.XLOOKUP(F380,DeparaIMG!B:B,DeparaIMG!D:D,,0)</f>
        <v>BUDZERO350.png</v>
      </c>
    </row>
    <row r="381" spans="1:9" x14ac:dyDescent="0.25">
      <c r="A381" s="2" t="s">
        <v>11</v>
      </c>
      <c r="B381" s="2" t="s">
        <v>64</v>
      </c>
      <c r="C381" t="s">
        <v>105</v>
      </c>
      <c r="D381" t="s">
        <v>27</v>
      </c>
      <c r="E381" t="s">
        <v>65</v>
      </c>
      <c r="F381" t="s">
        <v>67</v>
      </c>
      <c r="G381">
        <v>4.1900000000000004</v>
      </c>
      <c r="H381">
        <v>3.99</v>
      </c>
      <c r="I381" s="2" t="str">
        <f>_xlfn.XLOOKUP(F381,DeparaIMG!B:B,DeparaIMG!D:D,,0)</f>
        <v>SKZERO350.png</v>
      </c>
    </row>
    <row r="382" spans="1:9" x14ac:dyDescent="0.25">
      <c r="A382" s="2" t="s">
        <v>11</v>
      </c>
      <c r="B382" s="2" t="s">
        <v>64</v>
      </c>
      <c r="C382" t="s">
        <v>105</v>
      </c>
      <c r="D382" t="s">
        <v>27</v>
      </c>
      <c r="E382" t="s">
        <v>74</v>
      </c>
      <c r="F382" t="s">
        <v>87</v>
      </c>
      <c r="G382">
        <v>4.29</v>
      </c>
      <c r="H382">
        <v>3.69</v>
      </c>
      <c r="I382" s="2" t="str">
        <f>_xlfn.XLOOKUP(F382,DeparaIMG!B:B,DeparaIMG!D:D,,0)</f>
        <v>BUD350.png</v>
      </c>
    </row>
    <row r="383" spans="1:9" x14ac:dyDescent="0.25">
      <c r="A383" s="2" t="s">
        <v>11</v>
      </c>
      <c r="B383" s="2" t="s">
        <v>64</v>
      </c>
      <c r="C383" t="s">
        <v>105</v>
      </c>
      <c r="D383" t="s">
        <v>26</v>
      </c>
      <c r="E383" t="s">
        <v>74</v>
      </c>
      <c r="F383" t="s">
        <v>89</v>
      </c>
      <c r="G383">
        <v>5.49</v>
      </c>
      <c r="H383">
        <v>4.99</v>
      </c>
      <c r="I383" s="2" t="str">
        <f>_xlfn.XLOOKUP(F383,DeparaIMG!B:B,DeparaIMG!D:D,,0)</f>
        <v>MIC350.png</v>
      </c>
    </row>
    <row r="384" spans="1:9" x14ac:dyDescent="0.25">
      <c r="A384" s="2" t="s">
        <v>11</v>
      </c>
      <c r="B384" s="2" t="s">
        <v>64</v>
      </c>
      <c r="C384" t="s">
        <v>105</v>
      </c>
      <c r="D384" t="s">
        <v>27</v>
      </c>
      <c r="E384" t="s">
        <v>74</v>
      </c>
      <c r="F384" t="s">
        <v>89</v>
      </c>
      <c r="G384">
        <v>5.49</v>
      </c>
      <c r="H384">
        <v>4.99</v>
      </c>
      <c r="I384" s="2" t="str">
        <f>_xlfn.XLOOKUP(F384,DeparaIMG!B:B,DeparaIMG!D:D,,0)</f>
        <v>MIC350.png</v>
      </c>
    </row>
    <row r="385" spans="1:9" x14ac:dyDescent="0.25">
      <c r="A385" s="2" t="s">
        <v>11</v>
      </c>
      <c r="B385" s="2" t="s">
        <v>64</v>
      </c>
      <c r="C385" t="s">
        <v>105</v>
      </c>
      <c r="D385" t="s">
        <v>27</v>
      </c>
      <c r="E385" t="s">
        <v>65</v>
      </c>
      <c r="F385" t="s">
        <v>68</v>
      </c>
      <c r="G385">
        <v>5.49</v>
      </c>
      <c r="H385">
        <v>4.6900000000000004</v>
      </c>
      <c r="I385" s="2" t="str">
        <f>_xlfn.XLOOKUP(F385,DeparaIMG!B:B,DeparaIMG!D:D,,0)</f>
        <v>STE350.png</v>
      </c>
    </row>
    <row r="386" spans="1:9" x14ac:dyDescent="0.25">
      <c r="A386" s="2" t="s">
        <v>11</v>
      </c>
      <c r="B386" s="2" t="s">
        <v>64</v>
      </c>
      <c r="C386" t="s">
        <v>105</v>
      </c>
      <c r="D386" t="s">
        <v>26</v>
      </c>
      <c r="E386" t="s">
        <v>65</v>
      </c>
      <c r="F386" t="s">
        <v>68</v>
      </c>
      <c r="G386">
        <v>5.49</v>
      </c>
      <c r="H386">
        <v>4.6900000000000004</v>
      </c>
      <c r="I386" s="2" t="str">
        <f>_xlfn.XLOOKUP(F386,DeparaIMG!B:B,DeparaIMG!D:D,,0)</f>
        <v>STE350.png</v>
      </c>
    </row>
    <row r="387" spans="1:9" x14ac:dyDescent="0.25">
      <c r="A387" s="2" t="s">
        <v>11</v>
      </c>
      <c r="B387" s="2" t="s">
        <v>64</v>
      </c>
      <c r="C387" t="s">
        <v>105</v>
      </c>
      <c r="D387" t="s">
        <v>27</v>
      </c>
      <c r="E387" t="s">
        <v>65</v>
      </c>
      <c r="F387" t="s">
        <v>90</v>
      </c>
      <c r="G387">
        <v>6.29</v>
      </c>
      <c r="H387">
        <v>5.49</v>
      </c>
      <c r="I387" s="2" t="str">
        <f>_xlfn.XLOOKUP(F387,DeparaIMG!B:B,DeparaIMG!D:D,,0)</f>
        <v>COR350.png</v>
      </c>
    </row>
    <row r="388" spans="1:9" x14ac:dyDescent="0.25">
      <c r="A388" s="2" t="s">
        <v>11</v>
      </c>
      <c r="B388" s="2" t="s">
        <v>64</v>
      </c>
      <c r="C388" t="s">
        <v>105</v>
      </c>
      <c r="D388" t="s">
        <v>27</v>
      </c>
      <c r="E388" t="s">
        <v>65</v>
      </c>
      <c r="F388" t="s">
        <v>91</v>
      </c>
      <c r="G388">
        <v>6.29</v>
      </c>
      <c r="H388">
        <v>5.49</v>
      </c>
      <c r="I388" s="2" t="str">
        <f>_xlfn.XLOOKUP(F388,DeparaIMG!B:B,DeparaIMG!D:D,,0)</f>
        <v>CORCERO350.png</v>
      </c>
    </row>
    <row r="389" spans="1:9" x14ac:dyDescent="0.25">
      <c r="A389" s="2" t="s">
        <v>11</v>
      </c>
      <c r="B389" s="2" t="s">
        <v>64</v>
      </c>
      <c r="C389" t="s">
        <v>105</v>
      </c>
      <c r="D389" t="s">
        <v>26</v>
      </c>
      <c r="E389" t="s">
        <v>65</v>
      </c>
      <c r="F389" t="s">
        <v>91</v>
      </c>
      <c r="G389">
        <v>6.29</v>
      </c>
      <c r="H389">
        <v>5.49</v>
      </c>
      <c r="I389" s="2" t="str">
        <f>_xlfn.XLOOKUP(F389,DeparaIMG!B:B,DeparaIMG!D:D,,0)</f>
        <v>CORCERO350.png</v>
      </c>
    </row>
    <row r="390" spans="1:9" x14ac:dyDescent="0.25">
      <c r="A390" s="2" t="s">
        <v>11</v>
      </c>
      <c r="B390" s="2" t="s">
        <v>64</v>
      </c>
      <c r="C390" t="s">
        <v>105</v>
      </c>
      <c r="D390" t="s">
        <v>26</v>
      </c>
      <c r="E390" t="s">
        <v>74</v>
      </c>
      <c r="F390" t="s">
        <v>93</v>
      </c>
      <c r="G390">
        <v>6.39</v>
      </c>
      <c r="H390">
        <v>5.69</v>
      </c>
      <c r="I390" s="2" t="str">
        <f>_xlfn.XLOOKUP(F390,DeparaIMG!B:B,DeparaIMG!D:D,,0)</f>
        <v>BUDLN.png</v>
      </c>
    </row>
    <row r="391" spans="1:9" x14ac:dyDescent="0.25">
      <c r="A391" s="2" t="s">
        <v>11</v>
      </c>
      <c r="B391" s="2" t="s">
        <v>64</v>
      </c>
      <c r="C391" t="s">
        <v>105</v>
      </c>
      <c r="D391" t="s">
        <v>27</v>
      </c>
      <c r="E391" t="s">
        <v>74</v>
      </c>
      <c r="F391" t="s">
        <v>93</v>
      </c>
      <c r="G391">
        <v>6.39</v>
      </c>
      <c r="H391">
        <v>5.69</v>
      </c>
      <c r="I391" s="2" t="str">
        <f>_xlfn.XLOOKUP(F391,DeparaIMG!B:B,DeparaIMG!D:D,,0)</f>
        <v>BUDLN.png</v>
      </c>
    </row>
    <row r="392" spans="1:9" x14ac:dyDescent="0.25">
      <c r="A392" s="2" t="s">
        <v>11</v>
      </c>
      <c r="B392" s="2" t="s">
        <v>64</v>
      </c>
      <c r="C392" t="s">
        <v>105</v>
      </c>
      <c r="D392" t="s">
        <v>26</v>
      </c>
      <c r="E392" t="s">
        <v>74</v>
      </c>
      <c r="F392" t="s">
        <v>92</v>
      </c>
      <c r="G392">
        <v>6.39</v>
      </c>
      <c r="H392">
        <v>5.39</v>
      </c>
      <c r="I392" s="2" t="str">
        <f>_xlfn.XLOOKUP(F392,DeparaIMG!B:B,DeparaIMG!D:D,,0)</f>
        <v>BUDZEROLN.png</v>
      </c>
    </row>
    <row r="393" spans="1:9" x14ac:dyDescent="0.25">
      <c r="A393" s="2" t="s">
        <v>11</v>
      </c>
      <c r="B393" s="2" t="s">
        <v>64</v>
      </c>
      <c r="C393" t="s">
        <v>105</v>
      </c>
      <c r="D393" t="s">
        <v>27</v>
      </c>
      <c r="E393" t="s">
        <v>74</v>
      </c>
      <c r="F393" t="s">
        <v>92</v>
      </c>
      <c r="G393">
        <v>6.39</v>
      </c>
      <c r="H393">
        <v>5.39</v>
      </c>
      <c r="I393" s="2" t="str">
        <f>_xlfn.XLOOKUP(F393,DeparaIMG!B:B,DeparaIMG!D:D,,0)</f>
        <v>BUDZEROLN.png</v>
      </c>
    </row>
    <row r="394" spans="1:9" x14ac:dyDescent="0.25">
      <c r="A394" s="2" t="s">
        <v>11</v>
      </c>
      <c r="B394" s="2" t="s">
        <v>64</v>
      </c>
      <c r="C394" t="s">
        <v>105</v>
      </c>
      <c r="D394" t="s">
        <v>26</v>
      </c>
      <c r="E394" t="s">
        <v>65</v>
      </c>
      <c r="F394" t="s">
        <v>94</v>
      </c>
      <c r="G394">
        <v>6.69</v>
      </c>
      <c r="H394">
        <v>5.99</v>
      </c>
      <c r="I394" s="2" t="str">
        <f>_xlfn.XLOOKUP(F394,DeparaIMG!B:B,DeparaIMG!D:D,,0)</f>
        <v>MICLN.png</v>
      </c>
    </row>
    <row r="395" spans="1:9" x14ac:dyDescent="0.25">
      <c r="A395" s="2" t="s">
        <v>11</v>
      </c>
      <c r="B395" s="2" t="s">
        <v>64</v>
      </c>
      <c r="C395" t="s">
        <v>105</v>
      </c>
      <c r="D395" t="s">
        <v>27</v>
      </c>
      <c r="E395" t="s">
        <v>65</v>
      </c>
      <c r="F395" t="s">
        <v>94</v>
      </c>
      <c r="G395">
        <v>6.69</v>
      </c>
      <c r="H395">
        <v>5.99</v>
      </c>
      <c r="I395" s="2" t="str">
        <f>_xlfn.XLOOKUP(F395,DeparaIMG!B:B,DeparaIMG!D:D,,0)</f>
        <v>MICLN.png</v>
      </c>
    </row>
    <row r="396" spans="1:9" x14ac:dyDescent="0.25">
      <c r="A396" s="2" t="s">
        <v>11</v>
      </c>
      <c r="B396" s="2" t="s">
        <v>64</v>
      </c>
      <c r="C396" t="s">
        <v>105</v>
      </c>
      <c r="D396" t="s">
        <v>26</v>
      </c>
      <c r="E396" t="s">
        <v>65</v>
      </c>
      <c r="F396" t="s">
        <v>95</v>
      </c>
      <c r="G396">
        <v>6.99</v>
      </c>
      <c r="H396">
        <v>6.59</v>
      </c>
      <c r="I396" s="2" t="str">
        <f>_xlfn.XLOOKUP(F396,DeparaIMG!B:B,DeparaIMG!D:D,,0)</f>
        <v>STELN.png</v>
      </c>
    </row>
    <row r="397" spans="1:9" x14ac:dyDescent="0.25">
      <c r="A397" s="2" t="s">
        <v>11</v>
      </c>
      <c r="B397" s="2" t="s">
        <v>64</v>
      </c>
      <c r="C397" t="s">
        <v>105</v>
      </c>
      <c r="D397" t="s">
        <v>27</v>
      </c>
      <c r="E397" t="s">
        <v>65</v>
      </c>
      <c r="F397" t="s">
        <v>95</v>
      </c>
      <c r="G397">
        <v>6.99</v>
      </c>
      <c r="H397">
        <v>6.59</v>
      </c>
      <c r="I397" s="2" t="str">
        <f>_xlfn.XLOOKUP(F397,DeparaIMG!B:B,DeparaIMG!D:D,,0)</f>
        <v>STELN.png</v>
      </c>
    </row>
    <row r="398" spans="1:9" x14ac:dyDescent="0.25">
      <c r="A398" s="2" t="s">
        <v>11</v>
      </c>
      <c r="B398" s="2" t="s">
        <v>64</v>
      </c>
      <c r="C398" t="s">
        <v>105</v>
      </c>
      <c r="D398" t="s">
        <v>27</v>
      </c>
      <c r="E398" t="s">
        <v>74</v>
      </c>
      <c r="F398" t="s">
        <v>96</v>
      </c>
      <c r="G398">
        <v>7.99</v>
      </c>
      <c r="H398">
        <v>6.99</v>
      </c>
      <c r="I398" s="2" t="str">
        <f>_xlfn.XLOOKUP(F398,DeparaIMG!B:B,DeparaIMG!D:D,,0)</f>
        <v>CORLN.png</v>
      </c>
    </row>
    <row r="399" spans="1:9" x14ac:dyDescent="0.25">
      <c r="A399" s="2" t="s">
        <v>11</v>
      </c>
      <c r="B399" s="2" t="s">
        <v>64</v>
      </c>
      <c r="C399" t="s">
        <v>105</v>
      </c>
      <c r="D399" t="s">
        <v>27</v>
      </c>
      <c r="E399" t="s">
        <v>74</v>
      </c>
      <c r="F399" t="s">
        <v>97</v>
      </c>
      <c r="G399">
        <v>7.99</v>
      </c>
      <c r="H399">
        <v>6.99</v>
      </c>
      <c r="I399" s="2" t="str">
        <f>_xlfn.XLOOKUP(F399,DeparaIMG!B:B,DeparaIMG!D:D,,0)</f>
        <v>CORCEROLN.png</v>
      </c>
    </row>
    <row r="400" spans="1:9" x14ac:dyDescent="0.25">
      <c r="A400" s="2" t="s">
        <v>11</v>
      </c>
      <c r="B400" s="2" t="s">
        <v>64</v>
      </c>
      <c r="C400" t="s">
        <v>105</v>
      </c>
      <c r="D400" t="s">
        <v>26</v>
      </c>
      <c r="E400" t="s">
        <v>74</v>
      </c>
      <c r="F400" t="s">
        <v>96</v>
      </c>
      <c r="G400">
        <v>7.99</v>
      </c>
      <c r="H400">
        <v>6.99</v>
      </c>
      <c r="I400" s="2" t="str">
        <f>_xlfn.XLOOKUP(F400,DeparaIMG!B:B,DeparaIMG!D:D,,0)</f>
        <v>CORLN.png</v>
      </c>
    </row>
    <row r="401" spans="1:9" x14ac:dyDescent="0.25">
      <c r="A401" s="2" t="s">
        <v>11</v>
      </c>
      <c r="B401" s="2" t="s">
        <v>64</v>
      </c>
      <c r="C401" t="s">
        <v>105</v>
      </c>
      <c r="D401" t="s">
        <v>26</v>
      </c>
      <c r="E401" t="s">
        <v>74</v>
      </c>
      <c r="F401" t="s">
        <v>97</v>
      </c>
      <c r="G401">
        <v>7.99</v>
      </c>
      <c r="H401">
        <v>6.99</v>
      </c>
      <c r="I401" s="2" t="str">
        <f>_xlfn.XLOOKUP(F401,DeparaIMG!B:B,DeparaIMG!D:D,,0)</f>
        <v>CORCEROLN.png</v>
      </c>
    </row>
    <row r="402" spans="1:9" x14ac:dyDescent="0.25">
      <c r="A402" s="2" t="s">
        <v>11</v>
      </c>
      <c r="B402" s="2" t="s">
        <v>64</v>
      </c>
      <c r="C402" t="s">
        <v>106</v>
      </c>
      <c r="D402" t="s">
        <v>26</v>
      </c>
      <c r="E402" t="s">
        <v>65</v>
      </c>
      <c r="F402" t="s">
        <v>76</v>
      </c>
      <c r="G402">
        <v>3.19</v>
      </c>
      <c r="H402">
        <v>2.99</v>
      </c>
      <c r="I402" s="2" t="str">
        <f>_xlfn.XLOOKUP(F402,DeparaIMG!B:B,DeparaIMG!D:D,,0)</f>
        <v>AP269.png</v>
      </c>
    </row>
    <row r="403" spans="1:9" x14ac:dyDescent="0.25">
      <c r="A403" s="2" t="s">
        <v>11</v>
      </c>
      <c r="B403" s="2" t="s">
        <v>64</v>
      </c>
      <c r="C403" t="s">
        <v>106</v>
      </c>
      <c r="D403" t="s">
        <v>27</v>
      </c>
      <c r="E403" t="s">
        <v>65</v>
      </c>
      <c r="F403" t="s">
        <v>66</v>
      </c>
      <c r="G403">
        <v>3.19</v>
      </c>
      <c r="H403">
        <v>2.99</v>
      </c>
      <c r="I403" s="2" t="str">
        <f>_xlfn.XLOOKUP(F403,DeparaIMG!B:B,DeparaIMG!D:D,,0)</f>
        <v>SKZERO269.png</v>
      </c>
    </row>
    <row r="404" spans="1:9" x14ac:dyDescent="0.25">
      <c r="A404" s="2" t="s">
        <v>11</v>
      </c>
      <c r="B404" s="2" t="s">
        <v>64</v>
      </c>
      <c r="C404" t="s">
        <v>106</v>
      </c>
      <c r="D404" t="s">
        <v>26</v>
      </c>
      <c r="E404" t="s">
        <v>65</v>
      </c>
      <c r="F404" t="s">
        <v>66</v>
      </c>
      <c r="G404">
        <v>3.19</v>
      </c>
      <c r="H404">
        <v>2.99</v>
      </c>
      <c r="I404" s="2" t="str">
        <f>_xlfn.XLOOKUP(F404,DeparaIMG!B:B,DeparaIMG!D:D,,0)</f>
        <v>SKZERO269.png</v>
      </c>
    </row>
    <row r="405" spans="1:9" x14ac:dyDescent="0.25">
      <c r="A405" s="2" t="s">
        <v>11</v>
      </c>
      <c r="B405" s="2" t="s">
        <v>64</v>
      </c>
      <c r="C405" t="s">
        <v>106</v>
      </c>
      <c r="D405" t="s">
        <v>26</v>
      </c>
      <c r="E405" t="s">
        <v>74</v>
      </c>
      <c r="F405" t="s">
        <v>77</v>
      </c>
      <c r="G405">
        <v>3.19</v>
      </c>
      <c r="H405">
        <v>2.99</v>
      </c>
      <c r="I405" s="2" t="str">
        <f>_xlfn.XLOOKUP(F405,DeparaIMG!B:B,DeparaIMG!D:D,,0)</f>
        <v>BC269.png</v>
      </c>
    </row>
    <row r="406" spans="1:9" x14ac:dyDescent="0.25">
      <c r="A406" s="2" t="s">
        <v>11</v>
      </c>
      <c r="B406" s="2" t="s">
        <v>64</v>
      </c>
      <c r="C406" t="s">
        <v>106</v>
      </c>
      <c r="D406" t="s">
        <v>27</v>
      </c>
      <c r="E406" t="s">
        <v>74</v>
      </c>
      <c r="F406" t="s">
        <v>77</v>
      </c>
      <c r="G406">
        <v>3.19</v>
      </c>
      <c r="H406">
        <v>2.99</v>
      </c>
      <c r="I406" s="2" t="str">
        <f>_xlfn.XLOOKUP(F406,DeparaIMG!B:B,DeparaIMG!D:D,,0)</f>
        <v>BC269.png</v>
      </c>
    </row>
    <row r="407" spans="1:9" x14ac:dyDescent="0.25">
      <c r="A407" s="2" t="s">
        <v>11</v>
      </c>
      <c r="B407" s="2" t="s">
        <v>64</v>
      </c>
      <c r="C407" t="s">
        <v>106</v>
      </c>
      <c r="D407" t="s">
        <v>26</v>
      </c>
      <c r="E407" t="s">
        <v>74</v>
      </c>
      <c r="F407" t="s">
        <v>79</v>
      </c>
      <c r="G407">
        <v>3.49</v>
      </c>
      <c r="H407">
        <v>3.09</v>
      </c>
      <c r="I407" s="2" t="str">
        <f>_xlfn.XLOOKUP(F407,DeparaIMG!B:B,DeparaIMG!D:D,,0)</f>
        <v>BUD269.png</v>
      </c>
    </row>
    <row r="408" spans="1:9" x14ac:dyDescent="0.25">
      <c r="A408" s="2" t="s">
        <v>11</v>
      </c>
      <c r="B408" s="2" t="s">
        <v>64</v>
      </c>
      <c r="C408" t="s">
        <v>106</v>
      </c>
      <c r="D408" t="s">
        <v>26</v>
      </c>
      <c r="E408" t="s">
        <v>74</v>
      </c>
      <c r="F408" t="s">
        <v>80</v>
      </c>
      <c r="G408">
        <v>3.69</v>
      </c>
      <c r="H408">
        <v>3.19</v>
      </c>
      <c r="I408" s="2" t="str">
        <f>_xlfn.XLOOKUP(F408,DeparaIMG!B:B,DeparaIMG!D:D,,0)</f>
        <v>BC0350.png</v>
      </c>
    </row>
    <row r="409" spans="1:9" x14ac:dyDescent="0.25">
      <c r="A409" s="2" t="s">
        <v>11</v>
      </c>
      <c r="B409" s="2" t="s">
        <v>64</v>
      </c>
      <c r="C409" t="s">
        <v>106</v>
      </c>
      <c r="D409" t="s">
        <v>26</v>
      </c>
      <c r="E409" t="s">
        <v>65</v>
      </c>
      <c r="F409" t="s">
        <v>80</v>
      </c>
      <c r="G409">
        <v>3.69</v>
      </c>
      <c r="H409">
        <v>3.19</v>
      </c>
      <c r="I409" s="2" t="str">
        <f>_xlfn.XLOOKUP(F409,DeparaIMG!B:B,DeparaIMG!D:D,,0)</f>
        <v>BC0350.png</v>
      </c>
    </row>
    <row r="410" spans="1:9" x14ac:dyDescent="0.25">
      <c r="A410" s="2" t="s">
        <v>11</v>
      </c>
      <c r="B410" s="2" t="s">
        <v>64</v>
      </c>
      <c r="C410" t="s">
        <v>106</v>
      </c>
      <c r="D410" t="s">
        <v>26</v>
      </c>
      <c r="E410" t="s">
        <v>65</v>
      </c>
      <c r="F410" t="s">
        <v>67</v>
      </c>
      <c r="G410">
        <v>3.89</v>
      </c>
      <c r="H410">
        <v>3.69</v>
      </c>
      <c r="I410" s="2" t="str">
        <f>_xlfn.XLOOKUP(F410,DeparaIMG!B:B,DeparaIMG!D:D,,0)</f>
        <v>SKZERO350.png</v>
      </c>
    </row>
    <row r="411" spans="1:9" x14ac:dyDescent="0.25">
      <c r="A411" s="2" t="s">
        <v>11</v>
      </c>
      <c r="B411" s="2" t="s">
        <v>64</v>
      </c>
      <c r="C411" t="s">
        <v>106</v>
      </c>
      <c r="D411" t="s">
        <v>26</v>
      </c>
      <c r="E411" t="s">
        <v>65</v>
      </c>
      <c r="F411" t="s">
        <v>83</v>
      </c>
      <c r="G411">
        <v>3.89</v>
      </c>
      <c r="H411">
        <v>3.59</v>
      </c>
      <c r="I411" s="2" t="str">
        <f>_xlfn.XLOOKUP(F411,DeparaIMG!B:B,DeparaIMG!D:D,,0)</f>
        <v>ORI269.png</v>
      </c>
    </row>
    <row r="412" spans="1:9" x14ac:dyDescent="0.25">
      <c r="A412" s="2" t="s">
        <v>11</v>
      </c>
      <c r="B412" s="2" t="s">
        <v>64</v>
      </c>
      <c r="C412" t="s">
        <v>106</v>
      </c>
      <c r="D412" t="s">
        <v>27</v>
      </c>
      <c r="E412" t="s">
        <v>65</v>
      </c>
      <c r="F412" t="s">
        <v>83</v>
      </c>
      <c r="G412">
        <v>3.89</v>
      </c>
      <c r="H412">
        <v>3.59</v>
      </c>
      <c r="I412" s="2" t="str">
        <f>_xlfn.XLOOKUP(F412,DeparaIMG!B:B,DeparaIMG!D:D,,0)</f>
        <v>ORI269.png</v>
      </c>
    </row>
    <row r="413" spans="1:9" x14ac:dyDescent="0.25">
      <c r="A413" s="2" t="s">
        <v>11</v>
      </c>
      <c r="B413" s="2" t="s">
        <v>64</v>
      </c>
      <c r="C413" t="s">
        <v>106</v>
      </c>
      <c r="D413" t="s">
        <v>27</v>
      </c>
      <c r="E413" t="s">
        <v>65</v>
      </c>
      <c r="F413" t="s">
        <v>84</v>
      </c>
      <c r="G413">
        <v>3.99</v>
      </c>
      <c r="H413">
        <v>3.69</v>
      </c>
      <c r="I413" s="2" t="str">
        <f>_xlfn.XLOOKUP(F413,DeparaIMG!B:B,DeparaIMG!D:D,,0)</f>
        <v>AP350.png</v>
      </c>
    </row>
    <row r="414" spans="1:9" x14ac:dyDescent="0.25">
      <c r="A414" s="2" t="s">
        <v>11</v>
      </c>
      <c r="B414" s="2" t="s">
        <v>64</v>
      </c>
      <c r="C414" t="s">
        <v>106</v>
      </c>
      <c r="D414" t="s">
        <v>27</v>
      </c>
      <c r="E414" t="s">
        <v>74</v>
      </c>
      <c r="F414" t="s">
        <v>80</v>
      </c>
      <c r="G414">
        <v>3.99</v>
      </c>
      <c r="H414">
        <v>3.49</v>
      </c>
      <c r="I414" s="2" t="str">
        <f>_xlfn.XLOOKUP(F414,DeparaIMG!B:B,DeparaIMG!D:D,,0)</f>
        <v>BC0350.png</v>
      </c>
    </row>
    <row r="415" spans="1:9" x14ac:dyDescent="0.25">
      <c r="A415" s="2" t="s">
        <v>11</v>
      </c>
      <c r="B415" s="2" t="s">
        <v>64</v>
      </c>
      <c r="C415" t="s">
        <v>106</v>
      </c>
      <c r="D415" t="s">
        <v>27</v>
      </c>
      <c r="E415" t="s">
        <v>65</v>
      </c>
      <c r="F415" t="s">
        <v>80</v>
      </c>
      <c r="G415">
        <v>3.99</v>
      </c>
      <c r="H415">
        <v>3.49</v>
      </c>
      <c r="I415" s="2" t="str">
        <f>_xlfn.XLOOKUP(F415,DeparaIMG!B:B,DeparaIMG!D:D,,0)</f>
        <v>BC0350.png</v>
      </c>
    </row>
    <row r="416" spans="1:9" x14ac:dyDescent="0.25">
      <c r="A416" s="2" t="s">
        <v>11</v>
      </c>
      <c r="B416" s="2" t="s">
        <v>64</v>
      </c>
      <c r="C416" t="s">
        <v>106</v>
      </c>
      <c r="D416" t="s">
        <v>27</v>
      </c>
      <c r="E416" t="s">
        <v>65</v>
      </c>
      <c r="F416" t="s">
        <v>67</v>
      </c>
      <c r="G416">
        <v>4.1900000000000004</v>
      </c>
      <c r="H416">
        <v>3.99</v>
      </c>
      <c r="I416" s="2" t="str">
        <f>_xlfn.XLOOKUP(F416,DeparaIMG!B:B,DeparaIMG!D:D,,0)</f>
        <v>SKZERO350.png</v>
      </c>
    </row>
    <row r="417" spans="1:9" x14ac:dyDescent="0.25">
      <c r="A417" s="2" t="s">
        <v>11</v>
      </c>
      <c r="B417" s="2" t="s">
        <v>64</v>
      </c>
      <c r="C417" t="s">
        <v>106</v>
      </c>
      <c r="D417" t="s">
        <v>26</v>
      </c>
      <c r="E417" t="s">
        <v>74</v>
      </c>
      <c r="F417" t="s">
        <v>85</v>
      </c>
      <c r="G417">
        <v>4.49</v>
      </c>
      <c r="H417">
        <v>3.49</v>
      </c>
      <c r="I417" s="2" t="str">
        <f>_xlfn.XLOOKUP(F417,DeparaIMG!B:B,DeparaIMG!D:D,,0)</f>
        <v>BUDZERO350.png</v>
      </c>
    </row>
    <row r="418" spans="1:9" x14ac:dyDescent="0.25">
      <c r="A418" s="2" t="s">
        <v>11</v>
      </c>
      <c r="B418" s="2" t="s">
        <v>64</v>
      </c>
      <c r="C418" t="s">
        <v>106</v>
      </c>
      <c r="D418" t="s">
        <v>27</v>
      </c>
      <c r="E418" t="s">
        <v>74</v>
      </c>
      <c r="F418" t="s">
        <v>87</v>
      </c>
      <c r="G418">
        <v>4.49</v>
      </c>
      <c r="H418">
        <v>3.89</v>
      </c>
      <c r="I418" s="2" t="str">
        <f>_xlfn.XLOOKUP(F418,DeparaIMG!B:B,DeparaIMG!D:D,,0)</f>
        <v>BUD350.png</v>
      </c>
    </row>
    <row r="419" spans="1:9" x14ac:dyDescent="0.25">
      <c r="A419" s="2" t="s">
        <v>11</v>
      </c>
      <c r="B419" s="2" t="s">
        <v>64</v>
      </c>
      <c r="C419" t="s">
        <v>106</v>
      </c>
      <c r="D419" t="s">
        <v>27</v>
      </c>
      <c r="E419" t="s">
        <v>74</v>
      </c>
      <c r="F419" t="s">
        <v>85</v>
      </c>
      <c r="G419">
        <v>4.49</v>
      </c>
      <c r="H419">
        <v>3.49</v>
      </c>
      <c r="I419" s="2" t="str">
        <f>_xlfn.XLOOKUP(F419,DeparaIMG!B:B,DeparaIMG!D:D,,0)</f>
        <v>BUDZERO350.png</v>
      </c>
    </row>
    <row r="420" spans="1:9" x14ac:dyDescent="0.25">
      <c r="A420" s="2" t="s">
        <v>11</v>
      </c>
      <c r="B420" s="2" t="s">
        <v>64</v>
      </c>
      <c r="C420" t="s">
        <v>106</v>
      </c>
      <c r="D420" t="s">
        <v>27</v>
      </c>
      <c r="E420" t="s">
        <v>65</v>
      </c>
      <c r="F420" t="s">
        <v>68</v>
      </c>
      <c r="G420">
        <v>4.49</v>
      </c>
      <c r="H420">
        <v>4.49</v>
      </c>
      <c r="I420" s="2" t="str">
        <f>_xlfn.XLOOKUP(F420,DeparaIMG!B:B,DeparaIMG!D:D,,0)</f>
        <v>STE350.png</v>
      </c>
    </row>
    <row r="421" spans="1:9" x14ac:dyDescent="0.25">
      <c r="A421" s="2" t="s">
        <v>11</v>
      </c>
      <c r="B421" s="2" t="s">
        <v>64</v>
      </c>
      <c r="C421" t="s">
        <v>106</v>
      </c>
      <c r="D421" t="s">
        <v>26</v>
      </c>
      <c r="E421" t="s">
        <v>74</v>
      </c>
      <c r="F421" t="s">
        <v>89</v>
      </c>
      <c r="G421">
        <v>5.49</v>
      </c>
      <c r="H421">
        <v>4.99</v>
      </c>
      <c r="I421" s="2" t="str">
        <f>_xlfn.XLOOKUP(F421,DeparaIMG!B:B,DeparaIMG!D:D,,0)</f>
        <v>MIC350.png</v>
      </c>
    </row>
    <row r="422" spans="1:9" x14ac:dyDescent="0.25">
      <c r="A422" s="2" t="s">
        <v>11</v>
      </c>
      <c r="B422" s="2" t="s">
        <v>64</v>
      </c>
      <c r="C422" t="s">
        <v>106</v>
      </c>
      <c r="D422" t="s">
        <v>27</v>
      </c>
      <c r="E422" t="s">
        <v>74</v>
      </c>
      <c r="F422" t="s">
        <v>89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11</v>
      </c>
      <c r="B423" s="2" t="s">
        <v>64</v>
      </c>
      <c r="C423" t="s">
        <v>106</v>
      </c>
      <c r="D423" t="s">
        <v>26</v>
      </c>
      <c r="E423" t="s">
        <v>65</v>
      </c>
      <c r="F423" t="s">
        <v>68</v>
      </c>
      <c r="G423">
        <v>5.49</v>
      </c>
      <c r="H423">
        <v>4.6900000000000004</v>
      </c>
      <c r="I423" s="2" t="str">
        <f>_xlfn.XLOOKUP(F423,DeparaIMG!B:B,DeparaIMG!D:D,,0)</f>
        <v>STE350.png</v>
      </c>
    </row>
    <row r="424" spans="1:9" x14ac:dyDescent="0.25">
      <c r="A424" s="2" t="s">
        <v>11</v>
      </c>
      <c r="B424" s="2" t="s">
        <v>64</v>
      </c>
      <c r="C424" t="s">
        <v>106</v>
      </c>
      <c r="D424" t="s">
        <v>27</v>
      </c>
      <c r="E424" t="s">
        <v>65</v>
      </c>
      <c r="F424" t="s">
        <v>90</v>
      </c>
      <c r="G424">
        <v>6.19</v>
      </c>
      <c r="H424">
        <v>5.39</v>
      </c>
      <c r="I424" s="2" t="str">
        <f>_xlfn.XLOOKUP(F424,DeparaIMG!B:B,DeparaIMG!D:D,,0)</f>
        <v>COR350.png</v>
      </c>
    </row>
    <row r="425" spans="1:9" x14ac:dyDescent="0.25">
      <c r="A425" s="2" t="s">
        <v>11</v>
      </c>
      <c r="B425" s="2" t="s">
        <v>64</v>
      </c>
      <c r="C425" t="s">
        <v>106</v>
      </c>
      <c r="D425" t="s">
        <v>27</v>
      </c>
      <c r="E425" t="s">
        <v>65</v>
      </c>
      <c r="F425" t="s">
        <v>91</v>
      </c>
      <c r="G425">
        <v>6.19</v>
      </c>
      <c r="H425">
        <v>5.39</v>
      </c>
      <c r="I425" s="2" t="str">
        <f>_xlfn.XLOOKUP(F425,DeparaIMG!B:B,DeparaIMG!D:D,,0)</f>
        <v>CORCERO350.png</v>
      </c>
    </row>
    <row r="426" spans="1:9" x14ac:dyDescent="0.25">
      <c r="A426" s="2" t="s">
        <v>11</v>
      </c>
      <c r="B426" s="2" t="s">
        <v>64</v>
      </c>
      <c r="C426" t="s">
        <v>106</v>
      </c>
      <c r="D426" t="s">
        <v>26</v>
      </c>
      <c r="E426" t="s">
        <v>65</v>
      </c>
      <c r="F426" t="s">
        <v>91</v>
      </c>
      <c r="G426">
        <v>6.19</v>
      </c>
      <c r="H426">
        <v>5.39</v>
      </c>
      <c r="I426" s="2" t="str">
        <f>_xlfn.XLOOKUP(F426,DeparaIMG!B:B,DeparaIMG!D:D,,0)</f>
        <v>CORCERO350.png</v>
      </c>
    </row>
    <row r="427" spans="1:9" x14ac:dyDescent="0.25">
      <c r="A427" s="2" t="s">
        <v>11</v>
      </c>
      <c r="B427" s="2" t="s">
        <v>64</v>
      </c>
      <c r="C427" t="s">
        <v>106</v>
      </c>
      <c r="D427" t="s">
        <v>27</v>
      </c>
      <c r="E427" t="s">
        <v>74</v>
      </c>
      <c r="F427" t="s">
        <v>92</v>
      </c>
      <c r="G427">
        <v>6.39</v>
      </c>
      <c r="H427">
        <v>5.39</v>
      </c>
      <c r="I427" s="2" t="str">
        <f>_xlfn.XLOOKUP(F427,DeparaIMG!B:B,DeparaIMG!D:D,,0)</f>
        <v>BUDZEROLN.png</v>
      </c>
    </row>
    <row r="428" spans="1:9" x14ac:dyDescent="0.25">
      <c r="A428" s="2" t="s">
        <v>11</v>
      </c>
      <c r="B428" s="2" t="s">
        <v>64</v>
      </c>
      <c r="C428" t="s">
        <v>106</v>
      </c>
      <c r="D428" t="s">
        <v>27</v>
      </c>
      <c r="E428" t="s">
        <v>74</v>
      </c>
      <c r="F428" t="s">
        <v>93</v>
      </c>
      <c r="G428">
        <v>6.39</v>
      </c>
      <c r="H428">
        <v>5.69</v>
      </c>
      <c r="I428" s="2" t="str">
        <f>_xlfn.XLOOKUP(F428,DeparaIMG!B:B,DeparaIMG!D:D,,0)</f>
        <v>BUDLN.png</v>
      </c>
    </row>
    <row r="429" spans="1:9" x14ac:dyDescent="0.25">
      <c r="A429" s="2" t="s">
        <v>11</v>
      </c>
      <c r="B429" s="2" t="s">
        <v>64</v>
      </c>
      <c r="C429" t="s">
        <v>106</v>
      </c>
      <c r="D429" t="s">
        <v>26</v>
      </c>
      <c r="E429" t="s">
        <v>65</v>
      </c>
      <c r="F429" t="s">
        <v>94</v>
      </c>
      <c r="G429">
        <v>6.69</v>
      </c>
      <c r="H429">
        <v>5.99</v>
      </c>
      <c r="I429" s="2" t="str">
        <f>_xlfn.XLOOKUP(F429,DeparaIMG!B:B,DeparaIMG!D:D,,0)</f>
        <v>MICLN.png</v>
      </c>
    </row>
    <row r="430" spans="1:9" x14ac:dyDescent="0.25">
      <c r="A430" s="2" t="s">
        <v>11</v>
      </c>
      <c r="B430" s="2" t="s">
        <v>64</v>
      </c>
      <c r="C430" t="s">
        <v>106</v>
      </c>
      <c r="D430" t="s">
        <v>27</v>
      </c>
      <c r="E430" t="s">
        <v>65</v>
      </c>
      <c r="F430" t="s">
        <v>94</v>
      </c>
      <c r="G430">
        <v>6.69</v>
      </c>
      <c r="H430">
        <v>5.99</v>
      </c>
      <c r="I430" s="2" t="str">
        <f>_xlfn.XLOOKUP(F430,DeparaIMG!B:B,DeparaIMG!D:D,,0)</f>
        <v>MICLN.png</v>
      </c>
    </row>
    <row r="431" spans="1:9" x14ac:dyDescent="0.25">
      <c r="A431" s="2" t="s">
        <v>11</v>
      </c>
      <c r="B431" s="2" t="s">
        <v>64</v>
      </c>
      <c r="C431" t="s">
        <v>106</v>
      </c>
      <c r="D431" t="s">
        <v>26</v>
      </c>
      <c r="E431" t="s">
        <v>65</v>
      </c>
      <c r="F431" t="s">
        <v>95</v>
      </c>
      <c r="G431">
        <v>6.99</v>
      </c>
      <c r="H431">
        <v>6.59</v>
      </c>
      <c r="I431" s="2" t="str">
        <f>_xlfn.XLOOKUP(F431,DeparaIMG!B:B,DeparaIMG!D:D,,0)</f>
        <v>STELN.png</v>
      </c>
    </row>
    <row r="432" spans="1:9" x14ac:dyDescent="0.25">
      <c r="A432" s="2" t="s">
        <v>11</v>
      </c>
      <c r="B432" s="2" t="s">
        <v>64</v>
      </c>
      <c r="C432" t="s">
        <v>106</v>
      </c>
      <c r="D432" t="s">
        <v>27</v>
      </c>
      <c r="E432" t="s">
        <v>65</v>
      </c>
      <c r="F432" t="s">
        <v>95</v>
      </c>
      <c r="G432">
        <v>6.99</v>
      </c>
      <c r="H432">
        <v>6.59</v>
      </c>
      <c r="I432" s="2" t="str">
        <f>_xlfn.XLOOKUP(F432,DeparaIMG!B:B,DeparaIMG!D:D,,0)</f>
        <v>STELN.png</v>
      </c>
    </row>
    <row r="433" spans="1:9" x14ac:dyDescent="0.25">
      <c r="A433" s="2" t="s">
        <v>11</v>
      </c>
      <c r="B433" s="2" t="s">
        <v>64</v>
      </c>
      <c r="C433" t="s">
        <v>106</v>
      </c>
      <c r="D433" t="s">
        <v>26</v>
      </c>
      <c r="E433" t="s">
        <v>74</v>
      </c>
      <c r="F433" t="s">
        <v>96</v>
      </c>
      <c r="G433">
        <v>7.99</v>
      </c>
      <c r="H433">
        <v>6.99</v>
      </c>
      <c r="I433" s="2" t="str">
        <f>_xlfn.XLOOKUP(F433,DeparaIMG!B:B,DeparaIMG!D:D,,0)</f>
        <v>CORLN.png</v>
      </c>
    </row>
    <row r="434" spans="1:9" x14ac:dyDescent="0.25">
      <c r="A434" s="2" t="s">
        <v>11</v>
      </c>
      <c r="B434" s="2" t="s">
        <v>64</v>
      </c>
      <c r="C434" t="s">
        <v>106</v>
      </c>
      <c r="D434" t="s">
        <v>27</v>
      </c>
      <c r="E434" t="s">
        <v>74</v>
      </c>
      <c r="F434" t="s">
        <v>96</v>
      </c>
      <c r="G434">
        <v>7.99</v>
      </c>
      <c r="H434">
        <v>6.99</v>
      </c>
      <c r="I434" s="2" t="str">
        <f>_xlfn.XLOOKUP(F434,DeparaIMG!B:B,DeparaIMG!D:D,,0)</f>
        <v>CORLN.png</v>
      </c>
    </row>
    <row r="435" spans="1:9" x14ac:dyDescent="0.25">
      <c r="A435" s="2" t="s">
        <v>11</v>
      </c>
      <c r="B435" s="2" t="s">
        <v>64</v>
      </c>
      <c r="C435" t="s">
        <v>106</v>
      </c>
      <c r="D435" t="s">
        <v>26</v>
      </c>
      <c r="E435" t="s">
        <v>74</v>
      </c>
      <c r="F435" t="s">
        <v>97</v>
      </c>
      <c r="G435">
        <v>7.99</v>
      </c>
      <c r="H435">
        <v>6.99</v>
      </c>
      <c r="I435" s="2" t="str">
        <f>_xlfn.XLOOKUP(F435,DeparaIMG!B:B,DeparaIMG!D:D,,0)</f>
        <v>CORCEROLN.png</v>
      </c>
    </row>
    <row r="436" spans="1:9" x14ac:dyDescent="0.25">
      <c r="A436" s="2" t="s">
        <v>11</v>
      </c>
      <c r="B436" s="2" t="s">
        <v>64</v>
      </c>
      <c r="C436" t="s">
        <v>106</v>
      </c>
      <c r="D436" t="s">
        <v>27</v>
      </c>
      <c r="E436" t="s">
        <v>74</v>
      </c>
      <c r="F436" t="s">
        <v>97</v>
      </c>
      <c r="G436">
        <v>7.99</v>
      </c>
      <c r="H436">
        <v>6.99</v>
      </c>
      <c r="I436" s="2" t="str">
        <f>_xlfn.XLOOKUP(F436,DeparaIMG!B:B,DeparaIMG!D:D,,0)</f>
        <v>CORCEROLN.png</v>
      </c>
    </row>
  </sheetData>
  <autoFilter ref="Q1:V361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A4" sqref="A4"/>
    </sheetView>
  </sheetViews>
  <sheetFormatPr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s="2" t="s">
        <v>14</v>
      </c>
      <c r="B2" s="2" t="s">
        <v>11</v>
      </c>
    </row>
    <row r="3" spans="1:2" x14ac:dyDescent="0.25">
      <c r="A3" s="2" t="s">
        <v>15</v>
      </c>
      <c r="B3" s="2">
        <v>2026</v>
      </c>
    </row>
    <row r="4" spans="1:2" x14ac:dyDescent="0.25">
      <c r="A4" s="2" t="s">
        <v>16</v>
      </c>
      <c r="B4" s="2" t="s">
        <v>4</v>
      </c>
    </row>
    <row r="5" spans="1:2" x14ac:dyDescent="0.25">
      <c r="A5" s="2" t="s">
        <v>17</v>
      </c>
      <c r="B5" s="2" t="s">
        <v>18</v>
      </c>
    </row>
    <row r="6" spans="1:2" x14ac:dyDescent="0.25">
      <c r="A6" s="2" t="s">
        <v>19</v>
      </c>
      <c r="B6" s="2" t="s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2026-09-09T19:37:21Z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