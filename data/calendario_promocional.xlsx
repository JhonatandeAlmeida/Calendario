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61" documentId="13_ncr:1_{B92F5DA4-8825-4FA1-97C6-23568D76854D}" xr6:coauthVersionLast="47" xr6:coauthVersionMax="47" xr10:uidLastSave="{67BCB717-267C-409F-9171-008B811C896D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7" i="3" l="1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<sst xmlns="http://schemas.openxmlformats.org/spreadsheetml/2006/main" count="8164" uniqueCount="152">
  <si>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</si>
  <si>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</si>
  <si>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</si>
  <si>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</si>
  <si>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</si>
  <si>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</si>
  <si>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</si>
  <si>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</si>
  <si>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</si>
  <si>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</si>
  <si>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</si>
  <si>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</si>
  <si>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</si>
  <si>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</si>
  <si>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</si>
  <si>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</si>
  <si>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</si>
  <si>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</si>
  <si>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</si>
  <si>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</si>
  <si>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</si>
  <si>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</si>
  <si>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</si>
  <si>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</si>
  <si>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</si>
  <si>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</si>
  <si>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</si>
  <si>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</si>
  <si>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</si>
  <si>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</si>
  <si>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</si>
  <si>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</si>
  <si>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</si>
  <si>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</si>
  <si>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</si>
  <si>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</si>
  <si>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</si>
  <si>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</si>
  <si>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</si>
  <si>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</si>
  <si>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</si>
  <si>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</si>
  <si>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</si>
  <si>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</si>
  <si>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</si>
  <si>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</si>
  <si>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</si>
  <si>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</si>
  <si>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</si>
  <si>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</si>
  <si>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</si>
  <si>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</si>
  <si>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</si>
  <si>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</si>
  <si>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</si>
  <si>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</si>
  <si>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</si>
  <si>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</si>
  <si>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</si>
  <si>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</si>
  <si>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</si>
  <si>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</si>
  <si>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</si>
  <si>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</si>
  <si>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</si>
  <si>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</si>
  <si>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</si>
  <si>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</si>
  <si>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</si>
  <si>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</si>
  <si>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</si>
  <si>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</si>
  <si>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</si>
  <si>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</si>
  <si>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</si>
  <si>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</si>
  <si>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</si>
  <si>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</si>
  <si>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</si>
  <si>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</si>
  <si>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</si>
  <si>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</si>
  <si>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</si>
  <si>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</si>
  <si>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</si>
  <si>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</si>
  <si>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</si>
  <si>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</si>
  <si>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</si>
  <si>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</si>
  <si>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</si>
  <si>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</si>
  <si>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</si>
  <si>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</si>
  <si>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</si>
  <si>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</si>
  <si>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</si>
  <si>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</si>
  <si>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</si>
  <si>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</si>
  <si>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</si>
  <si>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</si>
  <si>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</si>
  <si>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</si>
  <si>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</si>
  <si>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</si>
  <si>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</si>
  <si>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</si>
  <si>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</si>
  <si>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</si>
  <si>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</si>
  <si>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</si>
  <si>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</si>
  <si>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</si>
  <si>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</si>
  <si>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</si>
  <si>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</si>
  <si>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</si>
  <si>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</si>
  <si>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</si>
  <si>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</si>
  <si>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</si>
  <si>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</si>
  <si>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</si>
  <si>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</si>
  <si>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</si>
  <si>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</si>
  <si>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</si>
  <si>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</si>
  <si>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</si>
  <si>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</si>
  <si>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VAR/ATAC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</si>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</sst>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D55"/>
  <sheetViews>
    <sheetView workbookViewId="0">
      <selection activeCell="C56" sqref="C56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hidden="1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hidden="1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hidden="1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hidden="1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hidden="1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hidden="1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hidden="1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hidden="1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hidden="1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hidden="1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hidden="1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hidden="1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hidden="1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hidden="1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hidden="1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hidden="1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hidden="1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hidden="1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hidden="1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hidden="1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hidden="1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hidden="1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hidden="1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hidden="1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hidden="1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hidden="1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hidden="1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hidden="1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hidden="1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hidden="1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hidden="1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hidden="1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hidden="1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hidden="1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hidden="1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hidden="1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hidden="1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hidden="1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hidden="1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hidden="1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hidden="1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hidden="1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hidden="1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hidden="1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hidden="1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hidden="1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hidden="1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hidden="1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140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143</v>
      </c>
      <c r="C53" t="str">
        <f t="shared" ref="C53:C54" si="5">SUBSTITUTE(B53," ","")</f>
        <v>PCSAB350</v>
      </c>
      <c r="D53" t="str">
        <f t="shared" ref="D53:D55" si="6">C53&amp;".png"</f>
        <v>PCSAB350.png</v>
      </c>
    </row>
    <row r="54" spans="1:4" x14ac:dyDescent="0.25">
      <c r="A54" t="s">
        <v>61</v>
      </c>
      <c r="B54" t="s">
        <v>144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145</v>
      </c>
      <c r="C55" t="s">
        <v>146</v>
      </c>
      <c r="D55" t="str">
        <f t="shared" si="6"/>
        <v>BEATSFF.png</v>
      </c>
    </row>
  </sheetData>
  <autoFilter ref="A1:D51" xr:uid="{C0BF5819-473C-445D-A53D-FC51ACB237C6}">
    <filterColumn colId="1">
      <filters>
        <filter val="SPT 269"/>
        <filter val="SPT 350"/>
      </filters>
    </filterColumn>
  </autoFilter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37"/>
  <sheetViews>
    <sheetView tabSelected="1" topLeftCell="A1313" workbookViewId="0">
      <selection activeCell="H1335" sqref="H1335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131</v>
      </c>
      <c r="E1221" s="2">
        <v>1</v>
      </c>
      <c r="F1221" t="s">
        <v>67</v>
      </c>
      <c r="G1221" t="s">
        <v>134</v>
      </c>
      <c r="H1221" t="s">
        <v>135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131</v>
      </c>
      <c r="E1222">
        <v>1</v>
      </c>
      <c r="F1222" t="s">
        <v>67</v>
      </c>
      <c r="G1222" t="s">
        <v>134</v>
      </c>
      <c r="H1222" t="s">
        <v>135</v>
      </c>
      <c r="I1222" s="2" t="str">
        <f>_xlfn.XLOOKUP(F1222,DeparaIMG!B:B,DeparaIMG!D:D,,0)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131</v>
      </c>
      <c r="E1223">
        <v>2</v>
      </c>
      <c r="F1223" t="s">
        <v>67</v>
      </c>
      <c r="G1223" t="s">
        <v>134</v>
      </c>
      <c r="H1223" t="s">
        <v>135</v>
      </c>
      <c r="I1223" s="2" t="str">
        <f>_xlfn.XLOOKUP(F1223,DeparaIMG!B:B,DeparaIMG!D:D,,0)</f>
        <v>AP269.png</v>
      </c>
    </row>
    <row r="1224" spans="1:9" x14ac:dyDescent="0.25">
      <c r="A1224" s="2" t="s">
        <v>98</v>
      </c>
      <c r="B1224" s="2" t="s">
        <v>127</v>
      </c>
      <c r="C1224" t="s">
        <v>147</v>
      </c>
      <c r="D1224" t="s">
        <v>131</v>
      </c>
      <c r="E1224" s="2">
        <v>1</v>
      </c>
      <c r="F1224" t="s">
        <v>67</v>
      </c>
      <c r="G1224" t="s">
        <v>134</v>
      </c>
      <c r="H1224" t="s">
        <v>135</v>
      </c>
      <c r="I1224" s="2" t="str">
        <f>_xlfn.XLOOKUP(F1224,DeparaIMG!B:B,DeparaIMG!D:D,,0)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131</v>
      </c>
      <c r="E1225">
        <v>1</v>
      </c>
      <c r="F1225" t="s">
        <v>66</v>
      </c>
      <c r="G1225" t="s">
        <v>134</v>
      </c>
      <c r="H1225" t="s">
        <v>135</v>
      </c>
      <c r="I1225" s="2" t="str">
        <f>_xlfn.XLOOKUP(F1225,DeparaIMG!B:B,DeparaIMG!D:D,,0)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131</v>
      </c>
      <c r="E1226">
        <v>1</v>
      </c>
      <c r="F1226" t="s">
        <v>66</v>
      </c>
      <c r="G1226" t="s">
        <v>134</v>
      </c>
      <c r="H1226" t="s">
        <v>135</v>
      </c>
      <c r="I1226" s="2" t="str">
        <f>_xlfn.XLOOKUP(F1226,DeparaIMG!B:B,DeparaIMG!D:D,,0)</f>
        <v>SK269.png</v>
      </c>
    </row>
    <row r="1227" spans="1:9" x14ac:dyDescent="0.25">
      <c r="A1227" s="2" t="s">
        <v>98</v>
      </c>
      <c r="B1227" s="2" t="s">
        <v>127</v>
      </c>
      <c r="C1227" t="s">
        <v>148</v>
      </c>
      <c r="D1227" t="s">
        <v>131</v>
      </c>
      <c r="E1227">
        <v>1</v>
      </c>
      <c r="F1227" t="s">
        <v>66</v>
      </c>
      <c r="G1227" t="s">
        <v>134</v>
      </c>
      <c r="H1227" t="s">
        <v>135</v>
      </c>
      <c r="I1227" s="2" t="str">
        <f>_xlfn.XLOOKUP(F1227,DeparaIMG!B:B,DeparaIMG!D:D,,0)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131</v>
      </c>
      <c r="E1228">
        <v>2</v>
      </c>
      <c r="F1228" t="s">
        <v>68</v>
      </c>
      <c r="G1228" t="s">
        <v>134</v>
      </c>
      <c r="H1228" t="s">
        <v>135</v>
      </c>
      <c r="I1228" s="2" t="str">
        <f>_xlfn.XLOOKUP(F1228,DeparaIMG!B:B,DeparaIMG!D:D,,0)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131</v>
      </c>
      <c r="E1229">
        <v>2</v>
      </c>
      <c r="F1229" t="s">
        <v>68</v>
      </c>
      <c r="G1229" t="s">
        <v>134</v>
      </c>
      <c r="H1229" t="s">
        <v>135</v>
      </c>
      <c r="I1229" s="2" t="str">
        <f>_xlfn.XLOOKUP(F1229,DeparaIMG!B:B,DeparaIMG!D:D,,0)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131</v>
      </c>
      <c r="E1230">
        <v>2</v>
      </c>
      <c r="F1230" t="s">
        <v>68</v>
      </c>
      <c r="G1230" t="s">
        <v>134</v>
      </c>
      <c r="H1230" t="s">
        <v>135</v>
      </c>
      <c r="I1230" s="2" t="str">
        <f>_xlfn.XLOOKUP(F1230,DeparaIMG!B:B,DeparaIMG!D:D,,0)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131</v>
      </c>
      <c r="E1231">
        <v>2</v>
      </c>
      <c r="F1231" t="s">
        <v>68</v>
      </c>
      <c r="G1231" t="s">
        <v>134</v>
      </c>
      <c r="H1231" t="s">
        <v>135</v>
      </c>
      <c r="I1231" s="2" t="str">
        <f>_xlfn.XLOOKUP(F1231,DeparaIMG!B:B,DeparaIMG!D:D,,0)</f>
        <v>BC269.png</v>
      </c>
    </row>
    <row r="1232" spans="1:9" x14ac:dyDescent="0.25">
      <c r="A1232" s="2" t="s">
        <v>98</v>
      </c>
      <c r="B1232" s="2" t="s">
        <v>127</v>
      </c>
      <c r="C1232" t="s">
        <v>147</v>
      </c>
      <c r="D1232" t="s">
        <v>131</v>
      </c>
      <c r="E1232">
        <v>2</v>
      </c>
      <c r="F1232" t="s">
        <v>68</v>
      </c>
      <c r="G1232" t="s">
        <v>134</v>
      </c>
      <c r="H1232" t="s">
        <v>135</v>
      </c>
      <c r="I1232" s="2" t="str">
        <f>_xlfn.XLOOKUP(F1232,DeparaIMG!B:B,DeparaIMG!D:D,,0)</f>
        <v>BC269.png</v>
      </c>
    </row>
    <row r="1233" spans="1:9" x14ac:dyDescent="0.25">
      <c r="A1233" s="2" t="s">
        <v>98</v>
      </c>
      <c r="B1233" s="2" t="s">
        <v>127</v>
      </c>
      <c r="C1233" t="s">
        <v>148</v>
      </c>
      <c r="D1233" t="s">
        <v>131</v>
      </c>
      <c r="E1233">
        <v>2</v>
      </c>
      <c r="F1233" t="s">
        <v>68</v>
      </c>
      <c r="G1233" t="s">
        <v>134</v>
      </c>
      <c r="H1233" t="s">
        <v>135</v>
      </c>
      <c r="I1233" s="2" t="str">
        <f>_xlfn.XLOOKUP(F1233,DeparaIMG!B:B,DeparaIMG!D:D,,0)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131</v>
      </c>
      <c r="E1234">
        <v>2</v>
      </c>
      <c r="F1234" t="s">
        <v>69</v>
      </c>
      <c r="G1234" t="s">
        <v>134</v>
      </c>
      <c r="H1234" t="s">
        <v>135</v>
      </c>
      <c r="I1234" s="2" t="str">
        <f>_xlfn.XLOOKUP(F1234,DeparaIMG!B:B,DeparaIMG!D:D,,0)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131</v>
      </c>
      <c r="E1235">
        <v>2</v>
      </c>
      <c r="F1235" t="s">
        <v>69</v>
      </c>
      <c r="G1235" t="s">
        <v>134</v>
      </c>
      <c r="H1235" t="s">
        <v>135</v>
      </c>
      <c r="I1235" s="2" t="str">
        <f>_xlfn.XLOOKUP(F1235,DeparaIMG!B:B,DeparaIMG!D:D,,0)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131</v>
      </c>
      <c r="E1236">
        <v>2</v>
      </c>
      <c r="F1236" t="s">
        <v>69</v>
      </c>
      <c r="G1236" t="s">
        <v>134</v>
      </c>
      <c r="H1236" t="s">
        <v>135</v>
      </c>
      <c r="I1236" s="2" t="str">
        <f>_xlfn.XLOOKUP(F1236,DeparaIMG!B:B,DeparaIMG!D:D,,0)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131</v>
      </c>
      <c r="E1237">
        <v>2</v>
      </c>
      <c r="F1237" t="s">
        <v>69</v>
      </c>
      <c r="G1237" t="s">
        <v>134</v>
      </c>
      <c r="H1237" t="s">
        <v>135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127</v>
      </c>
      <c r="C1238" t="s">
        <v>147</v>
      </c>
      <c r="D1238" t="s">
        <v>131</v>
      </c>
      <c r="E1238">
        <v>2</v>
      </c>
      <c r="F1238" t="s">
        <v>69</v>
      </c>
      <c r="G1238" t="s">
        <v>134</v>
      </c>
      <c r="H1238" t="s">
        <v>135</v>
      </c>
      <c r="I1238" s="2" t="str">
        <f>_xlfn.XLOOKUP(F1238,DeparaIMG!B:B,DeparaIMG!D:D,,0)</f>
        <v>BUD269.png</v>
      </c>
    </row>
    <row r="1239" spans="1:9" x14ac:dyDescent="0.25">
      <c r="A1239" s="2" t="s">
        <v>98</v>
      </c>
      <c r="B1239" s="2" t="s">
        <v>127</v>
      </c>
      <c r="C1239" t="s">
        <v>148</v>
      </c>
      <c r="D1239" t="s">
        <v>131</v>
      </c>
      <c r="E1239">
        <v>2</v>
      </c>
      <c r="F1239" t="s">
        <v>69</v>
      </c>
      <c r="G1239" t="s">
        <v>134</v>
      </c>
      <c r="H1239" t="s">
        <v>135</v>
      </c>
      <c r="I1239" s="2" t="str">
        <f>_xlfn.XLOOKUP(F1239,DeparaIMG!B:B,DeparaIMG!D:D,,0)</f>
        <v>BUD269.png</v>
      </c>
    </row>
    <row r="1240" spans="1:9" x14ac:dyDescent="0.25">
      <c r="A1240" s="2" t="s">
        <v>98</v>
      </c>
      <c r="B1240" s="2" t="s">
        <v>127</v>
      </c>
      <c r="C1240" t="s">
        <v>147</v>
      </c>
      <c r="D1240" t="s">
        <v>131</v>
      </c>
      <c r="E1240" s="2">
        <v>1</v>
      </c>
      <c r="F1240" t="s">
        <v>72</v>
      </c>
      <c r="G1240" t="s">
        <v>134</v>
      </c>
      <c r="H1240" t="s">
        <v>149</v>
      </c>
      <c r="I1240" s="2" t="str">
        <f>_xlfn.XLOOKUP(F1240,DeparaIMG!B:B,DeparaIMG!D:D,,0)</f>
        <v>ORI269.png</v>
      </c>
    </row>
    <row r="1241" spans="1:9" x14ac:dyDescent="0.25">
      <c r="A1241" s="2" t="s">
        <v>98</v>
      </c>
      <c r="B1241" s="2" t="s">
        <v>127</v>
      </c>
      <c r="C1241" t="s">
        <v>148</v>
      </c>
      <c r="D1241" t="s">
        <v>131</v>
      </c>
      <c r="E1241" s="2">
        <v>1</v>
      </c>
      <c r="F1241" t="s">
        <v>72</v>
      </c>
      <c r="G1241" t="s">
        <v>134</v>
      </c>
      <c r="H1241" t="s">
        <v>149</v>
      </c>
      <c r="I1241" s="2" t="str">
        <f>_xlfn.XLOOKUP(F1241,DeparaIMG!B:B,DeparaIMG!D:D,,0)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131</v>
      </c>
      <c r="E1242">
        <v>2</v>
      </c>
      <c r="F1242" t="s">
        <v>78</v>
      </c>
      <c r="G1242" t="s">
        <v>138</v>
      </c>
      <c r="H1242" t="s">
        <v>139</v>
      </c>
      <c r="I1242" s="2" t="str">
        <f>_xlfn.XLOOKUP(F1242,DeparaIMG!B:B,DeparaIMG!D:D,,0)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131</v>
      </c>
      <c r="E1243">
        <v>2</v>
      </c>
      <c r="F1243" t="s">
        <v>78</v>
      </c>
      <c r="G1243" t="s">
        <v>138</v>
      </c>
      <c r="H1243" t="s">
        <v>139</v>
      </c>
      <c r="I1243" s="2" t="str">
        <f>_xlfn.XLOOKUP(F1243,DeparaIMG!B:B,DeparaIMG!D:D,,0)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131</v>
      </c>
      <c r="E1244">
        <v>2</v>
      </c>
      <c r="F1244" t="s">
        <v>78</v>
      </c>
      <c r="G1244" t="s">
        <v>138</v>
      </c>
      <c r="H1244" t="s">
        <v>139</v>
      </c>
      <c r="I1244" s="2" t="str">
        <f>_xlfn.XLOOKUP(F1244,DeparaIMG!B:B,DeparaIMG!D:D,,0)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131</v>
      </c>
      <c r="E1245">
        <v>2</v>
      </c>
      <c r="F1245" t="s">
        <v>78</v>
      </c>
      <c r="G1245" t="s">
        <v>138</v>
      </c>
      <c r="H1245" t="s">
        <v>139</v>
      </c>
      <c r="I1245" s="2" t="str">
        <f>_xlfn.XLOOKUP(F1245,DeparaIMG!B:B,DeparaIMG!D:D,,0)</f>
        <v>MIC350.png</v>
      </c>
    </row>
    <row r="1246" spans="1:9" x14ac:dyDescent="0.25">
      <c r="A1246" s="2" t="s">
        <v>98</v>
      </c>
      <c r="B1246" s="2" t="s">
        <v>127</v>
      </c>
      <c r="C1246" t="s">
        <v>147</v>
      </c>
      <c r="D1246" t="s">
        <v>131</v>
      </c>
      <c r="E1246">
        <v>2</v>
      </c>
      <c r="F1246" t="s">
        <v>78</v>
      </c>
      <c r="G1246" t="s">
        <v>138</v>
      </c>
      <c r="H1246" t="s">
        <v>139</v>
      </c>
      <c r="I1246" s="2" t="str">
        <f>_xlfn.XLOOKUP(F1246,DeparaIMG!B:B,DeparaIMG!D:D,,0)</f>
        <v>MIC350.png</v>
      </c>
    </row>
    <row r="1247" spans="1:9" x14ac:dyDescent="0.25">
      <c r="A1247" s="2" t="s">
        <v>98</v>
      </c>
      <c r="B1247" s="2" t="s">
        <v>127</v>
      </c>
      <c r="C1247" t="s">
        <v>148</v>
      </c>
      <c r="D1247" t="s">
        <v>131</v>
      </c>
      <c r="E1247">
        <v>2</v>
      </c>
      <c r="F1247" t="s">
        <v>78</v>
      </c>
      <c r="G1247" t="s">
        <v>138</v>
      </c>
      <c r="H1247" t="s">
        <v>139</v>
      </c>
      <c r="I1247" s="2" t="str">
        <f>_xlfn.XLOOKUP(F1247,DeparaIMG!B:B,DeparaIMG!D:D,,0)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131</v>
      </c>
      <c r="E1248" s="2">
        <v>1</v>
      </c>
      <c r="F1248" t="s">
        <v>80</v>
      </c>
      <c r="G1248" t="s">
        <v>136</v>
      </c>
      <c r="H1248" t="s">
        <v>137</v>
      </c>
      <c r="I1248" s="2" t="str">
        <f>_xlfn.XLOOKUP(F1248,DeparaIMG!B:B,DeparaIMG!D:D,,0)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131</v>
      </c>
      <c r="E1249">
        <v>1</v>
      </c>
      <c r="F1249" t="s">
        <v>80</v>
      </c>
      <c r="G1249" t="s">
        <v>136</v>
      </c>
      <c r="H1249" t="s">
        <v>137</v>
      </c>
      <c r="I1249" s="2" t="str">
        <f>_xlfn.XLOOKUP(F1249,DeparaIMG!B:B,DeparaIMG!D:D,,0)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131</v>
      </c>
      <c r="E1250">
        <v>1</v>
      </c>
      <c r="F1250" t="s">
        <v>80</v>
      </c>
      <c r="G1250" t="s">
        <v>136</v>
      </c>
      <c r="H1250" t="s">
        <v>137</v>
      </c>
      <c r="I1250" s="2" t="str">
        <f>_xlfn.XLOOKUP(F1250,DeparaIMG!B:B,DeparaIMG!D:D,,0)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131</v>
      </c>
      <c r="E1251">
        <v>1</v>
      </c>
      <c r="F1251" t="s">
        <v>80</v>
      </c>
      <c r="G1251" t="s">
        <v>136</v>
      </c>
      <c r="H1251" t="s">
        <v>137</v>
      </c>
      <c r="I1251" s="2" t="str">
        <f>_xlfn.XLOOKUP(F1251,DeparaIMG!B:B,DeparaIMG!D:D,,0)</f>
        <v>CORCERO350.png</v>
      </c>
    </row>
    <row r="1252" spans="1:9" x14ac:dyDescent="0.25">
      <c r="A1252" s="2" t="s">
        <v>98</v>
      </c>
      <c r="B1252" s="2" t="s">
        <v>127</v>
      </c>
      <c r="C1252" t="s">
        <v>147</v>
      </c>
      <c r="D1252" t="s">
        <v>131</v>
      </c>
      <c r="E1252" s="2">
        <v>1</v>
      </c>
      <c r="F1252" t="s">
        <v>80</v>
      </c>
      <c r="G1252" t="s">
        <v>136</v>
      </c>
      <c r="H1252" t="s">
        <v>137</v>
      </c>
      <c r="I1252" s="2" t="str">
        <f>_xlfn.XLOOKUP(F1252,DeparaIMG!B:B,DeparaIMG!D:D,,0)</f>
        <v>CORCERO350.png</v>
      </c>
    </row>
    <row r="1253" spans="1:9" x14ac:dyDescent="0.25">
      <c r="A1253" s="2" t="s">
        <v>98</v>
      </c>
      <c r="B1253" s="2" t="s">
        <v>127</v>
      </c>
      <c r="C1253" t="s">
        <v>148</v>
      </c>
      <c r="D1253" t="s">
        <v>131</v>
      </c>
      <c r="E1253">
        <v>1</v>
      </c>
      <c r="F1253" t="s">
        <v>80</v>
      </c>
      <c r="G1253" t="s">
        <v>136</v>
      </c>
      <c r="H1253" t="s">
        <v>137</v>
      </c>
      <c r="I1253" s="2" t="str">
        <f>_xlfn.XLOOKUP(F1253,DeparaIMG!B:B,DeparaIMG!D:D,,0)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131</v>
      </c>
      <c r="E1254" s="2">
        <v>1</v>
      </c>
      <c r="F1254" t="s">
        <v>140</v>
      </c>
      <c r="G1254" t="s">
        <v>132</v>
      </c>
      <c r="H1254" t="s">
        <v>133</v>
      </c>
      <c r="I1254" s="2" t="str">
        <f>_xlfn.XLOOKUP(F1254,DeparaIMG!B:B,DeparaIMG!D:D,,0)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131</v>
      </c>
      <c r="E1255">
        <v>1</v>
      </c>
      <c r="F1255" t="s">
        <v>140</v>
      </c>
      <c r="G1255" t="s">
        <v>132</v>
      </c>
      <c r="H1255" t="s">
        <v>133</v>
      </c>
      <c r="I1255" s="2" t="str">
        <f>_xlfn.XLOOKUP(F1255,DeparaIMG!B:B,DeparaIMG!D:D,,0)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131</v>
      </c>
      <c r="E1256">
        <v>1</v>
      </c>
      <c r="F1256" t="s">
        <v>140</v>
      </c>
      <c r="G1256" t="s">
        <v>132</v>
      </c>
      <c r="H1256" t="s">
        <v>133</v>
      </c>
      <c r="I1256" s="2" t="str">
        <f>_xlfn.XLOOKUP(F1256,DeparaIMG!B:B,DeparaIMG!D:D,,0)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131</v>
      </c>
      <c r="E1257">
        <v>1</v>
      </c>
      <c r="F1257" t="s">
        <v>140</v>
      </c>
      <c r="G1257" t="s">
        <v>132</v>
      </c>
      <c r="H1257" t="s">
        <v>133</v>
      </c>
      <c r="I1257" s="2" t="str">
        <f>_xlfn.XLOOKUP(F1257,DeparaIMG!B:B,DeparaIMG!D:D,,0)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131</v>
      </c>
      <c r="E1258">
        <v>2</v>
      </c>
      <c r="F1258" t="s">
        <v>84</v>
      </c>
      <c r="G1258" t="s">
        <v>132</v>
      </c>
      <c r="H1258" t="s">
        <v>133</v>
      </c>
      <c r="I1258" s="2" t="str">
        <f>_xlfn.XLOOKUP(F1258,DeparaIMG!B:B,DeparaIMG!D:D,,0)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131</v>
      </c>
      <c r="E1259">
        <v>2</v>
      </c>
      <c r="F1259" t="s">
        <v>84</v>
      </c>
      <c r="G1259" t="s">
        <v>132</v>
      </c>
      <c r="H1259" t="s">
        <v>133</v>
      </c>
      <c r="I1259" s="2" t="str">
        <f>_xlfn.XLOOKUP(F1259,DeparaIMG!B:B,DeparaIMG!D:D,,0)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131</v>
      </c>
      <c r="E1260">
        <v>2</v>
      </c>
      <c r="F1260" t="s">
        <v>84</v>
      </c>
      <c r="G1260" t="s">
        <v>132</v>
      </c>
      <c r="H1260" t="s">
        <v>133</v>
      </c>
      <c r="I1260" s="2" t="str">
        <f>_xlfn.XLOOKUP(F1260,DeparaIMG!B:B,DeparaIMG!D:D,,0)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131</v>
      </c>
      <c r="E1261">
        <v>2</v>
      </c>
      <c r="F1261" t="s">
        <v>84</v>
      </c>
      <c r="G1261" t="s">
        <v>132</v>
      </c>
      <c r="H1261" t="s">
        <v>133</v>
      </c>
      <c r="I1261" s="2" t="str">
        <f>_xlfn.XLOOKUP(F1261,DeparaIMG!B:B,DeparaIMG!D:D,,0)</f>
        <v>STELN.png</v>
      </c>
    </row>
    <row r="1262" spans="1:9" x14ac:dyDescent="0.25">
      <c r="A1262" s="2" t="s">
        <v>98</v>
      </c>
      <c r="B1262" s="2" t="s">
        <v>127</v>
      </c>
      <c r="C1262" t="s">
        <v>147</v>
      </c>
      <c r="D1262" t="s">
        <v>131</v>
      </c>
      <c r="E1262">
        <v>2</v>
      </c>
      <c r="F1262" t="s">
        <v>84</v>
      </c>
      <c r="G1262" t="s">
        <v>132</v>
      </c>
      <c r="H1262" t="s">
        <v>133</v>
      </c>
      <c r="I1262" s="2" t="str">
        <f>_xlfn.XLOOKUP(F1262,DeparaIMG!B:B,DeparaIMG!D:D,,0)</f>
        <v>STELN.png</v>
      </c>
    </row>
    <row r="1263" spans="1:9" x14ac:dyDescent="0.25">
      <c r="A1263" s="2" t="s">
        <v>98</v>
      </c>
      <c r="B1263" s="2" t="s">
        <v>127</v>
      </c>
      <c r="C1263" t="s">
        <v>148</v>
      </c>
      <c r="D1263" t="s">
        <v>131</v>
      </c>
      <c r="E1263">
        <v>2</v>
      </c>
      <c r="F1263" t="s">
        <v>84</v>
      </c>
      <c r="G1263" t="s">
        <v>132</v>
      </c>
      <c r="H1263" t="s">
        <v>133</v>
      </c>
      <c r="I1263" s="2" t="str">
        <f>_xlfn.XLOOKUP(F1263,DeparaIMG!B:B,DeparaIMG!D:D,,0)</f>
        <v>STELN.png</v>
      </c>
    </row>
    <row r="1264" spans="1:9" x14ac:dyDescent="0.25">
      <c r="A1264" s="2" t="s">
        <v>98</v>
      </c>
      <c r="B1264" s="2" t="s">
        <v>127</v>
      </c>
      <c r="C1264" t="s">
        <v>147</v>
      </c>
      <c r="D1264" t="s">
        <v>131</v>
      </c>
      <c r="E1264" s="2">
        <v>1</v>
      </c>
      <c r="F1264" t="s">
        <v>84</v>
      </c>
      <c r="G1264" t="s">
        <v>132</v>
      </c>
      <c r="H1264" t="s">
        <v>133</v>
      </c>
      <c r="I1264" s="2" t="str">
        <f>_xlfn.XLOOKUP(F1264,DeparaIMG!B:B,DeparaIMG!D:D,,0)</f>
        <v>STELN.png</v>
      </c>
    </row>
    <row r="1265" spans="1:9" x14ac:dyDescent="0.25">
      <c r="A1265" s="2" t="s">
        <v>98</v>
      </c>
      <c r="B1265" s="2" t="s">
        <v>127</v>
      </c>
      <c r="C1265" t="s">
        <v>148</v>
      </c>
      <c r="D1265" t="s">
        <v>131</v>
      </c>
      <c r="E1265">
        <v>1</v>
      </c>
      <c r="F1265" t="s">
        <v>84</v>
      </c>
      <c r="G1265" t="s">
        <v>132</v>
      </c>
      <c r="H1265" t="s">
        <v>133</v>
      </c>
      <c r="I1265" s="2" t="str">
        <f>_xlfn.XLOOKUP(F1265,DeparaIMG!B:B,DeparaIMG!D:D,,0)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131</v>
      </c>
      <c r="E1266" s="2">
        <v>1</v>
      </c>
      <c r="F1266" t="s">
        <v>83</v>
      </c>
      <c r="G1266" t="s">
        <v>132</v>
      </c>
      <c r="H1266" t="s">
        <v>133</v>
      </c>
      <c r="I1266" s="2" t="str">
        <f>_xlfn.XLOOKUP(F1266,DeparaIMG!B:B,DeparaIMG!D:D,,0)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131</v>
      </c>
      <c r="E1267">
        <v>1</v>
      </c>
      <c r="F1267" t="s">
        <v>83</v>
      </c>
      <c r="G1267" t="s">
        <v>132</v>
      </c>
      <c r="H1267" t="s">
        <v>133</v>
      </c>
      <c r="I1267" s="2" t="str">
        <f>_xlfn.XLOOKUP(F1267,DeparaIMG!B:B,DeparaIMG!D:D,,0)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131</v>
      </c>
      <c r="E1268">
        <v>1</v>
      </c>
      <c r="F1268" t="s">
        <v>83</v>
      </c>
      <c r="G1268" t="s">
        <v>132</v>
      </c>
      <c r="H1268" t="s">
        <v>133</v>
      </c>
      <c r="I1268" s="2" t="str">
        <f>_xlfn.XLOOKUP(F1268,DeparaIMG!B:B,DeparaIMG!D:D,,0)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131</v>
      </c>
      <c r="E1269">
        <v>1</v>
      </c>
      <c r="F1269" t="s">
        <v>83</v>
      </c>
      <c r="G1269" t="s">
        <v>132</v>
      </c>
      <c r="H1269" t="s">
        <v>133</v>
      </c>
      <c r="I1269" s="2" t="str">
        <f>_xlfn.XLOOKUP(F1269,DeparaIMG!B:B,DeparaIMG!D:D,,0)</f>
        <v>MICLN.png</v>
      </c>
    </row>
    <row r="1270" spans="1:9" x14ac:dyDescent="0.25">
      <c r="A1270" s="2" t="s">
        <v>98</v>
      </c>
      <c r="B1270" s="2" t="s">
        <v>127</v>
      </c>
      <c r="C1270" t="s">
        <v>147</v>
      </c>
      <c r="D1270" t="s">
        <v>131</v>
      </c>
      <c r="E1270" s="2">
        <v>1</v>
      </c>
      <c r="F1270" t="s">
        <v>83</v>
      </c>
      <c r="G1270" t="s">
        <v>132</v>
      </c>
      <c r="H1270" t="s">
        <v>133</v>
      </c>
      <c r="I1270" s="2" t="str">
        <f>_xlfn.XLOOKUP(F1270,DeparaIMG!B:B,DeparaIMG!D:D,,0)</f>
        <v>MICLN.png</v>
      </c>
    </row>
    <row r="1271" spans="1:9" x14ac:dyDescent="0.25">
      <c r="A1271" s="2" t="s">
        <v>98</v>
      </c>
      <c r="B1271" s="2" t="s">
        <v>127</v>
      </c>
      <c r="C1271" t="s">
        <v>148</v>
      </c>
      <c r="D1271" t="s">
        <v>131</v>
      </c>
      <c r="E1271">
        <v>1</v>
      </c>
      <c r="F1271" t="s">
        <v>83</v>
      </c>
      <c r="G1271" t="s">
        <v>132</v>
      </c>
      <c r="H1271" t="s">
        <v>133</v>
      </c>
      <c r="I1271" s="2" t="str">
        <f>_xlfn.XLOOKUP(F1271,DeparaIMG!B:B,DeparaIMG!D:D,,0)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131</v>
      </c>
      <c r="E1272">
        <v>2</v>
      </c>
      <c r="F1272" t="s">
        <v>86</v>
      </c>
      <c r="G1272" t="s">
        <v>132</v>
      </c>
      <c r="H1272" t="s">
        <v>133</v>
      </c>
      <c r="I1272" s="2" t="str">
        <f>_xlfn.XLOOKUP(F1272,DeparaIMG!B:B,DeparaIMG!D:D,,0)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131</v>
      </c>
      <c r="E1273">
        <v>2</v>
      </c>
      <c r="F1273" t="s">
        <v>86</v>
      </c>
      <c r="G1273" t="s">
        <v>132</v>
      </c>
      <c r="H1273" t="s">
        <v>133</v>
      </c>
      <c r="I1273" s="2" t="str">
        <f>_xlfn.XLOOKUP(F1273,DeparaIMG!B:B,DeparaIMG!D:D,,0)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131</v>
      </c>
      <c r="E1274">
        <v>2</v>
      </c>
      <c r="F1274" t="s">
        <v>86</v>
      </c>
      <c r="G1274" t="s">
        <v>132</v>
      </c>
      <c r="H1274" t="s">
        <v>133</v>
      </c>
      <c r="I1274" s="2" t="str">
        <f>_xlfn.XLOOKUP(F1274,DeparaIMG!B:B,DeparaIMG!D:D,,0)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131</v>
      </c>
      <c r="E1275">
        <v>2</v>
      </c>
      <c r="F1275" t="s">
        <v>86</v>
      </c>
      <c r="G1275" t="s">
        <v>132</v>
      </c>
      <c r="H1275" t="s">
        <v>133</v>
      </c>
      <c r="I1275" s="2" t="str">
        <f>_xlfn.XLOOKUP(F1275,DeparaIMG!B:B,DeparaIMG!D:D,,0)</f>
        <v>CORCEROLN.png</v>
      </c>
    </row>
    <row r="1276" spans="1:9" x14ac:dyDescent="0.25">
      <c r="A1276" s="2" t="s">
        <v>98</v>
      </c>
      <c r="B1276" s="2" t="s">
        <v>127</v>
      </c>
      <c r="C1276" t="s">
        <v>147</v>
      </c>
      <c r="D1276" t="s">
        <v>131</v>
      </c>
      <c r="E1276">
        <v>2</v>
      </c>
      <c r="F1276" t="s">
        <v>86</v>
      </c>
      <c r="G1276" t="s">
        <v>132</v>
      </c>
      <c r="H1276" t="s">
        <v>133</v>
      </c>
      <c r="I1276" s="2" t="str">
        <f>_xlfn.XLOOKUP(F1276,DeparaIMG!B:B,DeparaIMG!D:D,,0)</f>
        <v>CORCEROLN.png</v>
      </c>
    </row>
    <row r="1277" spans="1:9" x14ac:dyDescent="0.25">
      <c r="A1277" s="2" t="s">
        <v>98</v>
      </c>
      <c r="B1277" s="2" t="s">
        <v>127</v>
      </c>
      <c r="C1277" t="s">
        <v>148</v>
      </c>
      <c r="D1277" t="s">
        <v>131</v>
      </c>
      <c r="E1277">
        <v>2</v>
      </c>
      <c r="F1277" t="s">
        <v>86</v>
      </c>
      <c r="G1277" t="s">
        <v>132</v>
      </c>
      <c r="H1277" t="s">
        <v>133</v>
      </c>
      <c r="I1277" s="2" t="str">
        <f>_xlfn.XLOOKUP(F1277,DeparaIMG!B:B,DeparaIMG!D:D,,0)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131</v>
      </c>
      <c r="E1278">
        <v>1</v>
      </c>
      <c r="F1278" t="s">
        <v>38</v>
      </c>
      <c r="G1278" t="s">
        <v>132</v>
      </c>
      <c r="H1278" t="s">
        <v>133</v>
      </c>
      <c r="I1278" s="2" t="str">
        <f>_xlfn.XLOOKUP(F1278,DeparaIMG!B:B,DeparaIMG!D:D,,0)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131</v>
      </c>
      <c r="E1279">
        <v>1</v>
      </c>
      <c r="F1279" t="s">
        <v>143</v>
      </c>
      <c r="G1279" t="s">
        <v>132</v>
      </c>
      <c r="H1279" t="s">
        <v>133</v>
      </c>
      <c r="I1279" s="2" t="str">
        <f>_xlfn.XLOOKUP(F1279,DeparaIMG!B:B,DeparaIMG!D:D,,0)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131</v>
      </c>
      <c r="E1280">
        <v>1</v>
      </c>
      <c r="F1280" t="s">
        <v>37</v>
      </c>
      <c r="G1280" t="s">
        <v>141</v>
      </c>
      <c r="H1280" t="s">
        <v>142</v>
      </c>
      <c r="I1280" s="2" t="str">
        <f>_xlfn.XLOOKUP(F1280,DeparaIMG!B:B,DeparaIMG!D:D,,0)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131</v>
      </c>
      <c r="E1281">
        <v>2</v>
      </c>
      <c r="F1281" t="s">
        <v>144</v>
      </c>
      <c r="G1281" t="s">
        <v>132</v>
      </c>
      <c r="H1281" t="s">
        <v>133</v>
      </c>
      <c r="I1281" s="2" t="str">
        <f>_xlfn.XLOOKUP(F1281,DeparaIMG!B:B,DeparaIMG!D:D,,0)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131</v>
      </c>
      <c r="E1282">
        <v>2</v>
      </c>
      <c r="F1282" t="s">
        <v>33</v>
      </c>
      <c r="G1282" t="s">
        <v>141</v>
      </c>
      <c r="H1282" t="s">
        <v>142</v>
      </c>
      <c r="I1282" s="2" t="str">
        <f>_xlfn.XLOOKUP(F1282,DeparaIMG!B:B,DeparaIMG!D:D,,0)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131</v>
      </c>
      <c r="E1283">
        <v>2</v>
      </c>
      <c r="F1283" t="s">
        <v>35</v>
      </c>
      <c r="G1283" t="s">
        <v>132</v>
      </c>
      <c r="H1283" t="s">
        <v>133</v>
      </c>
      <c r="I1283" s="2" t="str">
        <f>_xlfn.XLOOKUP(F1283,DeparaIMG!B:B,DeparaIMG!D:D,,0)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131</v>
      </c>
      <c r="E1284">
        <v>1</v>
      </c>
      <c r="F1284" t="s">
        <v>38</v>
      </c>
      <c r="G1284" t="s">
        <v>132</v>
      </c>
      <c r="H1284" t="s">
        <v>133</v>
      </c>
      <c r="I1284" s="2" t="str">
        <f>_xlfn.XLOOKUP(F1284,DeparaIMG!B:B,DeparaIMG!D:D,,0)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131</v>
      </c>
      <c r="E1285">
        <v>1</v>
      </c>
      <c r="F1285" t="s">
        <v>143</v>
      </c>
      <c r="G1285" t="s">
        <v>132</v>
      </c>
      <c r="H1285" t="s">
        <v>133</v>
      </c>
      <c r="I1285" s="2" t="str">
        <f>_xlfn.XLOOKUP(F1285,DeparaIMG!B:B,DeparaIMG!D:D,,0)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131</v>
      </c>
      <c r="E1286">
        <v>1</v>
      </c>
      <c r="F1286" t="s">
        <v>37</v>
      </c>
      <c r="G1286" t="s">
        <v>141</v>
      </c>
      <c r="H1286" t="s">
        <v>142</v>
      </c>
      <c r="I1286" s="2" t="str">
        <f>_xlfn.XLOOKUP(F1286,DeparaIMG!B:B,DeparaIMG!D:D,,0)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131</v>
      </c>
      <c r="E1287">
        <v>2</v>
      </c>
      <c r="F1287" t="s">
        <v>144</v>
      </c>
      <c r="G1287" t="s">
        <v>132</v>
      </c>
      <c r="H1287" t="s">
        <v>133</v>
      </c>
      <c r="I1287" s="2" t="str">
        <f>_xlfn.XLOOKUP(F1287,DeparaIMG!B:B,DeparaIMG!D:D,,0)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131</v>
      </c>
      <c r="E1288">
        <v>2</v>
      </c>
      <c r="F1288" t="s">
        <v>33</v>
      </c>
      <c r="G1288" t="s">
        <v>141</v>
      </c>
      <c r="H1288" t="s">
        <v>142</v>
      </c>
      <c r="I1288" s="2" t="str">
        <f>_xlfn.XLOOKUP(F1288,DeparaIMG!B:B,DeparaIMG!D:D,,0)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131</v>
      </c>
      <c r="E1289">
        <v>2</v>
      </c>
      <c r="F1289" t="s">
        <v>35</v>
      </c>
      <c r="G1289" t="s">
        <v>132</v>
      </c>
      <c r="H1289" t="s">
        <v>133</v>
      </c>
      <c r="I1289" s="2" t="str">
        <f>_xlfn.XLOOKUP(F1289,DeparaIMG!B:B,DeparaIMG!D:D,,0)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131</v>
      </c>
      <c r="E1290">
        <v>1</v>
      </c>
      <c r="F1290" t="s">
        <v>38</v>
      </c>
      <c r="G1290" t="s">
        <v>132</v>
      </c>
      <c r="H1290" t="s">
        <v>133</v>
      </c>
      <c r="I1290" s="2" t="str">
        <f>_xlfn.XLOOKUP(F1290,DeparaIMG!B:B,DeparaIMG!D:D,,0)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131</v>
      </c>
      <c r="E1291">
        <v>1</v>
      </c>
      <c r="F1291" t="s">
        <v>143</v>
      </c>
      <c r="G1291" t="s">
        <v>132</v>
      </c>
      <c r="H1291" t="s">
        <v>133</v>
      </c>
      <c r="I1291" s="2" t="str">
        <f>_xlfn.XLOOKUP(F1291,DeparaIMG!B:B,DeparaIMG!D:D,,0)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131</v>
      </c>
      <c r="E1292">
        <v>1</v>
      </c>
      <c r="F1292" t="s">
        <v>37</v>
      </c>
      <c r="G1292" t="s">
        <v>141</v>
      </c>
      <c r="H1292" t="s">
        <v>142</v>
      </c>
      <c r="I1292" s="2" t="str">
        <f>_xlfn.XLOOKUP(F1292,DeparaIMG!B:B,DeparaIMG!D:D,,0)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131</v>
      </c>
      <c r="E1293">
        <v>2</v>
      </c>
      <c r="F1293" t="s">
        <v>144</v>
      </c>
      <c r="G1293" t="s">
        <v>132</v>
      </c>
      <c r="H1293" t="s">
        <v>133</v>
      </c>
      <c r="I1293" s="2" t="str">
        <f>_xlfn.XLOOKUP(F1293,DeparaIMG!B:B,DeparaIMG!D:D,,0)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131</v>
      </c>
      <c r="E1294">
        <v>2</v>
      </c>
      <c r="F1294" t="s">
        <v>33</v>
      </c>
      <c r="G1294" t="s">
        <v>141</v>
      </c>
      <c r="H1294" t="s">
        <v>142</v>
      </c>
      <c r="I1294" s="2" t="str">
        <f>_xlfn.XLOOKUP(F1294,DeparaIMG!B:B,DeparaIMG!D:D,,0)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131</v>
      </c>
      <c r="E1295">
        <v>2</v>
      </c>
      <c r="F1295" t="s">
        <v>35</v>
      </c>
      <c r="G1295" t="s">
        <v>132</v>
      </c>
      <c r="H1295" t="s">
        <v>133</v>
      </c>
      <c r="I1295" s="2" t="str">
        <f>_xlfn.XLOOKUP(F1295,DeparaIMG!B:B,DeparaIMG!D:D,,0)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131</v>
      </c>
      <c r="E1296">
        <v>1</v>
      </c>
      <c r="F1296" t="s">
        <v>38</v>
      </c>
      <c r="G1296" t="s">
        <v>132</v>
      </c>
      <c r="H1296" t="s">
        <v>133</v>
      </c>
      <c r="I1296" s="2" t="str">
        <f>_xlfn.XLOOKUP(F1296,DeparaIMG!B:B,DeparaIMG!D:D,,0)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131</v>
      </c>
      <c r="E1297">
        <v>1</v>
      </c>
      <c r="F1297" t="s">
        <v>143</v>
      </c>
      <c r="G1297" t="s">
        <v>132</v>
      </c>
      <c r="H1297" t="s">
        <v>133</v>
      </c>
      <c r="I1297" s="2" t="str">
        <f>_xlfn.XLOOKUP(F1297,DeparaIMG!B:B,DeparaIMG!D:D,,0)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131</v>
      </c>
      <c r="E1298">
        <v>1</v>
      </c>
      <c r="F1298" t="s">
        <v>37</v>
      </c>
      <c r="G1298" t="s">
        <v>141</v>
      </c>
      <c r="H1298" t="s">
        <v>142</v>
      </c>
      <c r="I1298" s="2" t="str">
        <f>_xlfn.XLOOKUP(F1298,DeparaIMG!B:B,DeparaIMG!D:D,,0)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131</v>
      </c>
      <c r="E1299">
        <v>2</v>
      </c>
      <c r="F1299" t="s">
        <v>144</v>
      </c>
      <c r="G1299" t="s">
        <v>132</v>
      </c>
      <c r="H1299" t="s">
        <v>133</v>
      </c>
      <c r="I1299" s="2" t="str">
        <f>_xlfn.XLOOKUP(F1299,DeparaIMG!B:B,DeparaIMG!D:D,,0)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131</v>
      </c>
      <c r="E1300">
        <v>2</v>
      </c>
      <c r="F1300" t="s">
        <v>33</v>
      </c>
      <c r="G1300" t="s">
        <v>141</v>
      </c>
      <c r="H1300" t="s">
        <v>142</v>
      </c>
      <c r="I1300" s="2" t="str">
        <f>_xlfn.XLOOKUP(F1300,DeparaIMG!B:B,DeparaIMG!D:D,,0)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131</v>
      </c>
      <c r="E1301">
        <v>2</v>
      </c>
      <c r="F1301" t="s">
        <v>35</v>
      </c>
      <c r="G1301" t="s">
        <v>132</v>
      </c>
      <c r="H1301" t="s">
        <v>133</v>
      </c>
      <c r="I1301" s="2" t="str">
        <f>_xlfn.XLOOKUP(F1301,DeparaIMG!B:B,DeparaIMG!D:D,,0)</f>
        <v>H2OHP500.png</v>
      </c>
    </row>
    <row r="1302" spans="1:9" x14ac:dyDescent="0.25">
      <c r="A1302" s="2" t="s">
        <v>98</v>
      </c>
      <c r="B1302" s="2" t="s">
        <v>127</v>
      </c>
      <c r="C1302" t="s">
        <v>147</v>
      </c>
      <c r="D1302" t="s">
        <v>131</v>
      </c>
      <c r="E1302">
        <v>1</v>
      </c>
      <c r="F1302" t="s">
        <v>38</v>
      </c>
      <c r="G1302" t="s">
        <v>132</v>
      </c>
      <c r="H1302" t="s">
        <v>133</v>
      </c>
      <c r="I1302" s="2" t="str">
        <f>_xlfn.XLOOKUP(F1302,DeparaIMG!B:B,DeparaIMG!D:D,,0)</f>
        <v>GCA350.png</v>
      </c>
    </row>
    <row r="1303" spans="1:9" x14ac:dyDescent="0.25">
      <c r="A1303" s="2" t="s">
        <v>98</v>
      </c>
      <c r="B1303" s="2" t="s">
        <v>127</v>
      </c>
      <c r="C1303" t="s">
        <v>147</v>
      </c>
      <c r="D1303" t="s">
        <v>131</v>
      </c>
      <c r="E1303">
        <v>1</v>
      </c>
      <c r="F1303" t="s">
        <v>143</v>
      </c>
      <c r="G1303" t="s">
        <v>132</v>
      </c>
      <c r="H1303" t="s">
        <v>133</v>
      </c>
      <c r="I1303" s="2" t="str">
        <f>_xlfn.XLOOKUP(F1303,DeparaIMG!B:B,DeparaIMG!D:D,,0)</f>
        <v>PCSAB350.png</v>
      </c>
    </row>
    <row r="1304" spans="1:9" x14ac:dyDescent="0.25">
      <c r="A1304" s="2" t="s">
        <v>98</v>
      </c>
      <c r="B1304" s="2" t="s">
        <v>127</v>
      </c>
      <c r="C1304" t="s">
        <v>147</v>
      </c>
      <c r="D1304" t="s">
        <v>131</v>
      </c>
      <c r="E1304">
        <v>1</v>
      </c>
      <c r="F1304" t="s">
        <v>37</v>
      </c>
      <c r="G1304" t="s">
        <v>141</v>
      </c>
      <c r="H1304" t="s">
        <v>142</v>
      </c>
      <c r="I1304" s="2" t="str">
        <f>_xlfn.XLOOKUP(F1304,DeparaIMG!B:B,DeparaIMG!D:D,,0)</f>
        <v>GCAP2.png</v>
      </c>
    </row>
    <row r="1305" spans="1:9" x14ac:dyDescent="0.25">
      <c r="A1305" s="2" t="s">
        <v>98</v>
      </c>
      <c r="B1305" s="2" t="s">
        <v>127</v>
      </c>
      <c r="C1305" t="s">
        <v>147</v>
      </c>
      <c r="D1305" t="s">
        <v>131</v>
      </c>
      <c r="E1305">
        <v>2</v>
      </c>
      <c r="F1305" t="s">
        <v>144</v>
      </c>
      <c r="G1305" t="s">
        <v>132</v>
      </c>
      <c r="H1305" t="s">
        <v>133</v>
      </c>
      <c r="I1305" s="2" t="str">
        <f>_xlfn.XLOOKUP(F1305,DeparaIMG!B:B,DeparaIMG!D:D,,0)</f>
        <v>GATORADE.png</v>
      </c>
    </row>
    <row r="1306" spans="1:9" x14ac:dyDescent="0.25">
      <c r="A1306" s="2" t="s">
        <v>98</v>
      </c>
      <c r="B1306" s="2" t="s">
        <v>127</v>
      </c>
      <c r="C1306" t="s">
        <v>147</v>
      </c>
      <c r="D1306" t="s">
        <v>131</v>
      </c>
      <c r="E1306">
        <v>2</v>
      </c>
      <c r="F1306" t="s">
        <v>33</v>
      </c>
      <c r="G1306" t="s">
        <v>141</v>
      </c>
      <c r="H1306" t="s">
        <v>142</v>
      </c>
      <c r="I1306" s="2" t="str">
        <f>_xlfn.XLOOKUP(F1306,DeparaIMG!B:B,DeparaIMG!D:D,,0)</f>
        <v>PCP2.png</v>
      </c>
    </row>
    <row r="1307" spans="1:9" x14ac:dyDescent="0.25">
      <c r="A1307" s="2" t="s">
        <v>98</v>
      </c>
      <c r="B1307" s="2" t="s">
        <v>127</v>
      </c>
      <c r="C1307" t="s">
        <v>147</v>
      </c>
      <c r="D1307" t="s">
        <v>131</v>
      </c>
      <c r="E1307">
        <v>2</v>
      </c>
      <c r="F1307" t="s">
        <v>35</v>
      </c>
      <c r="G1307" t="s">
        <v>132</v>
      </c>
      <c r="H1307" t="s">
        <v>133</v>
      </c>
      <c r="I1307" s="2" t="str">
        <f>_xlfn.XLOOKUP(F1307,DeparaIMG!B:B,DeparaIMG!D:D,,0)</f>
        <v>H2OHP500.png</v>
      </c>
    </row>
    <row r="1308" spans="1:9" x14ac:dyDescent="0.25">
      <c r="A1308" s="2" t="s">
        <v>98</v>
      </c>
      <c r="B1308" s="2" t="s">
        <v>127</v>
      </c>
      <c r="C1308" t="s">
        <v>148</v>
      </c>
      <c r="D1308" t="s">
        <v>131</v>
      </c>
      <c r="E1308">
        <v>1</v>
      </c>
      <c r="F1308" t="s">
        <v>38</v>
      </c>
      <c r="G1308" t="s">
        <v>132</v>
      </c>
      <c r="H1308" t="s">
        <v>133</v>
      </c>
      <c r="I1308" s="2" t="str">
        <f>_xlfn.XLOOKUP(F1308,DeparaIMG!B:B,DeparaIMG!D:D,,0)</f>
        <v>GCA350.png</v>
      </c>
    </row>
    <row r="1309" spans="1:9" x14ac:dyDescent="0.25">
      <c r="A1309" s="2" t="s">
        <v>98</v>
      </c>
      <c r="B1309" s="2" t="s">
        <v>127</v>
      </c>
      <c r="C1309" t="s">
        <v>148</v>
      </c>
      <c r="D1309" t="s">
        <v>131</v>
      </c>
      <c r="E1309">
        <v>1</v>
      </c>
      <c r="F1309" t="s">
        <v>143</v>
      </c>
      <c r="G1309" t="s">
        <v>132</v>
      </c>
      <c r="H1309" t="s">
        <v>133</v>
      </c>
      <c r="I1309" s="2" t="str">
        <f>_xlfn.XLOOKUP(F1309,DeparaIMG!B:B,DeparaIMG!D:D,,0)</f>
        <v>PCSAB350.png</v>
      </c>
    </row>
    <row r="1310" spans="1:9" x14ac:dyDescent="0.25">
      <c r="A1310" s="2" t="s">
        <v>98</v>
      </c>
      <c r="B1310" s="2" t="s">
        <v>127</v>
      </c>
      <c r="C1310" t="s">
        <v>148</v>
      </c>
      <c r="D1310" t="s">
        <v>131</v>
      </c>
      <c r="E1310">
        <v>1</v>
      </c>
      <c r="F1310" t="s">
        <v>37</v>
      </c>
      <c r="G1310" t="s">
        <v>141</v>
      </c>
      <c r="H1310" t="s">
        <v>142</v>
      </c>
      <c r="I1310" s="2" t="str">
        <f>_xlfn.XLOOKUP(F1310,DeparaIMG!B:B,DeparaIMG!D:D,,0)</f>
        <v>GCAP2.png</v>
      </c>
    </row>
    <row r="1311" spans="1:9" x14ac:dyDescent="0.25">
      <c r="A1311" s="2" t="s">
        <v>98</v>
      </c>
      <c r="B1311" s="2" t="s">
        <v>127</v>
      </c>
      <c r="C1311" t="s">
        <v>148</v>
      </c>
      <c r="D1311" t="s">
        <v>131</v>
      </c>
      <c r="E1311">
        <v>2</v>
      </c>
      <c r="F1311" t="s">
        <v>144</v>
      </c>
      <c r="G1311" t="s">
        <v>132</v>
      </c>
      <c r="H1311" t="s">
        <v>133</v>
      </c>
      <c r="I1311" s="2" t="str">
        <f>_xlfn.XLOOKUP(F1311,DeparaIMG!B:B,DeparaIMG!D:D,,0)</f>
        <v>GATORADE.png</v>
      </c>
    </row>
    <row r="1312" spans="1:9" x14ac:dyDescent="0.25">
      <c r="A1312" s="2" t="s">
        <v>98</v>
      </c>
      <c r="B1312" s="2" t="s">
        <v>127</v>
      </c>
      <c r="C1312" t="s">
        <v>148</v>
      </c>
      <c r="D1312" t="s">
        <v>131</v>
      </c>
      <c r="E1312">
        <v>2</v>
      </c>
      <c r="F1312" t="s">
        <v>33</v>
      </c>
      <c r="G1312" t="s">
        <v>141</v>
      </c>
      <c r="H1312" t="s">
        <v>142</v>
      </c>
      <c r="I1312" s="2" t="str">
        <f>_xlfn.XLOOKUP(F1312,DeparaIMG!B:B,DeparaIMG!D:D,,0)</f>
        <v>PCP2.png</v>
      </c>
    </row>
    <row r="1313" spans="1:9" x14ac:dyDescent="0.25">
      <c r="A1313" s="2" t="s">
        <v>98</v>
      </c>
      <c r="B1313" s="2" t="s">
        <v>127</v>
      </c>
      <c r="C1313" t="s">
        <v>148</v>
      </c>
      <c r="D1313" t="s">
        <v>131</v>
      </c>
      <c r="E1313">
        <v>2</v>
      </c>
      <c r="F1313" t="s">
        <v>35</v>
      </c>
      <c r="G1313" t="s">
        <v>132</v>
      </c>
      <c r="H1313" t="s">
        <v>133</v>
      </c>
      <c r="I1313" s="2" t="str">
        <f>_xlfn.XLOOKUP(F1313,DeparaIMG!B:B,DeparaIMG!D:D,,0)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131</v>
      </c>
      <c r="E1314">
        <v>1</v>
      </c>
      <c r="F1314" t="s">
        <v>106</v>
      </c>
      <c r="G1314" t="s">
        <v>132</v>
      </c>
      <c r="H1314" t="s">
        <v>133</v>
      </c>
      <c r="I1314" s="2" t="str">
        <f>_xlfn.XLOOKUP(F1314,DeparaIMG!B:B,DeparaIMG!D:D,,0)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131</v>
      </c>
      <c r="E1315">
        <v>1</v>
      </c>
      <c r="F1315" t="s">
        <v>106</v>
      </c>
      <c r="G1315" t="s">
        <v>132</v>
      </c>
      <c r="H1315" t="s">
        <v>133</v>
      </c>
      <c r="I1315" s="2" t="str">
        <f>_xlfn.XLOOKUP(F1315,DeparaIMG!B:B,DeparaIMG!D:D,,0)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131</v>
      </c>
      <c r="E1316">
        <v>1</v>
      </c>
      <c r="F1316" t="s">
        <v>106</v>
      </c>
      <c r="G1316" t="s">
        <v>132</v>
      </c>
      <c r="H1316" t="s">
        <v>133</v>
      </c>
      <c r="I1316" s="2" t="str">
        <f>_xlfn.XLOOKUP(F1316,DeparaIMG!B:B,DeparaIMG!D:D,,0)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131</v>
      </c>
      <c r="E1317">
        <v>1</v>
      </c>
      <c r="F1317" t="s">
        <v>106</v>
      </c>
      <c r="G1317" t="s">
        <v>132</v>
      </c>
      <c r="H1317" t="s">
        <v>133</v>
      </c>
      <c r="I1317" s="2" t="str">
        <f>_xlfn.XLOOKUP(F1317,DeparaIMG!B:B,DeparaIMG!D:D,,0)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131</v>
      </c>
      <c r="E1318">
        <v>2</v>
      </c>
      <c r="F1318" t="s">
        <v>107</v>
      </c>
      <c r="G1318" t="s">
        <v>132</v>
      </c>
      <c r="H1318" t="s">
        <v>133</v>
      </c>
      <c r="I1318" s="2" t="str">
        <f>_xlfn.XLOOKUP(F1318,DeparaIMG!B:B,DeparaIMG!D:D,,0)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131</v>
      </c>
      <c r="E1319">
        <v>2</v>
      </c>
      <c r="F1319" t="s">
        <v>107</v>
      </c>
      <c r="G1319" t="s">
        <v>132</v>
      </c>
      <c r="H1319" t="s">
        <v>133</v>
      </c>
      <c r="I1319" s="2" t="str">
        <f>_xlfn.XLOOKUP(F1319,DeparaIMG!B:B,DeparaIMG!D:D,,0)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131</v>
      </c>
      <c r="E1320">
        <v>2</v>
      </c>
      <c r="F1320" t="s">
        <v>107</v>
      </c>
      <c r="G1320" t="s">
        <v>132</v>
      </c>
      <c r="H1320" t="s">
        <v>133</v>
      </c>
      <c r="I1320" s="2" t="str">
        <f>_xlfn.XLOOKUP(F1320,DeparaIMG!B:B,DeparaIMG!D:D,,0)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131</v>
      </c>
      <c r="E1321">
        <v>2</v>
      </c>
      <c r="F1321" t="s">
        <v>107</v>
      </c>
      <c r="G1321" t="s">
        <v>132</v>
      </c>
      <c r="H1321" t="s">
        <v>133</v>
      </c>
      <c r="I1321" s="2" t="str">
        <f>_xlfn.XLOOKUP(F1321,DeparaIMG!B:B,DeparaIMG!D:D,,0)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131</v>
      </c>
      <c r="E1322">
        <v>1</v>
      </c>
      <c r="F1322" t="s">
        <v>145</v>
      </c>
      <c r="G1322" t="s">
        <v>150</v>
      </c>
      <c r="H1322" t="s">
        <v>151</v>
      </c>
      <c r="I1322" s="2" t="str">
        <f>_xlfn.XLOOKUP(F1322,DeparaIMG!B:B,DeparaIMG!D:D,,0)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131</v>
      </c>
      <c r="E1323">
        <v>1</v>
      </c>
      <c r="F1323" t="s">
        <v>145</v>
      </c>
      <c r="G1323" t="s">
        <v>150</v>
      </c>
      <c r="H1323" t="s">
        <v>151</v>
      </c>
      <c r="I1323" s="2" t="str">
        <f>_xlfn.XLOOKUP(F1323,DeparaIMG!B:B,DeparaIMG!D:D,,0)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131</v>
      </c>
      <c r="E1324">
        <v>1</v>
      </c>
      <c r="F1324" t="s">
        <v>145</v>
      </c>
      <c r="G1324" t="s">
        <v>150</v>
      </c>
      <c r="H1324" t="s">
        <v>151</v>
      </c>
      <c r="I1324" s="2" t="str">
        <f>_xlfn.XLOOKUP(F1324,DeparaIMG!B:B,DeparaIMG!D:D,,0)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131</v>
      </c>
      <c r="E1325">
        <v>1</v>
      </c>
      <c r="F1325" t="s">
        <v>145</v>
      </c>
      <c r="G1325" t="s">
        <v>150</v>
      </c>
      <c r="H1325" t="s">
        <v>151</v>
      </c>
      <c r="I1325" s="2" t="str">
        <f>_xlfn.XLOOKUP(F1325,DeparaIMG!B:B,DeparaIMG!D:D,,0)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131</v>
      </c>
      <c r="E1326">
        <v>2</v>
      </c>
      <c r="F1326" t="s">
        <v>145</v>
      </c>
      <c r="G1326" t="s">
        <v>150</v>
      </c>
      <c r="H1326" t="s">
        <v>151</v>
      </c>
      <c r="I1326" s="2" t="str">
        <f>_xlfn.XLOOKUP(F1326,DeparaIMG!B:B,DeparaIMG!D:D,,0)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131</v>
      </c>
      <c r="E1327">
        <v>2</v>
      </c>
      <c r="F1327" t="s">
        <v>145</v>
      </c>
      <c r="G1327" t="s">
        <v>150</v>
      </c>
      <c r="H1327" t="s">
        <v>151</v>
      </c>
      <c r="I1327" s="2" t="str">
        <f>_xlfn.XLOOKUP(F1327,DeparaIMG!B:B,DeparaIMG!D:D,,0)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131</v>
      </c>
      <c r="E1328">
        <v>2</v>
      </c>
      <c r="F1328" t="s">
        <v>145</v>
      </c>
      <c r="G1328" t="s">
        <v>150</v>
      </c>
      <c r="H1328" t="s">
        <v>151</v>
      </c>
      <c r="I1328" s="2" t="str">
        <f>_xlfn.XLOOKUP(F1328,DeparaIMG!B:B,DeparaIMG!D:D,,0)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131</v>
      </c>
      <c r="E1329">
        <v>2</v>
      </c>
      <c r="F1329" t="s">
        <v>145</v>
      </c>
      <c r="G1329" t="s">
        <v>150</v>
      </c>
      <c r="H1329" t="s">
        <v>151</v>
      </c>
      <c r="I1329" s="2" t="str">
        <f>_xlfn.XLOOKUP(F1329,DeparaIMG!B:B,DeparaIMG!D:D,,0)</f>
        <v>BEATSFF.png</v>
      </c>
    </row>
    <row r="1330" spans="1:9" x14ac:dyDescent="0.25">
      <c r="A1330" s="2" t="s">
        <v>98</v>
      </c>
      <c r="B1330" s="2" t="s">
        <v>127</v>
      </c>
      <c r="C1330" t="s">
        <v>147</v>
      </c>
      <c r="D1330" t="s">
        <v>131</v>
      </c>
      <c r="E1330">
        <v>1</v>
      </c>
      <c r="F1330" t="s">
        <v>106</v>
      </c>
      <c r="G1330" t="s">
        <v>132</v>
      </c>
      <c r="H1330" t="s">
        <v>133</v>
      </c>
      <c r="I1330" s="2" t="str">
        <f>_xlfn.XLOOKUP(F1330,DeparaIMG!B:B,DeparaIMG!D:D,,0)</f>
        <v>BEATSLT.png</v>
      </c>
    </row>
    <row r="1331" spans="1:9" x14ac:dyDescent="0.25">
      <c r="A1331" s="2" t="s">
        <v>98</v>
      </c>
      <c r="B1331" s="2" t="s">
        <v>127</v>
      </c>
      <c r="C1331" t="s">
        <v>148</v>
      </c>
      <c r="D1331" t="s">
        <v>131</v>
      </c>
      <c r="E1331">
        <v>1</v>
      </c>
      <c r="F1331" t="s">
        <v>106</v>
      </c>
      <c r="G1331" t="s">
        <v>132</v>
      </c>
      <c r="H1331" t="s">
        <v>133</v>
      </c>
      <c r="I1331" s="2" t="str">
        <f>_xlfn.XLOOKUP(F1331,DeparaIMG!B:B,DeparaIMG!D:D,,0)</f>
        <v>BEATSLT.png</v>
      </c>
    </row>
    <row r="1332" spans="1:9" x14ac:dyDescent="0.25">
      <c r="A1332" s="2" t="s">
        <v>98</v>
      </c>
      <c r="B1332" s="2" t="s">
        <v>127</v>
      </c>
      <c r="C1332" t="s">
        <v>147</v>
      </c>
      <c r="D1332" t="s">
        <v>131</v>
      </c>
      <c r="E1332">
        <v>2</v>
      </c>
      <c r="F1332" t="s">
        <v>107</v>
      </c>
      <c r="G1332" t="s">
        <v>132</v>
      </c>
      <c r="H1332" t="s">
        <v>133</v>
      </c>
      <c r="I1332" s="2" t="str">
        <f>_xlfn.XLOOKUP(F1332,DeparaIMG!B:B,DeparaIMG!D:D,,0)</f>
        <v>BEATSLN.png</v>
      </c>
    </row>
    <row r="1333" spans="1:9" x14ac:dyDescent="0.25">
      <c r="A1333" s="2" t="s">
        <v>98</v>
      </c>
      <c r="B1333" s="2" t="s">
        <v>127</v>
      </c>
      <c r="C1333" t="s">
        <v>148</v>
      </c>
      <c r="D1333" t="s">
        <v>131</v>
      </c>
      <c r="E1333">
        <v>2</v>
      </c>
      <c r="F1333" t="s">
        <v>107</v>
      </c>
      <c r="G1333" t="s">
        <v>132</v>
      </c>
      <c r="H1333" t="s">
        <v>133</v>
      </c>
      <c r="I1333" s="2" t="str">
        <f>_xlfn.XLOOKUP(F1333,DeparaIMG!B:B,DeparaIMG!D:D,,0)</f>
        <v>BEATSLN.png</v>
      </c>
    </row>
    <row r="1334" spans="1:9" x14ac:dyDescent="0.25">
      <c r="A1334" s="2" t="s">
        <v>98</v>
      </c>
      <c r="B1334" s="2" t="s">
        <v>127</v>
      </c>
      <c r="C1334" t="s">
        <v>147</v>
      </c>
      <c r="D1334" t="s">
        <v>131</v>
      </c>
      <c r="E1334">
        <v>1</v>
      </c>
      <c r="F1334" t="s">
        <v>145</v>
      </c>
      <c r="G1334" t="s">
        <v>150</v>
      </c>
      <c r="H1334" t="s">
        <v>151</v>
      </c>
      <c r="I1334" s="2" t="str">
        <f>_xlfn.XLOOKUP(F1334,DeparaIMG!B:B,DeparaIMG!D:D,,0)</f>
        <v>BEATSFF.png</v>
      </c>
    </row>
    <row r="1335" spans="1:9" x14ac:dyDescent="0.25">
      <c r="A1335" s="2" t="s">
        <v>98</v>
      </c>
      <c r="B1335" s="2" t="s">
        <v>127</v>
      </c>
      <c r="C1335" t="s">
        <v>148</v>
      </c>
      <c r="D1335" t="s">
        <v>131</v>
      </c>
      <c r="E1335">
        <v>1</v>
      </c>
      <c r="F1335" t="s">
        <v>145</v>
      </c>
      <c r="G1335" t="s">
        <v>150</v>
      </c>
      <c r="H1335" t="s">
        <v>151</v>
      </c>
      <c r="I1335" s="2" t="str">
        <f>_xlfn.XLOOKUP(F1335,DeparaIMG!B:B,DeparaIMG!D:D,,0)</f>
        <v>BEATSFF.png</v>
      </c>
    </row>
    <row r="1336" spans="1:9" x14ac:dyDescent="0.25">
      <c r="A1336" s="2" t="s">
        <v>98</v>
      </c>
      <c r="B1336" s="2" t="s">
        <v>127</v>
      </c>
      <c r="C1336" t="s">
        <v>147</v>
      </c>
      <c r="D1336" t="s">
        <v>131</v>
      </c>
      <c r="E1336">
        <v>2</v>
      </c>
      <c r="F1336" t="s">
        <v>145</v>
      </c>
      <c r="G1336" t="s">
        <v>150</v>
      </c>
      <c r="H1336" t="s">
        <v>151</v>
      </c>
      <c r="I1336" s="2" t="str">
        <f>_xlfn.XLOOKUP(F1336,DeparaIMG!B:B,DeparaIMG!D:D,,0)</f>
        <v>BEATSFF.png</v>
      </c>
    </row>
    <row r="1337" spans="1:9" x14ac:dyDescent="0.25">
      <c r="A1337" s="2" t="s">
        <v>98</v>
      </c>
      <c r="B1337" s="2" t="s">
        <v>127</v>
      </c>
      <c r="C1337" t="s">
        <v>148</v>
      </c>
      <c r="D1337" t="s">
        <v>131</v>
      </c>
      <c r="E1337">
        <v>2</v>
      </c>
      <c r="F1337" t="s">
        <v>145</v>
      </c>
      <c r="G1337" t="s">
        <v>150</v>
      </c>
      <c r="H1337" t="s">
        <v>151</v>
      </c>
      <c r="I1337" s="2" t="str">
        <f>_xlfn.XLOOKUP(F1337,DeparaIMG!B:B,DeparaIMG!D:D,,0)</f>
        <v>BEATSFF.png</v>
      </c>
    </row>
  </sheetData>
  <autoFilter ref="A1:I133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2026-10-07T19:54:56Z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