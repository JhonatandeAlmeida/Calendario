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54257_ab-inbev_com/Documents/Pasta H OneDrive/Documents/Calendario-main/Calendario-main/data/"/>
    </mc:Choice>
  </mc:AlternateContent>
  <xr:revisionPtr revIDLastSave="54" documentId="13_ncr:1_{B92F5DA4-8825-4FA1-97C6-23568D76854D}" xr6:coauthVersionLast="47" xr6:coauthVersionMax="47" xr10:uidLastSave="{341CB539-B4A5-4882-8830-035C4C2E85FD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DeparaIMG!$A$1:$D$49</definedName>
    <definedName name="_xlnm._FilterDatabase" localSheetId="2" hidden="1">MECANICA!$A$1:$D$49</definedName>
    <definedName name="_xlnm._FilterDatabase" localSheetId="3" hidden="1">PRODUTOS!$A$1:$I$1221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5" l="1"/>
  <c r="D51" i="5"/>
  <c r="C32" i="5" l="1"/>
  <c r="D32" i="5" s="1"/>
  <c r="C8" i="5"/>
  <c r="D8" i="5" s="1"/>
  <c r="I1218" i="3" s="1"/>
  <c r="I1205" i="3"/>
  <c r="C36" i="5"/>
  <c r="D36" i="5" s="1"/>
  <c r="C13" i="5"/>
  <c r="D13" i="5" s="1"/>
  <c r="C41" i="5"/>
  <c r="D41" i="5" s="1"/>
  <c r="C3" i="5"/>
  <c r="D3" i="5" s="1"/>
  <c r="I1220" i="3" l="1"/>
  <c r="I1206" i="3"/>
  <c r="I1219" i="3"/>
  <c r="I1207" i="3"/>
  <c r="I1221" i="3"/>
  <c r="I1208" i="3"/>
  <c r="I1116" i="3"/>
  <c r="I1117" i="3"/>
  <c r="C24" i="5"/>
  <c r="D24" i="5" s="1"/>
  <c r="C23" i="5"/>
  <c r="D23" i="5" s="1"/>
  <c r="C10" i="5"/>
  <c r="D10" i="5" s="1"/>
  <c r="C11" i="5"/>
  <c r="D11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44" i="5"/>
  <c r="C45" i="5"/>
  <c r="D44" i="5"/>
  <c r="D45" i="5"/>
  <c r="I821" i="3" l="1"/>
  <c r="I749" i="3"/>
  <c r="I725" i="3"/>
  <c r="I619" i="3"/>
  <c r="I618" i="3"/>
  <c r="I617" i="3"/>
  <c r="I421" i="3"/>
  <c r="I420" i="3"/>
  <c r="I855" i="3"/>
  <c r="I854" i="3"/>
  <c r="I796" i="3"/>
  <c r="I773" i="3"/>
  <c r="I612" i="3"/>
  <c r="I611" i="3"/>
  <c r="I610" i="3"/>
  <c r="I609" i="3"/>
  <c r="I398" i="3"/>
  <c r="I397" i="3"/>
  <c r="I396" i="3"/>
  <c r="I381" i="3"/>
  <c r="I903" i="3"/>
  <c r="I902" i="3"/>
  <c r="I899" i="3"/>
  <c r="I898" i="3"/>
  <c r="I905" i="3"/>
  <c r="I904" i="3"/>
  <c r="I901" i="3"/>
  <c r="I900" i="3"/>
  <c r="I912" i="3"/>
  <c r="I910" i="3"/>
  <c r="I908" i="3"/>
  <c r="I906" i="3"/>
  <c r="I913" i="3"/>
  <c r="I911" i="3"/>
  <c r="I909" i="3"/>
  <c r="I907" i="3"/>
  <c r="C22" i="5"/>
  <c r="C48" i="5"/>
  <c r="C34" i="5"/>
  <c r="C15" i="5"/>
  <c r="C19" i="5"/>
  <c r="C33" i="5"/>
  <c r="C47" i="5"/>
  <c r="C18" i="5"/>
  <c r="C14" i="5"/>
  <c r="C46" i="5"/>
  <c r="C4" i="5"/>
  <c r="C35" i="5"/>
  <c r="C43" i="5"/>
  <c r="C9" i="5"/>
  <c r="C6" i="5"/>
  <c r="C12" i="5"/>
  <c r="C7" i="5"/>
  <c r="C2" i="5"/>
  <c r="C42" i="5"/>
  <c r="C40" i="5"/>
  <c r="D21" i="5"/>
  <c r="D22" i="5"/>
  <c r="D48" i="5"/>
  <c r="D34" i="5"/>
  <c r="D15" i="5"/>
  <c r="D17" i="5"/>
  <c r="D20" i="5"/>
  <c r="D19" i="5"/>
  <c r="D33" i="5"/>
  <c r="D47" i="5"/>
  <c r="D18" i="5"/>
  <c r="D14" i="5"/>
  <c r="D46" i="5"/>
  <c r="D16" i="5"/>
  <c r="D4" i="5"/>
  <c r="D35" i="5"/>
  <c r="D43" i="5"/>
  <c r="D9" i="5"/>
  <c r="D6" i="5"/>
  <c r="D12" i="5"/>
  <c r="D7" i="5"/>
  <c r="D2" i="5"/>
  <c r="D42" i="5"/>
  <c r="D40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30" i="5"/>
  <c r="D37" i="5"/>
  <c r="D25" i="5"/>
  <c r="D38" i="5"/>
  <c r="D26" i="5"/>
  <c r="D29" i="5"/>
  <c r="D49" i="5"/>
  <c r="D31" i="5"/>
  <c r="D5" i="5"/>
  <c r="D39" i="5"/>
  <c r="D27" i="5"/>
  <c r="D28" i="5"/>
  <c r="I960" i="3" l="1"/>
  <c r="I914" i="3"/>
  <c r="I57" i="3"/>
  <c r="I2" i="3"/>
  <c r="I963" i="3"/>
  <c r="I962" i="3"/>
  <c r="I961" i="3"/>
  <c r="I917" i="3"/>
  <c r="I916" i="3"/>
  <c r="I915" i="3"/>
  <c r="I61" i="3"/>
  <c r="I60" i="3"/>
  <c r="I59" i="3"/>
  <c r="I58" i="3"/>
  <c r="I6" i="3"/>
  <c r="I5" i="3"/>
  <c r="I4" i="3"/>
  <c r="I3" i="3"/>
  <c r="I967" i="3"/>
  <c r="I966" i="3"/>
  <c r="I965" i="3"/>
  <c r="I964" i="3"/>
  <c r="I921" i="3"/>
  <c r="I920" i="3"/>
  <c r="I919" i="3"/>
  <c r="I918" i="3"/>
  <c r="I66" i="3"/>
  <c r="I65" i="3"/>
  <c r="I64" i="3"/>
  <c r="I63" i="3"/>
  <c r="I62" i="3"/>
  <c r="I11" i="3"/>
  <c r="I10" i="3"/>
  <c r="I9" i="3"/>
  <c r="I8" i="3"/>
  <c r="I7" i="3"/>
  <c r="I936" i="3"/>
  <c r="I922" i="3"/>
  <c r="I32" i="3"/>
  <c r="I12" i="3"/>
  <c r="I940" i="3"/>
  <c r="I939" i="3"/>
  <c r="I938" i="3"/>
  <c r="I937" i="3"/>
  <c r="I926" i="3"/>
  <c r="I925" i="3"/>
  <c r="I924" i="3"/>
  <c r="I923" i="3"/>
  <c r="I36" i="3"/>
  <c r="I35" i="3"/>
  <c r="I34" i="3"/>
  <c r="I33" i="3"/>
  <c r="I16" i="3"/>
  <c r="I15" i="3"/>
  <c r="I14" i="3"/>
  <c r="I13" i="3"/>
  <c r="I75" i="3"/>
  <c r="I74" i="3"/>
  <c r="I73" i="3"/>
  <c r="I72" i="3"/>
  <c r="I71" i="3"/>
  <c r="I21" i="3"/>
  <c r="I20" i="3"/>
  <c r="I19" i="3"/>
  <c r="I18" i="3"/>
  <c r="I17" i="3"/>
  <c r="I949" i="3"/>
  <c r="I948" i="3"/>
  <c r="I947" i="3"/>
  <c r="I946" i="3"/>
  <c r="I930" i="3"/>
  <c r="I929" i="3"/>
  <c r="I928" i="3"/>
  <c r="I927" i="3"/>
  <c r="I46" i="3"/>
  <c r="I45" i="3"/>
  <c r="I44" i="3"/>
  <c r="I43" i="3"/>
  <c r="I42" i="3"/>
  <c r="I26" i="3"/>
  <c r="I25" i="3"/>
  <c r="I24" i="3"/>
  <c r="I23" i="3"/>
  <c r="I22" i="3"/>
  <c r="I935" i="3"/>
  <c r="I934" i="3"/>
  <c r="I933" i="3"/>
  <c r="I932" i="3"/>
  <c r="I931" i="3"/>
  <c r="I31" i="3"/>
  <c r="I30" i="3"/>
  <c r="I29" i="3"/>
  <c r="I28" i="3"/>
  <c r="I27" i="3"/>
  <c r="I945" i="3"/>
  <c r="I944" i="3"/>
  <c r="I943" i="3"/>
  <c r="I942" i="3"/>
  <c r="I941" i="3"/>
  <c r="I41" i="3"/>
  <c r="I40" i="3"/>
  <c r="I39" i="3"/>
  <c r="I38" i="3"/>
  <c r="I37" i="3"/>
  <c r="I954" i="3"/>
  <c r="I953" i="3"/>
  <c r="I952" i="3"/>
  <c r="I951" i="3"/>
  <c r="I950" i="3"/>
  <c r="I51" i="3"/>
  <c r="I50" i="3"/>
  <c r="I49" i="3"/>
  <c r="I48" i="3"/>
  <c r="I47" i="3"/>
  <c r="I959" i="3"/>
  <c r="I958" i="3"/>
  <c r="I957" i="3"/>
  <c r="I956" i="3"/>
  <c r="I955" i="3"/>
  <c r="I56" i="3"/>
  <c r="I55" i="3"/>
  <c r="I54" i="3"/>
  <c r="I53" i="3"/>
  <c r="I52" i="3"/>
  <c r="I971" i="3"/>
  <c r="I970" i="3"/>
  <c r="I969" i="3"/>
  <c r="I968" i="3"/>
  <c r="I70" i="3"/>
  <c r="I69" i="3"/>
  <c r="I68" i="3"/>
  <c r="I67" i="3"/>
  <c r="I972" i="3"/>
  <c r="I973" i="3"/>
  <c r="I998" i="3"/>
  <c r="I999" i="3"/>
  <c r="I1000" i="3"/>
  <c r="I1001" i="3"/>
  <c r="I1010" i="3"/>
  <c r="I1011" i="3"/>
  <c r="I883" i="3"/>
  <c r="I882" i="3"/>
  <c r="I837" i="3"/>
  <c r="I836" i="3"/>
  <c r="I817" i="3"/>
  <c r="I807" i="3"/>
  <c r="I793" i="3"/>
  <c r="I787" i="3"/>
  <c r="I770" i="3"/>
  <c r="I762" i="3"/>
  <c r="I534" i="3"/>
  <c r="I533" i="3"/>
  <c r="I530" i="3"/>
  <c r="I529" i="3"/>
  <c r="I528" i="3"/>
  <c r="I525" i="3"/>
  <c r="I524" i="3"/>
  <c r="I523" i="3"/>
  <c r="I513" i="3"/>
  <c r="I512" i="3"/>
  <c r="I338" i="3"/>
  <c r="I334" i="3"/>
  <c r="I333" i="3"/>
  <c r="I332" i="3"/>
  <c r="I329" i="3"/>
  <c r="I328" i="3"/>
  <c r="I317" i="3"/>
  <c r="I316" i="3"/>
  <c r="I113" i="3"/>
  <c r="I112" i="3"/>
  <c r="I103" i="3"/>
  <c r="I102" i="3"/>
  <c r="I101" i="3"/>
  <c r="I100" i="3"/>
  <c r="I77" i="3"/>
  <c r="I76" i="3"/>
  <c r="I976" i="3"/>
  <c r="I977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3" i="3"/>
  <c r="I92" i="3"/>
  <c r="I91" i="3"/>
  <c r="I90" i="3"/>
  <c r="I89" i="3"/>
  <c r="I88" i="3"/>
  <c r="I87" i="3"/>
  <c r="I86" i="3"/>
  <c r="I85" i="3"/>
  <c r="I84" i="3"/>
  <c r="I83" i="3"/>
  <c r="I82" i="3"/>
  <c r="I79" i="3"/>
  <c r="I78" i="3"/>
  <c r="I974" i="3"/>
  <c r="I975" i="3"/>
  <c r="I978" i="3"/>
  <c r="I979" i="3"/>
  <c r="I1002" i="3"/>
  <c r="I1008" i="3"/>
  <c r="I881" i="3"/>
  <c r="I878" i="3"/>
  <c r="I738" i="3"/>
  <c r="I714" i="3"/>
  <c r="I532" i="3"/>
  <c r="I531" i="3"/>
  <c r="I517" i="3"/>
  <c r="I516" i="3"/>
  <c r="I337" i="3"/>
  <c r="I336" i="3"/>
  <c r="I321" i="3"/>
  <c r="I320" i="3"/>
  <c r="I110" i="3"/>
  <c r="I104" i="3"/>
  <c r="I81" i="3"/>
  <c r="I80" i="3"/>
  <c r="I992" i="3"/>
  <c r="I993" i="3"/>
  <c r="I994" i="3"/>
  <c r="I995" i="3"/>
  <c r="I996" i="3"/>
  <c r="I997" i="3"/>
  <c r="I1003" i="3"/>
  <c r="I1004" i="3"/>
  <c r="I1005" i="3"/>
  <c r="I1006" i="3"/>
  <c r="I1007" i="3"/>
  <c r="I1009" i="3"/>
  <c r="I880" i="3"/>
  <c r="I879" i="3"/>
  <c r="I814" i="3"/>
  <c r="I800" i="3"/>
  <c r="I789" i="3"/>
  <c r="I777" i="3"/>
  <c r="I764" i="3"/>
  <c r="I740" i="3"/>
  <c r="I729" i="3"/>
  <c r="I716" i="3"/>
  <c r="I527" i="3"/>
  <c r="I526" i="3"/>
  <c r="I522" i="3"/>
  <c r="I521" i="3"/>
  <c r="I520" i="3"/>
  <c r="I519" i="3"/>
  <c r="I518" i="3"/>
  <c r="I515" i="3"/>
  <c r="I514" i="3"/>
  <c r="I511" i="3"/>
  <c r="I339" i="3"/>
  <c r="I335" i="3"/>
  <c r="I331" i="3"/>
  <c r="I330" i="3"/>
  <c r="I327" i="3"/>
  <c r="I326" i="3"/>
  <c r="I325" i="3"/>
  <c r="I324" i="3"/>
  <c r="I323" i="3"/>
  <c r="I322" i="3"/>
  <c r="I319" i="3"/>
  <c r="I318" i="3"/>
  <c r="I111" i="3"/>
  <c r="I109" i="3"/>
  <c r="I108" i="3"/>
  <c r="I107" i="3"/>
  <c r="I106" i="3"/>
  <c r="I105" i="3"/>
  <c r="I99" i="3"/>
  <c r="I98" i="3"/>
  <c r="I97" i="3"/>
  <c r="I96" i="3"/>
  <c r="I95" i="3"/>
  <c r="I94" i="3"/>
  <c r="I1213" i="3"/>
  <c r="I1212" i="3"/>
  <c r="I1211" i="3"/>
  <c r="I1210" i="3"/>
  <c r="I1012" i="3"/>
  <c r="I1013" i="3"/>
  <c r="I1014" i="3"/>
  <c r="I1015" i="3"/>
  <c r="I1016" i="3"/>
  <c r="I1017" i="3"/>
  <c r="I1018" i="3"/>
  <c r="I841" i="3"/>
  <c r="I840" i="3"/>
  <c r="I839" i="3"/>
  <c r="I838" i="3"/>
  <c r="I812" i="3"/>
  <c r="I798" i="3"/>
  <c r="I775" i="3"/>
  <c r="I765" i="3"/>
  <c r="I741" i="3"/>
  <c r="I717" i="3"/>
  <c r="I545" i="3"/>
  <c r="I544" i="3"/>
  <c r="I543" i="3"/>
  <c r="I542" i="3"/>
  <c r="I541" i="3"/>
  <c r="I540" i="3"/>
  <c r="I539" i="3"/>
  <c r="I538" i="3"/>
  <c r="I537" i="3"/>
  <c r="I536" i="3"/>
  <c r="I535" i="3"/>
  <c r="I348" i="3"/>
  <c r="I347" i="3"/>
  <c r="I346" i="3"/>
  <c r="I345" i="3"/>
  <c r="I344" i="3"/>
  <c r="I343" i="3"/>
  <c r="I342" i="3"/>
  <c r="I341" i="3"/>
  <c r="I340" i="3"/>
  <c r="I122" i="3"/>
  <c r="I121" i="3"/>
  <c r="I120" i="3"/>
  <c r="I119" i="3"/>
  <c r="I118" i="3"/>
  <c r="I117" i="3"/>
  <c r="I116" i="3"/>
  <c r="I115" i="3"/>
  <c r="I114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853" i="3"/>
  <c r="I852" i="3"/>
  <c r="I851" i="3"/>
  <c r="I850" i="3"/>
  <c r="I845" i="3"/>
  <c r="I844" i="3"/>
  <c r="I843" i="3"/>
  <c r="I842" i="3"/>
  <c r="I826" i="3"/>
  <c r="I818" i="3"/>
  <c r="I815" i="3"/>
  <c r="I808" i="3"/>
  <c r="I801" i="3"/>
  <c r="I791" i="3"/>
  <c r="I784" i="3"/>
  <c r="I778" i="3"/>
  <c r="I769" i="3"/>
  <c r="I767" i="3"/>
  <c r="I759" i="3"/>
  <c r="I754" i="3"/>
  <c r="I746" i="3"/>
  <c r="I743" i="3"/>
  <c r="I735" i="3"/>
  <c r="I730" i="3"/>
  <c r="I721" i="3"/>
  <c r="I719" i="3"/>
  <c r="I711" i="3"/>
  <c r="I591" i="3"/>
  <c r="I590" i="3"/>
  <c r="I589" i="3"/>
  <c r="I588" i="3"/>
  <c r="I587" i="3"/>
  <c r="I586" i="3"/>
  <c r="I585" i="3"/>
  <c r="I584" i="3"/>
  <c r="I583" i="3"/>
  <c r="I582" i="3"/>
  <c r="I567" i="3"/>
  <c r="I566" i="3"/>
  <c r="I565" i="3"/>
  <c r="I564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033" i="3"/>
  <c r="I1034" i="3"/>
  <c r="I825" i="3"/>
  <c r="I753" i="3"/>
  <c r="I561" i="3"/>
  <c r="I546" i="3"/>
  <c r="I364" i="3"/>
  <c r="I349" i="3"/>
  <c r="I138" i="3"/>
  <c r="I137" i="3"/>
  <c r="I1035" i="3"/>
  <c r="I1036" i="3"/>
  <c r="I1037" i="3"/>
  <c r="I1038" i="3"/>
  <c r="I1039" i="3"/>
  <c r="I1040" i="3"/>
  <c r="I1041" i="3"/>
  <c r="I1074" i="3"/>
  <c r="I1075" i="3"/>
  <c r="I1076" i="3"/>
  <c r="I1077" i="3"/>
  <c r="I1078" i="3"/>
  <c r="I1079" i="3"/>
  <c r="I1080" i="3"/>
  <c r="I184" i="3"/>
  <c r="I183" i="3"/>
  <c r="I182" i="3"/>
  <c r="I181" i="3"/>
  <c r="I180" i="3"/>
  <c r="I179" i="3"/>
  <c r="I178" i="3"/>
  <c r="I145" i="3"/>
  <c r="I144" i="3"/>
  <c r="I143" i="3"/>
  <c r="I142" i="3"/>
  <c r="I141" i="3"/>
  <c r="I140" i="3"/>
  <c r="I139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849" i="3"/>
  <c r="I848" i="3"/>
  <c r="I847" i="3"/>
  <c r="I846" i="3"/>
  <c r="I819" i="3"/>
  <c r="I809" i="3"/>
  <c r="I794" i="3"/>
  <c r="I785" i="3"/>
  <c r="I771" i="3"/>
  <c r="I760" i="3"/>
  <c r="I747" i="3"/>
  <c r="I736" i="3"/>
  <c r="I723" i="3"/>
  <c r="I71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056" i="3"/>
  <c r="I1057" i="3"/>
  <c r="I745" i="3"/>
  <c r="I722" i="3"/>
  <c r="I563" i="3"/>
  <c r="I562" i="3"/>
  <c r="I366" i="3"/>
  <c r="I365" i="3"/>
  <c r="I161" i="3"/>
  <c r="I160" i="3"/>
  <c r="I1072" i="3"/>
  <c r="I1073" i="3"/>
  <c r="I1086" i="3"/>
  <c r="I1088" i="3"/>
  <c r="I1089" i="3"/>
  <c r="I1091" i="3"/>
  <c r="I1092" i="3"/>
  <c r="I1093" i="3"/>
  <c r="I1094" i="3"/>
  <c r="I1095" i="3"/>
  <c r="I1096" i="3"/>
  <c r="I1097" i="3"/>
  <c r="I1098" i="3"/>
  <c r="I1099" i="3"/>
  <c r="I859" i="3"/>
  <c r="I858" i="3"/>
  <c r="I857" i="3"/>
  <c r="I856" i="3"/>
  <c r="I824" i="3"/>
  <c r="I813" i="3"/>
  <c r="I799" i="3"/>
  <c r="I790" i="3"/>
  <c r="I776" i="3"/>
  <c r="I766" i="3"/>
  <c r="I752" i="3"/>
  <c r="I742" i="3"/>
  <c r="I728" i="3"/>
  <c r="I718" i="3"/>
  <c r="I607" i="3"/>
  <c r="I606" i="3"/>
  <c r="I605" i="3"/>
  <c r="I604" i="3"/>
  <c r="I603" i="3"/>
  <c r="I602" i="3"/>
  <c r="I601" i="3"/>
  <c r="I600" i="3"/>
  <c r="I599" i="3"/>
  <c r="I597" i="3"/>
  <c r="I596" i="3"/>
  <c r="I594" i="3"/>
  <c r="I593" i="3"/>
  <c r="I592" i="3"/>
  <c r="I414" i="3"/>
  <c r="I413" i="3"/>
  <c r="I412" i="3"/>
  <c r="I411" i="3"/>
  <c r="I410" i="3"/>
  <c r="I409" i="3"/>
  <c r="I408" i="3"/>
  <c r="I407" i="3"/>
  <c r="I406" i="3"/>
  <c r="I404" i="3"/>
  <c r="I403" i="3"/>
  <c r="I401" i="3"/>
  <c r="I400" i="3"/>
  <c r="I399" i="3"/>
  <c r="I203" i="3"/>
  <c r="I202" i="3"/>
  <c r="I201" i="3"/>
  <c r="I200" i="3"/>
  <c r="I199" i="3"/>
  <c r="I198" i="3"/>
  <c r="I197" i="3"/>
  <c r="I196" i="3"/>
  <c r="I195" i="3"/>
  <c r="I193" i="3"/>
  <c r="I192" i="3"/>
  <c r="I190" i="3"/>
  <c r="I177" i="3"/>
  <c r="I176" i="3"/>
  <c r="I1217" i="3"/>
  <c r="I1216" i="3"/>
  <c r="I1215" i="3"/>
  <c r="I1214" i="3"/>
  <c r="I1081" i="3"/>
  <c r="I1082" i="3"/>
  <c r="I1083" i="3"/>
  <c r="I1084" i="3"/>
  <c r="I188" i="3"/>
  <c r="I187" i="3"/>
  <c r="I186" i="3"/>
  <c r="I185" i="3"/>
  <c r="I1085" i="3"/>
  <c r="I1087" i="3"/>
  <c r="I1090" i="3"/>
  <c r="I823" i="3"/>
  <c r="I751" i="3"/>
  <c r="I727" i="3"/>
  <c r="I608" i="3"/>
  <c r="I598" i="3"/>
  <c r="I595" i="3"/>
  <c r="I415" i="3"/>
  <c r="I405" i="3"/>
  <c r="I402" i="3"/>
  <c r="I194" i="3"/>
  <c r="I191" i="3"/>
  <c r="I189" i="3"/>
  <c r="I1100" i="3"/>
  <c r="I1101" i="3"/>
  <c r="I1102" i="3"/>
  <c r="I1103" i="3"/>
  <c r="I861" i="3"/>
  <c r="I860" i="3"/>
  <c r="I803" i="3"/>
  <c r="I780" i="3"/>
  <c r="I616" i="3"/>
  <c r="I615" i="3"/>
  <c r="I614" i="3"/>
  <c r="I613" i="3"/>
  <c r="I419" i="3"/>
  <c r="I418" i="3"/>
  <c r="I417" i="3"/>
  <c r="I416" i="3"/>
  <c r="I207" i="3"/>
  <c r="I206" i="3"/>
  <c r="I205" i="3"/>
  <c r="I204" i="3"/>
  <c r="I1209" i="3"/>
  <c r="I1104" i="3"/>
  <c r="I1113" i="3"/>
  <c r="I1114" i="3"/>
  <c r="I1115" i="3"/>
  <c r="I1122" i="3"/>
  <c r="I226" i="3"/>
  <c r="I219" i="3"/>
  <c r="I218" i="3"/>
  <c r="I217" i="3"/>
  <c r="I208" i="3"/>
  <c r="I1105" i="3"/>
  <c r="I1106" i="3"/>
  <c r="I1107" i="3"/>
  <c r="I1108" i="3"/>
  <c r="I1109" i="3"/>
  <c r="I1110" i="3"/>
  <c r="I1111" i="3"/>
  <c r="I1112" i="3"/>
  <c r="I1118" i="3"/>
  <c r="I1119" i="3"/>
  <c r="I1120" i="3"/>
  <c r="I1121" i="3"/>
  <c r="I865" i="3"/>
  <c r="I864" i="3"/>
  <c r="I863" i="3"/>
  <c r="I862" i="3"/>
  <c r="I822" i="3"/>
  <c r="I811" i="3"/>
  <c r="I797" i="3"/>
  <c r="I788" i="3"/>
  <c r="I774" i="3"/>
  <c r="I763" i="3"/>
  <c r="I750" i="3"/>
  <c r="I739" i="3"/>
  <c r="I726" i="3"/>
  <c r="I715" i="3"/>
  <c r="I710" i="3"/>
  <c r="I709" i="3"/>
  <c r="I708" i="3"/>
  <c r="I707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23" i="3"/>
  <c r="I1126" i="3"/>
  <c r="I1127" i="3"/>
  <c r="I828" i="3"/>
  <c r="I804" i="3"/>
  <c r="I781" i="3"/>
  <c r="I756" i="3"/>
  <c r="I732" i="3"/>
  <c r="I651" i="3"/>
  <c r="I650" i="3"/>
  <c r="I649" i="3"/>
  <c r="I648" i="3"/>
  <c r="I646" i="3"/>
  <c r="I456" i="3"/>
  <c r="I455" i="3"/>
  <c r="I436" i="3"/>
  <c r="I231" i="3"/>
  <c r="I230" i="3"/>
  <c r="I227" i="3"/>
  <c r="I1124" i="3"/>
  <c r="I1125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867" i="3"/>
  <c r="I866" i="3"/>
  <c r="I835" i="3"/>
  <c r="I834" i="3"/>
  <c r="I833" i="3"/>
  <c r="I832" i="3"/>
  <c r="I831" i="3"/>
  <c r="I706" i="3"/>
  <c r="I705" i="3"/>
  <c r="I704" i="3"/>
  <c r="I703" i="3"/>
  <c r="I702" i="3"/>
  <c r="I701" i="3"/>
  <c r="I700" i="3"/>
  <c r="I657" i="3"/>
  <c r="I656" i="3"/>
  <c r="I655" i="3"/>
  <c r="I654" i="3"/>
  <c r="I653" i="3"/>
  <c r="I652" i="3"/>
  <c r="I647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38" i="3"/>
  <c r="I437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29" i="3"/>
  <c r="I228" i="3"/>
  <c r="I1140" i="3"/>
  <c r="I1141" i="3"/>
  <c r="I1142" i="3"/>
  <c r="I1143" i="3"/>
  <c r="I1144" i="3"/>
  <c r="I1145" i="3"/>
  <c r="I1146" i="3"/>
  <c r="I1147" i="3"/>
  <c r="I869" i="3"/>
  <c r="I868" i="3"/>
  <c r="I830" i="3"/>
  <c r="I806" i="3"/>
  <c r="I783" i="3"/>
  <c r="I758" i="3"/>
  <c r="I734" i="3"/>
  <c r="I645" i="3"/>
  <c r="I644" i="3"/>
  <c r="I643" i="3"/>
  <c r="I641" i="3"/>
  <c r="I639" i="3"/>
  <c r="I637" i="3"/>
  <c r="I635" i="3"/>
  <c r="I454" i="3"/>
  <c r="I452" i="3"/>
  <c r="I450" i="3"/>
  <c r="I449" i="3"/>
  <c r="I446" i="3"/>
  <c r="I444" i="3"/>
  <c r="I442" i="3"/>
  <c r="I440" i="3"/>
  <c r="I259" i="3"/>
  <c r="I252" i="3"/>
  <c r="I251" i="3"/>
  <c r="I250" i="3"/>
  <c r="I247" i="3"/>
  <c r="I246" i="3"/>
  <c r="I245" i="3"/>
  <c r="I244" i="3"/>
  <c r="I829" i="3"/>
  <c r="I805" i="3"/>
  <c r="I782" i="3"/>
  <c r="I757" i="3"/>
  <c r="I733" i="3"/>
  <c r="I642" i="3"/>
  <c r="I640" i="3"/>
  <c r="I638" i="3"/>
  <c r="I636" i="3"/>
  <c r="I634" i="3"/>
  <c r="I453" i="3"/>
  <c r="I451" i="3"/>
  <c r="I448" i="3"/>
  <c r="I447" i="3"/>
  <c r="I445" i="3"/>
  <c r="I443" i="3"/>
  <c r="I441" i="3"/>
  <c r="I439" i="3"/>
  <c r="I258" i="3"/>
  <c r="I257" i="3"/>
  <c r="I256" i="3"/>
  <c r="I255" i="3"/>
  <c r="I254" i="3"/>
  <c r="I253" i="3"/>
  <c r="I249" i="3"/>
  <c r="I2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873" i="3"/>
  <c r="I872" i="3"/>
  <c r="I871" i="3"/>
  <c r="I870" i="3"/>
  <c r="I827" i="3"/>
  <c r="I816" i="3"/>
  <c r="I802" i="3"/>
  <c r="I792" i="3"/>
  <c r="I779" i="3"/>
  <c r="I768" i="3"/>
  <c r="I755" i="3"/>
  <c r="I744" i="3"/>
  <c r="I731" i="3"/>
  <c r="I720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204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1176" i="3"/>
  <c r="I1177" i="3"/>
  <c r="I1178" i="3"/>
  <c r="I1179" i="3"/>
  <c r="I1180" i="3"/>
  <c r="I1181" i="3"/>
  <c r="I1188" i="3"/>
  <c r="I1189" i="3"/>
  <c r="I1190" i="3"/>
  <c r="I1191" i="3"/>
  <c r="I1192" i="3"/>
  <c r="I1193" i="3"/>
  <c r="I1194" i="3"/>
  <c r="I1195" i="3"/>
  <c r="I877" i="3"/>
  <c r="I876" i="3"/>
  <c r="I875" i="3"/>
  <c r="I874" i="3"/>
  <c r="I820" i="3"/>
  <c r="I810" i="3"/>
  <c r="I795" i="3"/>
  <c r="I786" i="3"/>
  <c r="I772" i="3"/>
  <c r="I761" i="3"/>
  <c r="I748" i="3"/>
  <c r="I737" i="3"/>
  <c r="I724" i="3"/>
  <c r="I713" i="3"/>
  <c r="I691" i="3"/>
  <c r="I690" i="3"/>
  <c r="I689" i="3"/>
  <c r="I688" i="3"/>
  <c r="I687" i="3"/>
  <c r="I686" i="3"/>
  <c r="I685" i="3"/>
  <c r="I684" i="3"/>
  <c r="I677" i="3"/>
  <c r="I676" i="3"/>
  <c r="I675" i="3"/>
  <c r="I674" i="3"/>
  <c r="I673" i="3"/>
  <c r="I672" i="3"/>
  <c r="I502" i="3"/>
  <c r="I501" i="3"/>
  <c r="I500" i="3"/>
  <c r="I499" i="3"/>
  <c r="I498" i="3"/>
  <c r="I497" i="3"/>
  <c r="I496" i="3"/>
  <c r="I495" i="3"/>
  <c r="I488" i="3"/>
  <c r="I487" i="3"/>
  <c r="I486" i="3"/>
  <c r="I485" i="3"/>
  <c r="I484" i="3"/>
  <c r="I483" i="3"/>
  <c r="I307" i="3"/>
  <c r="I306" i="3"/>
  <c r="I305" i="3"/>
  <c r="I304" i="3"/>
  <c r="I303" i="3"/>
  <c r="I302" i="3"/>
  <c r="I301" i="3"/>
  <c r="I300" i="3"/>
  <c r="I293" i="3"/>
  <c r="I292" i="3"/>
  <c r="I291" i="3"/>
  <c r="I290" i="3"/>
  <c r="I289" i="3"/>
  <c r="I288" i="3"/>
  <c r="I1182" i="3"/>
  <c r="I1183" i="3"/>
  <c r="I1184" i="3"/>
  <c r="I1185" i="3"/>
  <c r="I1186" i="3"/>
  <c r="I1187" i="3"/>
  <c r="I1196" i="3"/>
  <c r="I1197" i="3"/>
  <c r="I1198" i="3"/>
  <c r="I1199" i="3"/>
  <c r="I1200" i="3"/>
  <c r="I1201" i="3"/>
  <c r="I1202" i="3"/>
  <c r="I1203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699" i="3"/>
  <c r="I698" i="3"/>
  <c r="I697" i="3"/>
  <c r="I696" i="3"/>
  <c r="I695" i="3"/>
  <c r="I694" i="3"/>
  <c r="I693" i="3"/>
  <c r="I692" i="3"/>
  <c r="I683" i="3"/>
  <c r="I682" i="3"/>
  <c r="I681" i="3"/>
  <c r="I680" i="3"/>
  <c r="I679" i="3"/>
  <c r="I678" i="3"/>
  <c r="I510" i="3"/>
  <c r="I509" i="3"/>
  <c r="I508" i="3"/>
  <c r="I507" i="3"/>
  <c r="I506" i="3"/>
  <c r="I505" i="3"/>
  <c r="I504" i="3"/>
  <c r="I503" i="3"/>
  <c r="I494" i="3"/>
  <c r="I493" i="3"/>
  <c r="I492" i="3"/>
  <c r="I491" i="3"/>
  <c r="I490" i="3"/>
  <c r="I489" i="3"/>
  <c r="I315" i="3"/>
  <c r="I314" i="3"/>
  <c r="I313" i="3"/>
  <c r="I312" i="3"/>
  <c r="I311" i="3"/>
  <c r="I310" i="3"/>
  <c r="I309" i="3"/>
  <c r="I308" i="3"/>
  <c r="I299" i="3"/>
  <c r="I298" i="3"/>
  <c r="I297" i="3"/>
  <c r="I296" i="3"/>
  <c r="I295" i="3"/>
  <c r="I294" i="3"/>
</calcChain>
</file>

<file path=xl/sharedStrings.xml><?xml version="1.0" encoding="utf-8"?>
<sst xmlns="http://schemas.openxmlformats.org/spreadsheetml/2006/main" count="6682" uniqueCount="145">
  <si>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</si>
  <si>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</si>
  <si>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</si>
  <si>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</si>
  <si>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</si>
  <si>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</si>
  <si>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</si>
  <si>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</si>
  <si>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</si>
  <si>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</si>
  <si>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</si>
  <si>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</si>
  <si>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</si>
  <si>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</si>
  <si>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</si>
  <si>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</si>
  <si>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</si>
  <si>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</si>
  <si>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</si>
  <si>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</si>
  <si>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</si>
  <si>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</si>
  <si>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</si>
  <si>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</si>
  <si>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</si>
  <si>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</si>
  <si>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</si>
  <si>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</si>
  <si>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</si>
  <si>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</si>
  <si>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</si>
  <si>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</si>
  <si>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</si>
  <si>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</si>
  <si>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</si>
  <si>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</si>
  <si>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</si>
  <si>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</si>
  <si>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</si>
  <si>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</si>
  <si>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</si>
  <si>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</si>
  <si>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</si>
  <si>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</si>
  <si>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</si>
  <si>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</si>
  <si>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</si>
  <si>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</si>
  <si>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</si>
  <si>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</si>
  <si>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</si>
  <si>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</si>
  <si>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</si>
  <si>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</si>
  <si>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</si>
  <si>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</si>
  <si>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</si>
  <si>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</si>
  <si>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</si>
  <si>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</si>
  <si>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</si>
  <si>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</si>
  <si>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</si>
  <si>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</si>
  <si>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</si>
  <si>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</si>
  <si>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</si>
  <si>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</si>
  <si>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</si>
  <si>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</si>
  <si>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</si>
  <si>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</si>
  <si>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</si>
  <si>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</si>
  <si>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</si>
  <si>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</si>
  <si>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</si>
  <si>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</si>
  <si>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</si>
  <si>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</si>
  <si>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</si>
  <si>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</si>
  <si>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</si>
  <si>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</si>
  <si>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</si>
  <si>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</si>
  <si>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</si>
  <si>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</si>
  <si>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</si>
  <si>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</si>
  <si>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</si>
  <si>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</si>
  <si>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</si>
  <si>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</si>
  <si>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</si>
  <si>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</si>
  <si>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</si>
  <si>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</si>
  <si>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</si>
  <si>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</si>
  <si>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</si>
  <si>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</si>
  <si>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</si>
  <si>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</si>
  <si>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</si>
  <si>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</si>
  <si>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</si>
  <si>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</si>
  <si>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</si>
  <si>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</si>
  <si>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</si>
  <si>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</si>
  <si>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</si>
  <si>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</si>
  <si>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</si>
  <si>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</si>
  <si>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</si>
  <si>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</si>
  <si>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</si>
  <si>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</si>
  <si>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</si>
  <si>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</si>
  <si>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</si>
  <si>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AP269.png</t>
  </si>
  <si>
    <t>SKZERO269.png</t>
  </si>
  <si>
    <t>SK269.png</t>
  </si>
  <si>
    <t>BC269.png</t>
  </si>
  <si>
    <t>BUD269.png</t>
  </si>
  <si>
    <t>BC0350.png</t>
  </si>
  <si>
    <t>SKZERO350.png</t>
  </si>
  <si>
    <t>ORI269.png</t>
  </si>
  <si>
    <t>STE269.png</t>
  </si>
  <si>
    <t>BUDZERO350.png</t>
  </si>
  <si>
    <t>CORCERO350.png</t>
  </si>
  <si>
    <t>MICLN.png</t>
  </si>
  <si>
    <t>STELN.png</t>
  </si>
  <si>
    <t>CORLN.png</t>
  </si>
  <si>
    <t>CORCEROLN.png</t>
  </si>
  <si>
    <t>Teste</t>
  </si>
  <si>
    <t>STEPG269</t>
  </si>
  <si>
    <t>STE PG 269</t>
  </si>
  <si>
    <t>STE PG 350</t>
  </si>
  <si>
    <t>STEPG350</t>
  </si>
  <si>
    <t>STEPG350.png</t>
  </si>
  <si>
    <t>STEPG269.png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</si>
</sst>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51"/>
  <sheetViews>
    <sheetView topLeftCell="A37" workbookViewId="0">
      <selection activeCell="D50" sqref="D50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67</v>
      </c>
      <c r="C2" t="str">
        <f>SUBSTITUTE(B2," ","")</f>
        <v>AP269</v>
      </c>
      <c r="D2" t="str">
        <f t="shared" ref="D2:D49" si="0">C2&amp;".png"</f>
        <v>AP269.png</v>
      </c>
    </row>
    <row r="3" spans="1:4" x14ac:dyDescent="0.25">
      <c r="A3" t="s">
        <v>62</v>
      </c>
      <c r="B3" t="s">
        <v>115</v>
      </c>
      <c r="C3" t="str">
        <f>SUBSTITUTE(B3," ","")</f>
        <v>AP269MP</v>
      </c>
      <c r="D3" t="str">
        <f t="shared" si="0"/>
        <v>AP269MP.png</v>
      </c>
    </row>
    <row r="4" spans="1:4" x14ac:dyDescent="0.25">
      <c r="A4" t="s">
        <v>62</v>
      </c>
      <c r="B4" t="s">
        <v>73</v>
      </c>
      <c r="C4" t="str">
        <f>SUBSTITUTE(B4," ","")</f>
        <v>AP350</v>
      </c>
      <c r="D4" t="str">
        <f t="shared" si="0"/>
        <v>AP350.png</v>
      </c>
    </row>
    <row r="5" spans="1:4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70</v>
      </c>
      <c r="C6" t="str">
        <f t="shared" ref="C6:C15" si="1">SUBSTITUTE(B6," ","")</f>
        <v>BC0350</v>
      </c>
      <c r="D6" t="str">
        <f t="shared" si="0"/>
        <v>BC0350.png</v>
      </c>
    </row>
    <row r="7" spans="1:4" x14ac:dyDescent="0.25">
      <c r="A7" t="s">
        <v>62</v>
      </c>
      <c r="B7" t="s">
        <v>68</v>
      </c>
      <c r="C7" t="str">
        <f t="shared" si="1"/>
        <v>BC269</v>
      </c>
      <c r="D7" t="str">
        <f t="shared" si="0"/>
        <v>BC269.png</v>
      </c>
    </row>
    <row r="8" spans="1:4" x14ac:dyDescent="0.25">
      <c r="A8" t="s">
        <v>62</v>
      </c>
      <c r="B8" t="s">
        <v>119</v>
      </c>
      <c r="C8" t="str">
        <f t="shared" si="1"/>
        <v>BC269MP</v>
      </c>
      <c r="D8" t="str">
        <f t="shared" si="0"/>
        <v>BC269MP.png</v>
      </c>
    </row>
    <row r="9" spans="1:4" x14ac:dyDescent="0.25">
      <c r="A9" t="s">
        <v>62</v>
      </c>
      <c r="B9" t="s">
        <v>71</v>
      </c>
      <c r="C9" t="str">
        <f t="shared" si="1"/>
        <v>BC350</v>
      </c>
      <c r="D9" t="str">
        <f t="shared" si="0"/>
        <v>BC350.png</v>
      </c>
    </row>
    <row r="10" spans="1:4" x14ac:dyDescent="0.25">
      <c r="A10" s="2" t="s">
        <v>104</v>
      </c>
      <c r="B10" s="2" t="s">
        <v>107</v>
      </c>
      <c r="C10" t="str">
        <f t="shared" si="1"/>
        <v>BEATSLN</v>
      </c>
      <c r="D10" t="str">
        <f t="shared" si="0"/>
        <v>BEATSLN.png</v>
      </c>
    </row>
    <row r="11" spans="1:4" x14ac:dyDescent="0.25">
      <c r="A11" s="2" t="s">
        <v>104</v>
      </c>
      <c r="B11" s="2" t="s">
        <v>106</v>
      </c>
      <c r="C11" t="str">
        <f t="shared" si="1"/>
        <v>BEATSLT</v>
      </c>
      <c r="D11" t="str">
        <f t="shared" si="0"/>
        <v>BEATSLT.png</v>
      </c>
    </row>
    <row r="12" spans="1:4" x14ac:dyDescent="0.25">
      <c r="A12" t="s">
        <v>62</v>
      </c>
      <c r="B12" t="s">
        <v>69</v>
      </c>
      <c r="C12" t="str">
        <f t="shared" si="1"/>
        <v>BUD269</v>
      </c>
      <c r="D12" t="str">
        <f t="shared" si="0"/>
        <v>BUD269.png</v>
      </c>
    </row>
    <row r="13" spans="1:4" x14ac:dyDescent="0.25">
      <c r="A13" t="s">
        <v>62</v>
      </c>
      <c r="B13" t="s">
        <v>117</v>
      </c>
      <c r="C13" t="str">
        <f t="shared" si="1"/>
        <v>BUD269MP</v>
      </c>
      <c r="D13" t="str">
        <f t="shared" si="0"/>
        <v>BUD269MP.png</v>
      </c>
    </row>
    <row r="14" spans="1:4" x14ac:dyDescent="0.25">
      <c r="A14" t="s">
        <v>62</v>
      </c>
      <c r="B14" t="s">
        <v>76</v>
      </c>
      <c r="C14" t="str">
        <f t="shared" si="1"/>
        <v>BUD350</v>
      </c>
      <c r="D14" t="str">
        <f t="shared" si="0"/>
        <v>BUD350.png</v>
      </c>
    </row>
    <row r="15" spans="1:4" x14ac:dyDescent="0.25">
      <c r="A15" t="s">
        <v>62</v>
      </c>
      <c r="B15" t="s">
        <v>82</v>
      </c>
      <c r="C15" t="str">
        <f t="shared" si="1"/>
        <v>BUDLN</v>
      </c>
      <c r="D15" t="str">
        <f t="shared" si="0"/>
        <v>BUDLN.png</v>
      </c>
    </row>
    <row r="16" spans="1:4" x14ac:dyDescent="0.25">
      <c r="A16" t="s">
        <v>62</v>
      </c>
      <c r="B16" t="s">
        <v>74</v>
      </c>
      <c r="C16" t="s">
        <v>94</v>
      </c>
      <c r="D16" t="str">
        <f t="shared" si="0"/>
        <v>BUDZERO350.png</v>
      </c>
    </row>
    <row r="17" spans="1:4" x14ac:dyDescent="0.25">
      <c r="A17" t="s">
        <v>62</v>
      </c>
      <c r="B17" t="s">
        <v>81</v>
      </c>
      <c r="C17" t="s">
        <v>91</v>
      </c>
      <c r="D17" t="str">
        <f t="shared" si="0"/>
        <v>BUDZEROLN.png</v>
      </c>
    </row>
    <row r="18" spans="1:4" x14ac:dyDescent="0.25">
      <c r="A18" t="s">
        <v>62</v>
      </c>
      <c r="B18" t="s">
        <v>77</v>
      </c>
      <c r="C18" t="str">
        <f>SUBSTITUTE(B18," ","")</f>
        <v>COR269</v>
      </c>
      <c r="D18" t="str">
        <f t="shared" si="0"/>
        <v>COR269.png</v>
      </c>
    </row>
    <row r="19" spans="1:4" x14ac:dyDescent="0.25">
      <c r="A19" t="s">
        <v>62</v>
      </c>
      <c r="B19" t="s">
        <v>79</v>
      </c>
      <c r="C19" t="str">
        <f>SUBSTITUTE(B19," ","")</f>
        <v>COR350</v>
      </c>
      <c r="D19" t="str">
        <f t="shared" si="0"/>
        <v>COR350.png</v>
      </c>
    </row>
    <row r="20" spans="1:4" x14ac:dyDescent="0.25">
      <c r="A20" t="s">
        <v>62</v>
      </c>
      <c r="B20" t="s">
        <v>80</v>
      </c>
      <c r="C20" t="s">
        <v>93</v>
      </c>
      <c r="D20" t="str">
        <f t="shared" si="0"/>
        <v>CORCERO350.png</v>
      </c>
    </row>
    <row r="21" spans="1:4" x14ac:dyDescent="0.25">
      <c r="A21" t="s">
        <v>62</v>
      </c>
      <c r="B21" t="s">
        <v>86</v>
      </c>
      <c r="C21" t="s">
        <v>92</v>
      </c>
      <c r="D21" t="str">
        <f t="shared" si="0"/>
        <v>CORCEROLN.png</v>
      </c>
    </row>
    <row r="22" spans="1:4" x14ac:dyDescent="0.25">
      <c r="A22" t="s">
        <v>62</v>
      </c>
      <c r="B22" t="s">
        <v>85</v>
      </c>
      <c r="C22" t="str">
        <f>SUBSTITUTE(B22," ","")</f>
        <v>CORLN</v>
      </c>
      <c r="D22" t="str">
        <f t="shared" si="0"/>
        <v>CORLN.png</v>
      </c>
    </row>
    <row r="23" spans="1:4" x14ac:dyDescent="0.25">
      <c r="A23" s="2" t="s">
        <v>104</v>
      </c>
      <c r="B23" s="2" t="s">
        <v>108</v>
      </c>
      <c r="C23" t="str">
        <f>SUBSTITUTE(B23," ","")</f>
        <v>FF350</v>
      </c>
      <c r="D23" t="str">
        <f t="shared" si="0"/>
        <v>FF350.png</v>
      </c>
    </row>
    <row r="24" spans="1:4" x14ac:dyDescent="0.25">
      <c r="A24" s="2" t="s">
        <v>104</v>
      </c>
      <c r="B24" s="2" t="s">
        <v>109</v>
      </c>
      <c r="C24" t="str">
        <f>SUBSTITUTE(B24," ","")</f>
        <v>FFLN</v>
      </c>
      <c r="D24" t="str">
        <f t="shared" si="0"/>
        <v>FFLN.png</v>
      </c>
    </row>
    <row r="25" spans="1:4" x14ac:dyDescent="0.25">
      <c r="A25" t="s">
        <v>61</v>
      </c>
      <c r="B25" t="s">
        <v>40</v>
      </c>
      <c r="C25" t="s">
        <v>51</v>
      </c>
      <c r="D25" t="str">
        <f t="shared" si="0"/>
        <v>GCA269.png</v>
      </c>
    </row>
    <row r="26" spans="1:4" x14ac:dyDescent="0.25">
      <c r="A26" t="s">
        <v>61</v>
      </c>
      <c r="B26" t="s">
        <v>38</v>
      </c>
      <c r="C26" t="s">
        <v>50</v>
      </c>
      <c r="D26" t="str">
        <f t="shared" si="0"/>
        <v>GCA350.png</v>
      </c>
    </row>
    <row r="27" spans="1:4" x14ac:dyDescent="0.25">
      <c r="A27" t="s">
        <v>61</v>
      </c>
      <c r="B27" t="s">
        <v>32</v>
      </c>
      <c r="C27" t="s">
        <v>48</v>
      </c>
      <c r="D27" t="str">
        <f t="shared" si="0"/>
        <v>GCAP1,5.png</v>
      </c>
    </row>
    <row r="28" spans="1:4" x14ac:dyDescent="0.25">
      <c r="A28" t="s">
        <v>61</v>
      </c>
      <c r="B28" t="s">
        <v>31</v>
      </c>
      <c r="C28" t="s">
        <v>43</v>
      </c>
      <c r="D28" t="str">
        <f t="shared" si="0"/>
        <v>GCAP1.png</v>
      </c>
    </row>
    <row r="29" spans="1:4" x14ac:dyDescent="0.25">
      <c r="A29" t="s">
        <v>61</v>
      </c>
      <c r="B29" t="s">
        <v>37</v>
      </c>
      <c r="C29" t="s">
        <v>47</v>
      </c>
      <c r="D29" t="str">
        <f t="shared" si="0"/>
        <v>GCAP2.png</v>
      </c>
    </row>
    <row r="30" spans="1:4" x14ac:dyDescent="0.25">
      <c r="A30" t="s">
        <v>61</v>
      </c>
      <c r="B30" t="s">
        <v>42</v>
      </c>
      <c r="C30" t="s">
        <v>54</v>
      </c>
      <c r="D30" t="str">
        <f t="shared" si="0"/>
        <v>H2OHP1,5.png</v>
      </c>
    </row>
    <row r="31" spans="1:4" x14ac:dyDescent="0.25">
      <c r="A31" t="s">
        <v>61</v>
      </c>
      <c r="B31" t="s">
        <v>35</v>
      </c>
      <c r="C31" t="s">
        <v>49</v>
      </c>
      <c r="D31" t="str">
        <f t="shared" si="0"/>
        <v>H2OHP500.png</v>
      </c>
    </row>
    <row r="32" spans="1:4" x14ac:dyDescent="0.25">
      <c r="A32" s="2" t="s">
        <v>62</v>
      </c>
      <c r="B32" s="2" t="s">
        <v>121</v>
      </c>
      <c r="C32" t="str">
        <f>SUBSTITUTE(B32," ","")</f>
        <v>MIC269</v>
      </c>
      <c r="D32" t="str">
        <f t="shared" si="0"/>
        <v>MIC269.png</v>
      </c>
    </row>
    <row r="33" spans="1:4" x14ac:dyDescent="0.25">
      <c r="A33" t="s">
        <v>62</v>
      </c>
      <c r="B33" t="s">
        <v>78</v>
      </c>
      <c r="C33" t="str">
        <f>SUBSTITUTE(B33," ","")</f>
        <v>MIC350</v>
      </c>
      <c r="D33" t="str">
        <f t="shared" si="0"/>
        <v>MIC350.png</v>
      </c>
    </row>
    <row r="34" spans="1:4" x14ac:dyDescent="0.25">
      <c r="A34" t="s">
        <v>62</v>
      </c>
      <c r="B34" t="s">
        <v>83</v>
      </c>
      <c r="C34" t="str">
        <f>SUBSTITUTE(B34," ","")</f>
        <v>MICLN</v>
      </c>
      <c r="D34" t="str">
        <f t="shared" si="0"/>
        <v>MICLN.png</v>
      </c>
    </row>
    <row r="35" spans="1:4" x14ac:dyDescent="0.25">
      <c r="A35" t="s">
        <v>62</v>
      </c>
      <c r="B35" t="s">
        <v>72</v>
      </c>
      <c r="C35" t="str">
        <f>SUBSTITUTE(B35," ","")</f>
        <v>ORI269</v>
      </c>
      <c r="D35" t="str">
        <f t="shared" si="0"/>
        <v>ORI269.png</v>
      </c>
    </row>
    <row r="36" spans="1:4" x14ac:dyDescent="0.25">
      <c r="A36" t="s">
        <v>62</v>
      </c>
      <c r="B36" t="s">
        <v>118</v>
      </c>
      <c r="C36" t="str">
        <f>SUBSTITUTE(B36," ","")</f>
        <v>ORI269MP</v>
      </c>
      <c r="D36" t="str">
        <f t="shared" si="0"/>
        <v>ORI269MP.png</v>
      </c>
    </row>
    <row r="37" spans="1:4" x14ac:dyDescent="0.25">
      <c r="A37" t="s">
        <v>61</v>
      </c>
      <c r="B37" t="s">
        <v>41</v>
      </c>
      <c r="C37" t="s">
        <v>52</v>
      </c>
      <c r="D37" t="str">
        <f t="shared" si="0"/>
        <v>PC269.png</v>
      </c>
    </row>
    <row r="38" spans="1:4" x14ac:dyDescent="0.25">
      <c r="A38" t="s">
        <v>61</v>
      </c>
      <c r="B38" t="s">
        <v>39</v>
      </c>
      <c r="C38" t="s">
        <v>53</v>
      </c>
      <c r="D38" t="str">
        <f t="shared" si="0"/>
        <v>PCB350.png</v>
      </c>
    </row>
    <row r="39" spans="1:4" x14ac:dyDescent="0.25">
      <c r="A39" t="s">
        <v>61</v>
      </c>
      <c r="B39" t="s">
        <v>33</v>
      </c>
      <c r="C39" t="s">
        <v>44</v>
      </c>
      <c r="D39" t="str">
        <f t="shared" si="0"/>
        <v>PCP2.png</v>
      </c>
    </row>
    <row r="40" spans="1:4" x14ac:dyDescent="0.25">
      <c r="A40" t="s">
        <v>62</v>
      </c>
      <c r="B40" t="s">
        <v>66</v>
      </c>
      <c r="C40" t="str">
        <f t="shared" ref="C40:C48" si="2">SUBSTITUTE(B40," ","")</f>
        <v>SK269</v>
      </c>
      <c r="D40" t="str">
        <f t="shared" si="0"/>
        <v>SK269.png</v>
      </c>
    </row>
    <row r="41" spans="1:4" x14ac:dyDescent="0.25">
      <c r="A41" t="s">
        <v>62</v>
      </c>
      <c r="B41" t="s">
        <v>116</v>
      </c>
      <c r="C41" t="str">
        <f t="shared" si="2"/>
        <v>SK269MP</v>
      </c>
      <c r="D41" t="str">
        <f t="shared" si="0"/>
        <v>SK269MP.png</v>
      </c>
    </row>
    <row r="42" spans="1:4" x14ac:dyDescent="0.25">
      <c r="A42" t="s">
        <v>62</v>
      </c>
      <c r="B42" t="s">
        <v>63</v>
      </c>
      <c r="C42" t="str">
        <f t="shared" si="2"/>
        <v>SKZERO269</v>
      </c>
      <c r="D42" t="str">
        <f t="shared" si="0"/>
        <v>SKZERO269.png</v>
      </c>
    </row>
    <row r="43" spans="1:4" x14ac:dyDescent="0.25">
      <c r="A43" t="s">
        <v>62</v>
      </c>
      <c r="B43" t="s">
        <v>64</v>
      </c>
      <c r="C43" t="str">
        <f t="shared" si="2"/>
        <v>SKZERO350</v>
      </c>
      <c r="D43" t="str">
        <f t="shared" si="0"/>
        <v>SKZERO350.png</v>
      </c>
    </row>
    <row r="44" spans="1:4" x14ac:dyDescent="0.25">
      <c r="A44" t="s">
        <v>62</v>
      </c>
      <c r="B44" t="s">
        <v>100</v>
      </c>
      <c r="C44" t="str">
        <f t="shared" si="2"/>
        <v>SPT269</v>
      </c>
      <c r="D44" t="str">
        <f t="shared" si="0"/>
        <v>SPT269.png</v>
      </c>
    </row>
    <row r="45" spans="1:4" x14ac:dyDescent="0.25">
      <c r="A45" t="s">
        <v>62</v>
      </c>
      <c r="B45" t="s">
        <v>101</v>
      </c>
      <c r="C45" t="str">
        <f t="shared" si="2"/>
        <v>SPT350</v>
      </c>
      <c r="D45" t="str">
        <f t="shared" si="0"/>
        <v>SPT350.png</v>
      </c>
    </row>
    <row r="46" spans="1:4" x14ac:dyDescent="0.25">
      <c r="A46" t="s">
        <v>62</v>
      </c>
      <c r="B46" t="s">
        <v>75</v>
      </c>
      <c r="C46" t="str">
        <f t="shared" si="2"/>
        <v>STE269</v>
      </c>
      <c r="D46" t="str">
        <f t="shared" si="0"/>
        <v>STE269.png</v>
      </c>
    </row>
    <row r="47" spans="1:4" x14ac:dyDescent="0.25">
      <c r="A47" t="s">
        <v>62</v>
      </c>
      <c r="B47" t="s">
        <v>65</v>
      </c>
      <c r="C47" t="str">
        <f t="shared" si="2"/>
        <v>STE350</v>
      </c>
      <c r="D47" t="str">
        <f t="shared" si="0"/>
        <v>STE350.png</v>
      </c>
    </row>
    <row r="48" spans="1:4" x14ac:dyDescent="0.25">
      <c r="A48" t="s">
        <v>62</v>
      </c>
      <c r="B48" t="s">
        <v>84</v>
      </c>
      <c r="C48" t="str">
        <f t="shared" si="2"/>
        <v>STELN</v>
      </c>
      <c r="D48" t="str">
        <f t="shared" si="0"/>
        <v>STELN.png</v>
      </c>
    </row>
    <row r="49" spans="1:4" x14ac:dyDescent="0.25">
      <c r="A49" t="s">
        <v>61</v>
      </c>
      <c r="B49" t="s">
        <v>36</v>
      </c>
      <c r="C49" t="s">
        <v>46</v>
      </c>
      <c r="D49" t="str">
        <f t="shared" si="0"/>
        <v>SUKP2.png</v>
      </c>
    </row>
    <row r="50" spans="1:4" x14ac:dyDescent="0.25">
      <c r="A50" t="s">
        <v>62</v>
      </c>
      <c r="B50" t="s">
        <v>140</v>
      </c>
      <c r="C50" t="s">
        <v>139</v>
      </c>
      <c r="D50" t="str">
        <f t="shared" ref="D50:D51" si="3">C50&amp;".png"</f>
        <v>STEPG269.png</v>
      </c>
    </row>
    <row r="51" spans="1:4" x14ac:dyDescent="0.25">
      <c r="A51" t="s">
        <v>62</v>
      </c>
      <c r="B51" t="s">
        <v>141</v>
      </c>
      <c r="C51" t="s">
        <v>142</v>
      </c>
      <c r="D51" t="str">
        <f t="shared" si="3"/>
        <v>STEPG350.png</v>
      </c>
    </row>
  </sheetData>
  <autoFilter ref="A1:D49" xr:uid="{C0BF5819-473C-445D-A53D-FC51ACB237C6}"/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06" workbookViewId="0">
      <selection activeCell="A82" sqref="A82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49"/>
  <sheetViews>
    <sheetView workbookViewId="0">
      <selection activeCell="C1" sqref="C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239"/>
  <sheetViews>
    <sheetView tabSelected="1" topLeftCell="A1219" workbookViewId="0">
      <selection activeCell="I1231" sqref="I1231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/>
      <c r="B1148" s="2"/>
      <c r="E1148" s="2"/>
      <c r="I1148" s="2"/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25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112</v>
      </c>
      <c r="D1150" t="s">
        <v>26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25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29</v>
      </c>
      <c r="D1152" t="s">
        <v>26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25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87</v>
      </c>
      <c r="D1154" t="s">
        <v>26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25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88</v>
      </c>
      <c r="D1156" t="s">
        <v>26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25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113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90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26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89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90</v>
      </c>
      <c r="D1162" t="s">
        <v>25</v>
      </c>
      <c r="E1162" s="2">
        <v>2</v>
      </c>
      <c r="F1162" t="s">
        <v>83</v>
      </c>
      <c r="G1162">
        <v>6.69</v>
      </c>
      <c r="H1162">
        <v>5.99</v>
      </c>
      <c r="I1162" s="2" t="str">
        <f>_xlfn.XLOOKUP(F1162,DeparaIMG!B:B,DeparaIMG!D:D,,0)</f>
        <v>MICLN.png</v>
      </c>
    </row>
    <row r="1163" spans="1:9" x14ac:dyDescent="0.25">
      <c r="A1163" s="2" t="s">
        <v>98</v>
      </c>
      <c r="B1163" s="2" t="s">
        <v>62</v>
      </c>
      <c r="C1163" t="s">
        <v>113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89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112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29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88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87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90</v>
      </c>
      <c r="D1169" t="s">
        <v>25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113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89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112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29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88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87</v>
      </c>
      <c r="D1175" t="s">
        <v>26</v>
      </c>
      <c r="E1175" s="2">
        <v>1</v>
      </c>
      <c r="F1175" t="s">
        <v>84</v>
      </c>
      <c r="G1175">
        <v>6.99</v>
      </c>
      <c r="H1175">
        <v>6.19</v>
      </c>
      <c r="I1175" s="2" t="str">
        <f>_xlfn.XLOOKUP(F1175,DeparaIMG!B:B,DeparaIMG!D:D,,0)</f>
        <v>STELN.png</v>
      </c>
    </row>
    <row r="1176" spans="1:9" x14ac:dyDescent="0.25">
      <c r="A1176" s="2" t="s">
        <v>98</v>
      </c>
      <c r="B1176" s="2" t="s">
        <v>62</v>
      </c>
      <c r="C1176" t="s">
        <v>88</v>
      </c>
      <c r="D1176" t="s">
        <v>25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113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89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90</v>
      </c>
      <c r="D1179" t="s">
        <v>26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89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90</v>
      </c>
      <c r="D1181" t="s">
        <v>25</v>
      </c>
      <c r="E1181" s="2">
        <v>1</v>
      </c>
      <c r="F1181" t="s">
        <v>85</v>
      </c>
      <c r="G1181">
        <v>7.99</v>
      </c>
      <c r="H1181">
        <v>6.99</v>
      </c>
      <c r="I1181" s="2" t="str">
        <f>_xlfn.XLOOKUP(F1181,DeparaIMG!B:B,DeparaIMG!D:D,,0)</f>
        <v>CORLN.png</v>
      </c>
    </row>
    <row r="1182" spans="1:9" x14ac:dyDescent="0.25">
      <c r="A1182" s="2" t="s">
        <v>98</v>
      </c>
      <c r="B1182" s="2" t="s">
        <v>62</v>
      </c>
      <c r="C1182" t="s">
        <v>88</v>
      </c>
      <c r="D1182" t="s">
        <v>25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113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89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90</v>
      </c>
      <c r="D1185" t="s">
        <v>26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89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90</v>
      </c>
      <c r="D1187" t="s">
        <v>25</v>
      </c>
      <c r="E1187" s="2">
        <v>1</v>
      </c>
      <c r="F1187" t="s">
        <v>86</v>
      </c>
      <c r="G1187">
        <v>7.99</v>
      </c>
      <c r="H1187">
        <v>6.99</v>
      </c>
      <c r="I1187" s="2" t="str">
        <f>_xlfn.XLOOKUP(F1187,DeparaIMG!B:B,DeparaIMG!D:D,,0)</f>
        <v>CORCEROLN.png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25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112</v>
      </c>
      <c r="D1189" t="s">
        <v>26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25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29</v>
      </c>
      <c r="D1191" t="s">
        <v>26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25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87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88</v>
      </c>
      <c r="D1194" t="s">
        <v>26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113</v>
      </c>
      <c r="D1195" t="s">
        <v>25</v>
      </c>
      <c r="E1195" s="2">
        <v>1</v>
      </c>
      <c r="F1195" t="s">
        <v>85</v>
      </c>
      <c r="G1195">
        <v>7.99</v>
      </c>
      <c r="H1195">
        <v>6.99</v>
      </c>
      <c r="I1195" s="2" t="str">
        <f>_xlfn.XLOOKUP(F1195,DeparaIMG!B:B,DeparaIMG!D:D,,0)</f>
        <v>CORLN.png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112</v>
      </c>
      <c r="D1197" t="s">
        <v>26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25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29</v>
      </c>
      <c r="D1199" t="s">
        <v>26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25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87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88</v>
      </c>
      <c r="D1202" t="s">
        <v>26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113</v>
      </c>
      <c r="D1203" t="s">
        <v>25</v>
      </c>
      <c r="E1203" s="2">
        <v>1</v>
      </c>
      <c r="F1203" t="s">
        <v>86</v>
      </c>
      <c r="G1203">
        <v>7.99</v>
      </c>
      <c r="H1203">
        <v>6.99</v>
      </c>
      <c r="I1203" s="2" t="str">
        <f>_xlfn.XLOOKUP(F1203,DeparaIMG!B:B,DeparaIMG!D:D,,0)</f>
        <v>CORCEROLN.png</v>
      </c>
    </row>
    <row r="1204" spans="1:9" x14ac:dyDescent="0.25">
      <c r="A1204" s="2" t="s">
        <v>98</v>
      </c>
      <c r="B1204" s="2" t="s">
        <v>62</v>
      </c>
      <c r="C1204" t="s">
        <v>90</v>
      </c>
      <c r="D1204" t="s">
        <v>26</v>
      </c>
      <c r="E1204" s="2">
        <v>1</v>
      </c>
      <c r="F1204" t="s">
        <v>84</v>
      </c>
      <c r="G1204">
        <v>6.99</v>
      </c>
      <c r="H1204">
        <v>6.19</v>
      </c>
      <c r="I1204" s="2" t="str">
        <f>_xlfn.XLOOKUP(F1204,DeparaIMG!B:B,DeparaIMG!D:D,,0)</f>
        <v>STELN.png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1</v>
      </c>
      <c r="F1205" t="s">
        <v>119</v>
      </c>
      <c r="G1205">
        <v>3.09</v>
      </c>
      <c r="H1205">
        <v>2.79</v>
      </c>
      <c r="I1205" s="2" t="str">
        <f>_xlfn.XLOOKUP(F1205,DeparaIMG!B:B,DeparaIMG!D:D,,0)</f>
        <v>BC269MP.png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2</v>
      </c>
      <c r="F1206" t="s">
        <v>116</v>
      </c>
      <c r="G1206">
        <v>3.09</v>
      </c>
      <c r="H1206">
        <v>2.79</v>
      </c>
      <c r="I1206" s="2" t="str">
        <f>_xlfn.XLOOKUP(F1206,DeparaIMG!B:B,DeparaIMG!D:D,,0)</f>
        <v>SK269MP.png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1</v>
      </c>
      <c r="F1207" t="s">
        <v>117</v>
      </c>
      <c r="G1207">
        <v>3.29</v>
      </c>
      <c r="H1207">
        <v>2.89</v>
      </c>
      <c r="I1207" s="2" t="str">
        <f>_xlfn.XLOOKUP(F1207,DeparaIMG!B:B,DeparaIMG!D:D,,0)</f>
        <v>BUD269MP.png</v>
      </c>
    </row>
    <row r="1208" spans="1:9" x14ac:dyDescent="0.25">
      <c r="A1208" s="2" t="s">
        <v>98</v>
      </c>
      <c r="B1208" s="2" t="s">
        <v>62</v>
      </c>
      <c r="C1208" t="s">
        <v>88</v>
      </c>
      <c r="D1208" t="s">
        <v>26</v>
      </c>
      <c r="E1208" s="2">
        <v>2</v>
      </c>
      <c r="F1208" t="s">
        <v>118</v>
      </c>
      <c r="G1208">
        <v>3.69</v>
      </c>
      <c r="H1208">
        <v>3.39</v>
      </c>
      <c r="I1208" s="2" t="str">
        <f>_xlfn.XLOOKUP(F1208,DeparaIMG!B:B,DeparaIMG!D:D,,0)</f>
        <v>ORI269MP.png</v>
      </c>
    </row>
    <row r="1209" spans="1:9" x14ac:dyDescent="0.25">
      <c r="A1209" s="2" t="s">
        <v>98</v>
      </c>
      <c r="B1209" s="2" t="s">
        <v>62</v>
      </c>
      <c r="C1209" t="s">
        <v>112</v>
      </c>
      <c r="D1209" t="s">
        <v>26</v>
      </c>
      <c r="E1209" s="2">
        <v>2</v>
      </c>
      <c r="F1209" t="s">
        <v>65</v>
      </c>
      <c r="G1209">
        <v>4.49</v>
      </c>
      <c r="H1209">
        <v>4.49</v>
      </c>
      <c r="I1209" s="2" t="str">
        <f>_xlfn.XLOOKUP(F1209,DeparaIMG!B:B,DeparaIMG!D:D,,0)</f>
        <v>STE350.png</v>
      </c>
    </row>
    <row r="1210" spans="1:9" x14ac:dyDescent="0.25">
      <c r="A1210" s="2" t="s">
        <v>98</v>
      </c>
      <c r="B1210" s="2" t="s">
        <v>62</v>
      </c>
      <c r="C1210" t="s">
        <v>87</v>
      </c>
      <c r="D1210" t="s">
        <v>25</v>
      </c>
      <c r="E1210" s="2">
        <v>1</v>
      </c>
      <c r="F1210" t="s">
        <v>69</v>
      </c>
      <c r="G1210">
        <v>3.49</v>
      </c>
      <c r="H1210">
        <v>3.09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88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89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1</v>
      </c>
      <c r="F1213" t="s">
        <v>69</v>
      </c>
      <c r="G1213">
        <v>3.49</v>
      </c>
      <c r="H1213">
        <v>2.99</v>
      </c>
      <c r="I1213" s="2" t="str">
        <f>_xlfn.XLOOKUP(F1213,DeparaIMG!B:B,DeparaIMG!D:D,,0)</f>
        <v>BUD269.png</v>
      </c>
    </row>
    <row r="1214" spans="1:9" x14ac:dyDescent="0.25">
      <c r="A1214" s="2" t="s">
        <v>98</v>
      </c>
      <c r="B1214" s="2" t="s">
        <v>62</v>
      </c>
      <c r="C1214" t="s">
        <v>90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87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88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25</v>
      </c>
      <c r="E1217" s="2">
        <v>2</v>
      </c>
      <c r="F1217" t="s">
        <v>75</v>
      </c>
      <c r="G1217">
        <v>4.29</v>
      </c>
      <c r="H1217">
        <v>3.49</v>
      </c>
      <c r="I1217" s="2" t="str">
        <f>_xlfn.XLOOKUP(F1217,DeparaIMG!B:B,DeparaIMG!D:D,,0)</f>
        <v>STE269.png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119</v>
      </c>
      <c r="G1218">
        <v>2.99</v>
      </c>
      <c r="H1218">
        <v>2.79</v>
      </c>
      <c r="I1218" s="2" t="str">
        <f>_xlfn.XLOOKUP(F1218,DeparaIMG!B:B,DeparaIMG!D:D,,0)</f>
        <v>BC269MP.png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1</v>
      </c>
      <c r="F1219" t="s">
        <v>117</v>
      </c>
      <c r="G1219">
        <v>3.29</v>
      </c>
      <c r="H1219">
        <v>2.89</v>
      </c>
      <c r="I1219" s="2" t="str">
        <f>_xlfn.XLOOKUP(F1219,DeparaIMG!B:B,DeparaIMG!D:D,,0)</f>
        <v>BUD269MP.png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116</v>
      </c>
      <c r="G1220">
        <v>3.19</v>
      </c>
      <c r="H1220">
        <v>2.99</v>
      </c>
      <c r="I1220" s="2" t="str">
        <f>_xlfn.XLOOKUP(F1220,DeparaIMG!B:B,DeparaIMG!D:D,,0)</f>
        <v>SK269MP.png</v>
      </c>
    </row>
    <row r="1221" spans="1:9" x14ac:dyDescent="0.25">
      <c r="A1221" s="2" t="s">
        <v>98</v>
      </c>
      <c r="B1221" s="2" t="s">
        <v>62</v>
      </c>
      <c r="C1221" t="s">
        <v>89</v>
      </c>
      <c r="D1221" t="s">
        <v>26</v>
      </c>
      <c r="E1221" s="2">
        <v>2</v>
      </c>
      <c r="F1221" t="s">
        <v>118</v>
      </c>
      <c r="G1221">
        <v>3.69</v>
      </c>
      <c r="H1221">
        <v>3.39</v>
      </c>
      <c r="I1221" s="2" t="str">
        <f>_xlfn.XLOOKUP(F1221,DeparaIMG!B:B,DeparaIMG!D:D,,0)</f>
        <v>ORI269MP.png</v>
      </c>
    </row>
    <row r="1222" spans="1:9" x14ac:dyDescent="0.25">
      <c r="A1222" s="2" t="s">
        <v>98</v>
      </c>
      <c r="B1222" s="2" t="s">
        <v>62</v>
      </c>
      <c r="C1222" t="s">
        <v>138</v>
      </c>
      <c r="D1222" t="s">
        <v>25</v>
      </c>
      <c r="E1222" s="2">
        <v>1</v>
      </c>
      <c r="F1222" t="s">
        <v>67</v>
      </c>
      <c r="G1222">
        <v>3.29</v>
      </c>
      <c r="H1222">
        <v>2.99</v>
      </c>
      <c r="I1222" s="2" t="s">
        <v>123</v>
      </c>
    </row>
    <row r="1223" spans="1:9" x14ac:dyDescent="0.25">
      <c r="A1223" s="2" t="s">
        <v>98</v>
      </c>
      <c r="B1223" s="2" t="s">
        <v>62</v>
      </c>
      <c r="C1223" t="s">
        <v>138</v>
      </c>
      <c r="D1223" t="s">
        <v>25</v>
      </c>
      <c r="E1223" s="2">
        <v>2</v>
      </c>
      <c r="F1223" t="s">
        <v>63</v>
      </c>
      <c r="G1223">
        <v>3.19</v>
      </c>
      <c r="H1223">
        <v>2.99</v>
      </c>
      <c r="I1223" s="2" t="s">
        <v>124</v>
      </c>
    </row>
    <row r="1224" spans="1:9" x14ac:dyDescent="0.25">
      <c r="A1224" s="2" t="s">
        <v>98</v>
      </c>
      <c r="B1224" s="2" t="s">
        <v>62</v>
      </c>
      <c r="C1224" t="s">
        <v>138</v>
      </c>
      <c r="D1224" t="s">
        <v>25</v>
      </c>
      <c r="E1224" s="2">
        <v>2</v>
      </c>
      <c r="F1224" t="s">
        <v>66</v>
      </c>
      <c r="G1224">
        <v>3.29</v>
      </c>
      <c r="H1224">
        <v>2.99</v>
      </c>
      <c r="I1224" s="2" t="s">
        <v>125</v>
      </c>
    </row>
    <row r="1225" spans="1:9" x14ac:dyDescent="0.25">
      <c r="A1225" s="2" t="s">
        <v>98</v>
      </c>
      <c r="B1225" s="2" t="s">
        <v>62</v>
      </c>
      <c r="C1225" t="s">
        <v>138</v>
      </c>
      <c r="D1225" t="s">
        <v>25</v>
      </c>
      <c r="E1225" s="2">
        <v>1</v>
      </c>
      <c r="F1225" t="s">
        <v>68</v>
      </c>
      <c r="G1225">
        <v>3.29</v>
      </c>
      <c r="H1225">
        <v>2.99</v>
      </c>
      <c r="I1225" s="2" t="s">
        <v>126</v>
      </c>
    </row>
    <row r="1226" spans="1:9" x14ac:dyDescent="0.25">
      <c r="A1226" s="2" t="s">
        <v>98</v>
      </c>
      <c r="B1226" s="2" t="s">
        <v>62</v>
      </c>
      <c r="C1226" t="s">
        <v>138</v>
      </c>
      <c r="D1226" t="s">
        <v>25</v>
      </c>
      <c r="E1226" s="2">
        <v>1</v>
      </c>
      <c r="F1226" t="s">
        <v>70</v>
      </c>
      <c r="G1226">
        <v>3.69</v>
      </c>
      <c r="H1226">
        <v>3.19</v>
      </c>
      <c r="I1226" s="2" t="s">
        <v>128</v>
      </c>
    </row>
    <row r="1227" spans="1:9" x14ac:dyDescent="0.25">
      <c r="A1227" s="2" t="s">
        <v>98</v>
      </c>
      <c r="B1227" s="2" t="s">
        <v>62</v>
      </c>
      <c r="C1227" t="s">
        <v>138</v>
      </c>
      <c r="D1227" t="s">
        <v>25</v>
      </c>
      <c r="E1227" s="2">
        <v>2</v>
      </c>
      <c r="F1227" t="s">
        <v>70</v>
      </c>
      <c r="G1227">
        <v>3.69</v>
      </c>
      <c r="H1227">
        <v>3.19</v>
      </c>
      <c r="I1227" s="2" t="s">
        <v>128</v>
      </c>
    </row>
    <row r="1228" spans="1:9" x14ac:dyDescent="0.25">
      <c r="A1228" s="2" t="s">
        <v>98</v>
      </c>
      <c r="B1228" s="2" t="s">
        <v>62</v>
      </c>
      <c r="C1228" t="s">
        <v>138</v>
      </c>
      <c r="D1228" t="s">
        <v>25</v>
      </c>
      <c r="E1228" s="2">
        <v>2</v>
      </c>
      <c r="F1228" t="s">
        <v>64</v>
      </c>
      <c r="G1228">
        <v>3.89</v>
      </c>
      <c r="H1228">
        <v>3.69</v>
      </c>
      <c r="I1228" s="2" t="s">
        <v>129</v>
      </c>
    </row>
    <row r="1229" spans="1:9" x14ac:dyDescent="0.25">
      <c r="A1229" s="2" t="s">
        <v>98</v>
      </c>
      <c r="B1229" s="2" t="s">
        <v>62</v>
      </c>
      <c r="C1229" t="s">
        <v>138</v>
      </c>
      <c r="D1229" t="s">
        <v>25</v>
      </c>
      <c r="E1229" s="2">
        <v>2</v>
      </c>
      <c r="F1229" t="s">
        <v>72</v>
      </c>
      <c r="G1229">
        <v>3.89</v>
      </c>
      <c r="H1229">
        <v>3.59</v>
      </c>
      <c r="I1229" s="2" t="s">
        <v>130</v>
      </c>
    </row>
    <row r="1230" spans="1:9" x14ac:dyDescent="0.25">
      <c r="A1230" s="2" t="s">
        <v>98</v>
      </c>
      <c r="B1230" s="2" t="s">
        <v>62</v>
      </c>
      <c r="C1230" t="s">
        <v>138</v>
      </c>
      <c r="D1230" t="s">
        <v>25</v>
      </c>
      <c r="E1230" s="2">
        <v>1</v>
      </c>
      <c r="F1230" t="s">
        <v>74</v>
      </c>
      <c r="G1230">
        <v>4.49</v>
      </c>
      <c r="H1230">
        <v>3.49</v>
      </c>
      <c r="I1230" s="2" t="s">
        <v>132</v>
      </c>
    </row>
    <row r="1231" spans="1:9" x14ac:dyDescent="0.25">
      <c r="A1231" s="2" t="s">
        <v>98</v>
      </c>
      <c r="B1231" s="2" t="s">
        <v>62</v>
      </c>
      <c r="C1231" t="s">
        <v>138</v>
      </c>
      <c r="D1231" t="s">
        <v>25</v>
      </c>
      <c r="E1231" s="2">
        <v>1</v>
      </c>
      <c r="F1231" t="s">
        <v>140</v>
      </c>
      <c r="G1231">
        <v>4.6900000000000004</v>
      </c>
      <c r="H1231">
        <v>4.3899999999999997</v>
      </c>
      <c r="I1231" t="s">
        <v>144</v>
      </c>
    </row>
    <row r="1232" spans="1:9" x14ac:dyDescent="0.25">
      <c r="A1232" s="2" t="s">
        <v>98</v>
      </c>
      <c r="B1232" s="2" t="s">
        <v>62</v>
      </c>
      <c r="C1232" t="s">
        <v>138</v>
      </c>
      <c r="D1232" t="s">
        <v>25</v>
      </c>
      <c r="E1232" s="2">
        <v>2</v>
      </c>
      <c r="F1232" t="s">
        <v>80</v>
      </c>
      <c r="G1232">
        <v>6.29</v>
      </c>
      <c r="H1232">
        <v>5.49</v>
      </c>
      <c r="I1232" s="2" t="s">
        <v>133</v>
      </c>
    </row>
    <row r="1233" spans="1:9" x14ac:dyDescent="0.25">
      <c r="A1233" s="2" t="s">
        <v>98</v>
      </c>
      <c r="B1233" s="2" t="s">
        <v>62</v>
      </c>
      <c r="C1233" t="s">
        <v>138</v>
      </c>
      <c r="D1233" t="s">
        <v>25</v>
      </c>
      <c r="E1233" s="2">
        <v>2</v>
      </c>
      <c r="F1233" t="s">
        <v>83</v>
      </c>
      <c r="G1233">
        <v>6.69</v>
      </c>
      <c r="H1233">
        <v>5.99</v>
      </c>
      <c r="I1233" s="2" t="s">
        <v>134</v>
      </c>
    </row>
    <row r="1234" spans="1:9" x14ac:dyDescent="0.25">
      <c r="A1234" s="2" t="s">
        <v>98</v>
      </c>
      <c r="B1234" s="2" t="s">
        <v>62</v>
      </c>
      <c r="C1234" t="s">
        <v>138</v>
      </c>
      <c r="D1234" t="s">
        <v>25</v>
      </c>
      <c r="E1234" s="2">
        <v>1</v>
      </c>
      <c r="F1234" t="s">
        <v>84</v>
      </c>
      <c r="G1234">
        <v>6.99</v>
      </c>
      <c r="H1234">
        <v>6.19</v>
      </c>
      <c r="I1234" s="2" t="s">
        <v>135</v>
      </c>
    </row>
    <row r="1235" spans="1:9" x14ac:dyDescent="0.25">
      <c r="A1235" s="2" t="s">
        <v>98</v>
      </c>
      <c r="B1235" s="2" t="s">
        <v>62</v>
      </c>
      <c r="C1235" t="s">
        <v>138</v>
      </c>
      <c r="D1235" t="s">
        <v>25</v>
      </c>
      <c r="E1235" s="2">
        <v>1</v>
      </c>
      <c r="F1235" t="s">
        <v>85</v>
      </c>
      <c r="G1235">
        <v>7.99</v>
      </c>
      <c r="H1235">
        <v>6.99</v>
      </c>
      <c r="I1235" s="2" t="s">
        <v>136</v>
      </c>
    </row>
    <row r="1236" spans="1:9" x14ac:dyDescent="0.25">
      <c r="A1236" s="2" t="s">
        <v>98</v>
      </c>
      <c r="B1236" s="2" t="s">
        <v>62</v>
      </c>
      <c r="C1236" t="s">
        <v>138</v>
      </c>
      <c r="D1236" t="s">
        <v>25</v>
      </c>
      <c r="E1236" s="2">
        <v>1</v>
      </c>
      <c r="F1236" t="s">
        <v>86</v>
      </c>
      <c r="G1236">
        <v>7.99</v>
      </c>
      <c r="H1236">
        <v>6.99</v>
      </c>
      <c r="I1236" s="2" t="s">
        <v>137</v>
      </c>
    </row>
    <row r="1237" spans="1:9" x14ac:dyDescent="0.25">
      <c r="A1237" s="2" t="s">
        <v>98</v>
      </c>
      <c r="B1237" s="2" t="s">
        <v>62</v>
      </c>
      <c r="C1237" t="s">
        <v>138</v>
      </c>
      <c r="D1237" t="s">
        <v>25</v>
      </c>
      <c r="E1237" s="2">
        <v>1</v>
      </c>
      <c r="F1237" t="s">
        <v>69</v>
      </c>
      <c r="G1237">
        <v>3.49</v>
      </c>
      <c r="H1237">
        <v>2.99</v>
      </c>
      <c r="I1237" s="2" t="s">
        <v>127</v>
      </c>
    </row>
    <row r="1238" spans="1:9" x14ac:dyDescent="0.25">
      <c r="A1238" s="2" t="s">
        <v>98</v>
      </c>
      <c r="B1238" s="2" t="s">
        <v>62</v>
      </c>
      <c r="C1238" t="s">
        <v>138</v>
      </c>
      <c r="D1238" t="s">
        <v>25</v>
      </c>
      <c r="E1238" s="2">
        <v>2</v>
      </c>
      <c r="F1238" t="s">
        <v>75</v>
      </c>
      <c r="G1238">
        <v>4.29</v>
      </c>
      <c r="H1238">
        <v>3.49</v>
      </c>
      <c r="I1238" s="2" t="s">
        <v>131</v>
      </c>
    </row>
    <row r="1239" spans="1:9" x14ac:dyDescent="0.25">
      <c r="A1239" s="2" t="s">
        <v>98</v>
      </c>
      <c r="B1239" s="2" t="s">
        <v>62</v>
      </c>
      <c r="C1239" t="s">
        <v>138</v>
      </c>
      <c r="D1239" t="s">
        <v>25</v>
      </c>
      <c r="E1239" s="2">
        <v>2</v>
      </c>
      <c r="F1239" t="s">
        <v>141</v>
      </c>
      <c r="G1239">
        <v>5.99</v>
      </c>
      <c r="H1239">
        <v>5.49</v>
      </c>
      <c r="I1239" t="s">
        <v>143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E11" sqref="E11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PEDRO HENRIQUE GUIMARAES MARTINS SANTOS</cp:lastModifiedBy>
  <dcterms:created xsi:type="dcterms:W3CDTF">2015-06-05T18:17:20Z</dcterms:created>
  <dcterms:modified xsi:type="dcterms:W3CDTF">2026-10-06T17:24:15Z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