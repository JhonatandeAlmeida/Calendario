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644" documentId="11_F25DC773A252ABDACC1048AAA9DA54025ADE5901" xr6:coauthVersionLast="47" xr6:coauthVersionMax="47" xr10:uidLastSave="{77F540BD-EE21-4263-94A7-CEA6E2CC106F}"/>
  <bookViews>
    <workbookView xWindow="-120" yWindow="-120" windowWidth="20730" windowHeight="1104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MECANICA!$A$1:$D$21</definedName>
    <definedName name="_xlnm._FilterDatabase" localSheetId="3" hidden="1">PRODUTOS!$A$1:$I$971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7" i="3" l="1"/>
  <c r="I986" i="3"/>
  <c r="I985" i="3"/>
  <c r="I984" i="3"/>
  <c r="I983" i="3"/>
  <c r="I981" i="3"/>
  <c r="I979" i="3"/>
  <c r="I978" i="3"/>
  <c r="I977" i="3"/>
  <c r="I976" i="3"/>
  <c r="I982" i="3"/>
  <c r="I980" i="3"/>
  <c r="C43" i="5" l="1"/>
  <c r="D43" i="5" s="1"/>
  <c r="C42" i="5"/>
  <c r="D42" i="5" s="1"/>
  <c r="C41" i="5"/>
  <c r="D41" i="5" s="1"/>
  <c r="C40" i="5"/>
  <c r="D40" i="5" s="1"/>
  <c r="I975" i="3"/>
  <c r="I974" i="3"/>
  <c r="I973" i="3"/>
  <c r="I972" i="3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799" i="3" l="1"/>
  <c r="I823" i="3"/>
  <c r="I847" i="3"/>
  <c r="I870" i="3"/>
  <c r="I895" i="3"/>
  <c r="I928" i="3"/>
  <c r="I929" i="3"/>
  <c r="I683" i="3" l="1"/>
  <c r="I684" i="3"/>
  <c r="I685" i="3"/>
  <c r="I686" i="3"/>
  <c r="I691" i="3"/>
  <c r="I692" i="3"/>
  <c r="I693" i="3"/>
  <c r="I454" i="3" l="1"/>
  <c r="I469" i="3"/>
  <c r="I470" i="3"/>
  <c r="I471" i="3"/>
  <c r="I493" i="3"/>
  <c r="I494" i="3"/>
  <c r="I495" i="3"/>
  <c r="C36" i="5" l="1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  <c r="I373" i="3" l="1"/>
  <c r="I323" i="3"/>
  <c r="I57" i="3"/>
  <c r="I377" i="3"/>
  <c r="I376" i="3"/>
  <c r="I375" i="3"/>
  <c r="I374" i="3"/>
  <c r="I327" i="3"/>
  <c r="I326" i="3"/>
  <c r="I325" i="3"/>
  <c r="I324" i="3"/>
  <c r="I61" i="3"/>
  <c r="I60" i="3"/>
  <c r="I59" i="3"/>
  <c r="I58" i="3"/>
  <c r="I6" i="3"/>
  <c r="I5" i="3"/>
  <c r="I4" i="3"/>
  <c r="I3" i="3"/>
  <c r="I382" i="3"/>
  <c r="I381" i="3"/>
  <c r="I380" i="3"/>
  <c r="I379" i="3"/>
  <c r="I378" i="3"/>
  <c r="I332" i="3"/>
  <c r="I331" i="3"/>
  <c r="I330" i="3"/>
  <c r="I329" i="3"/>
  <c r="I328" i="3"/>
  <c r="I66" i="3"/>
  <c r="I65" i="3"/>
  <c r="I64" i="3"/>
  <c r="I63" i="3"/>
  <c r="I62" i="3"/>
  <c r="I11" i="3"/>
  <c r="I10" i="3"/>
  <c r="I9" i="3"/>
  <c r="I8" i="3"/>
  <c r="I7" i="3"/>
  <c r="I348" i="3"/>
  <c r="I333" i="3"/>
  <c r="I32" i="3"/>
  <c r="I12" i="3"/>
  <c r="I352" i="3"/>
  <c r="I351" i="3"/>
  <c r="I350" i="3"/>
  <c r="I349" i="3"/>
  <c r="I337" i="3"/>
  <c r="I336" i="3"/>
  <c r="I335" i="3"/>
  <c r="I334" i="3"/>
  <c r="I36" i="3"/>
  <c r="I35" i="3"/>
  <c r="I34" i="3"/>
  <c r="I33" i="3"/>
  <c r="I16" i="3"/>
  <c r="I15" i="3"/>
  <c r="I14" i="3"/>
  <c r="I13" i="3"/>
  <c r="I75" i="3"/>
  <c r="I74" i="3"/>
  <c r="I73" i="3"/>
  <c r="I72" i="3"/>
  <c r="I71" i="3"/>
  <c r="I21" i="3"/>
  <c r="I20" i="3"/>
  <c r="I19" i="3"/>
  <c r="I18" i="3"/>
  <c r="I17" i="3"/>
  <c r="I362" i="3"/>
  <c r="I361" i="3"/>
  <c r="I360" i="3"/>
  <c r="I359" i="3"/>
  <c r="I358" i="3"/>
  <c r="I342" i="3"/>
  <c r="I341" i="3"/>
  <c r="I340" i="3"/>
  <c r="I339" i="3"/>
  <c r="I338" i="3"/>
  <c r="I46" i="3"/>
  <c r="I45" i="3"/>
  <c r="I44" i="3"/>
  <c r="I43" i="3"/>
  <c r="I42" i="3"/>
  <c r="I26" i="3"/>
  <c r="I25" i="3"/>
  <c r="I24" i="3"/>
  <c r="I23" i="3"/>
  <c r="I22" i="3"/>
  <c r="I347" i="3"/>
  <c r="I346" i="3"/>
  <c r="I345" i="3"/>
  <c r="I344" i="3"/>
  <c r="I343" i="3"/>
  <c r="I31" i="3"/>
  <c r="I30" i="3"/>
  <c r="I29" i="3"/>
  <c r="I28" i="3"/>
  <c r="I27" i="3"/>
  <c r="I357" i="3"/>
  <c r="I356" i="3"/>
  <c r="I355" i="3"/>
  <c r="I354" i="3"/>
  <c r="I353" i="3"/>
  <c r="I41" i="3"/>
  <c r="I40" i="3"/>
  <c r="I39" i="3"/>
  <c r="I38" i="3"/>
  <c r="I37" i="3"/>
  <c r="I367" i="3"/>
  <c r="I366" i="3"/>
  <c r="I365" i="3"/>
  <c r="I364" i="3"/>
  <c r="I363" i="3"/>
  <c r="I51" i="3"/>
  <c r="I50" i="3"/>
  <c r="I49" i="3"/>
  <c r="I48" i="3"/>
  <c r="I47" i="3"/>
  <c r="I372" i="3"/>
  <c r="I371" i="3"/>
  <c r="I370" i="3"/>
  <c r="I369" i="3"/>
  <c r="I368" i="3"/>
  <c r="I56" i="3"/>
  <c r="I55" i="3"/>
  <c r="I54" i="3"/>
  <c r="I53" i="3"/>
  <c r="I52" i="3"/>
  <c r="I386" i="3"/>
  <c r="I385" i="3"/>
  <c r="I384" i="3"/>
  <c r="I383" i="3"/>
  <c r="I70" i="3"/>
  <c r="I69" i="3"/>
  <c r="I68" i="3"/>
  <c r="I67" i="3"/>
  <c r="I836" i="3"/>
  <c r="I844" i="3"/>
  <c r="I861" i="3"/>
  <c r="I867" i="3"/>
  <c r="I881" i="3"/>
  <c r="I891" i="3"/>
  <c r="I910" i="3"/>
  <c r="I911" i="3"/>
  <c r="I956" i="3"/>
  <c r="I957" i="3"/>
  <c r="I586" i="3"/>
  <c r="I587" i="3"/>
  <c r="I597" i="3"/>
  <c r="I598" i="3"/>
  <c r="I599" i="3"/>
  <c r="I602" i="3"/>
  <c r="I603" i="3"/>
  <c r="I604" i="3"/>
  <c r="I607" i="3"/>
  <c r="I608" i="3"/>
  <c r="I387" i="3"/>
  <c r="I388" i="3"/>
  <c r="I399" i="3"/>
  <c r="I400" i="3"/>
  <c r="I403" i="3"/>
  <c r="I404" i="3"/>
  <c r="I405" i="3"/>
  <c r="I409" i="3"/>
  <c r="I113" i="3"/>
  <c r="I112" i="3"/>
  <c r="I103" i="3"/>
  <c r="I102" i="3"/>
  <c r="I101" i="3"/>
  <c r="I100" i="3"/>
  <c r="I77" i="3"/>
  <c r="I76" i="3"/>
  <c r="I93" i="3"/>
  <c r="I92" i="3"/>
  <c r="I91" i="3"/>
  <c r="I90" i="3"/>
  <c r="I89" i="3"/>
  <c r="I88" i="3"/>
  <c r="I87" i="3"/>
  <c r="I86" i="3"/>
  <c r="I85" i="3"/>
  <c r="I84" i="3"/>
  <c r="I83" i="3"/>
  <c r="I82" i="3"/>
  <c r="I79" i="3"/>
  <c r="I78" i="3"/>
  <c r="I788" i="3"/>
  <c r="I812" i="3"/>
  <c r="I952" i="3"/>
  <c r="I955" i="3"/>
  <c r="I590" i="3"/>
  <c r="I591" i="3"/>
  <c r="I605" i="3"/>
  <c r="I606" i="3"/>
  <c r="I391" i="3"/>
  <c r="I392" i="3"/>
  <c r="I407" i="3"/>
  <c r="I408" i="3"/>
  <c r="I110" i="3"/>
  <c r="I104" i="3"/>
  <c r="I81" i="3"/>
  <c r="I80" i="3"/>
  <c r="I790" i="3"/>
  <c r="I803" i="3"/>
  <c r="I814" i="3"/>
  <c r="I838" i="3"/>
  <c r="I851" i="3"/>
  <c r="I863" i="3"/>
  <c r="I874" i="3"/>
  <c r="I888" i="3"/>
  <c r="I953" i="3"/>
  <c r="I954" i="3"/>
  <c r="I585" i="3"/>
  <c r="I588" i="3"/>
  <c r="I589" i="3"/>
  <c r="I592" i="3"/>
  <c r="I593" i="3"/>
  <c r="I594" i="3"/>
  <c r="I595" i="3"/>
  <c r="I596" i="3"/>
  <c r="I600" i="3"/>
  <c r="I601" i="3"/>
  <c r="I389" i="3"/>
  <c r="I390" i="3"/>
  <c r="I393" i="3"/>
  <c r="I394" i="3"/>
  <c r="I395" i="3"/>
  <c r="I396" i="3"/>
  <c r="I397" i="3"/>
  <c r="I398" i="3"/>
  <c r="I401" i="3"/>
  <c r="I402" i="3"/>
  <c r="I406" i="3"/>
  <c r="I410" i="3"/>
  <c r="I111" i="3"/>
  <c r="I109" i="3"/>
  <c r="I108" i="3"/>
  <c r="I107" i="3"/>
  <c r="I106" i="3"/>
  <c r="I105" i="3"/>
  <c r="I99" i="3"/>
  <c r="I98" i="3"/>
  <c r="I97" i="3"/>
  <c r="I96" i="3"/>
  <c r="I95" i="3"/>
  <c r="I94" i="3"/>
  <c r="I791" i="3"/>
  <c r="I815" i="3"/>
  <c r="I839" i="3"/>
  <c r="I849" i="3"/>
  <c r="I872" i="3"/>
  <c r="I886" i="3"/>
  <c r="I912" i="3"/>
  <c r="I913" i="3"/>
  <c r="I914" i="3"/>
  <c r="I915" i="3"/>
  <c r="I609" i="3"/>
  <c r="I610" i="3"/>
  <c r="I611" i="3"/>
  <c r="I612" i="3"/>
  <c r="I613" i="3"/>
  <c r="I614" i="3"/>
  <c r="I615" i="3"/>
  <c r="I616" i="3"/>
  <c r="I617" i="3"/>
  <c r="I618" i="3"/>
  <c r="I619" i="3"/>
  <c r="I411" i="3"/>
  <c r="I412" i="3"/>
  <c r="I413" i="3"/>
  <c r="I414" i="3"/>
  <c r="I415" i="3"/>
  <c r="I416" i="3"/>
  <c r="I417" i="3"/>
  <c r="I418" i="3"/>
  <c r="I419" i="3"/>
  <c r="I420" i="3"/>
  <c r="I421" i="3"/>
  <c r="I124" i="3"/>
  <c r="I123" i="3"/>
  <c r="I122" i="3"/>
  <c r="I121" i="3"/>
  <c r="I120" i="3"/>
  <c r="I119" i="3"/>
  <c r="I118" i="3"/>
  <c r="I117" i="3"/>
  <c r="I116" i="3"/>
  <c r="I115" i="3"/>
  <c r="I114" i="3"/>
  <c r="I785" i="3"/>
  <c r="I793" i="3"/>
  <c r="I795" i="3"/>
  <c r="I804" i="3"/>
  <c r="I809" i="3"/>
  <c r="I817" i="3"/>
  <c r="I820" i="3"/>
  <c r="I828" i="3"/>
  <c r="I833" i="3"/>
  <c r="I841" i="3"/>
  <c r="I843" i="3"/>
  <c r="I852" i="3"/>
  <c r="I858" i="3"/>
  <c r="I865" i="3"/>
  <c r="I875" i="3"/>
  <c r="I882" i="3"/>
  <c r="I889" i="3"/>
  <c r="I892" i="3"/>
  <c r="I900" i="3"/>
  <c r="I916" i="3"/>
  <c r="I917" i="3"/>
  <c r="I918" i="3"/>
  <c r="I919" i="3"/>
  <c r="I924" i="3"/>
  <c r="I925" i="3"/>
  <c r="I926" i="3"/>
  <c r="I927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8" i="3"/>
  <c r="I639" i="3"/>
  <c r="I640" i="3"/>
  <c r="I641" i="3"/>
  <c r="I656" i="3"/>
  <c r="I657" i="3"/>
  <c r="I658" i="3"/>
  <c r="I659" i="3"/>
  <c r="I660" i="3"/>
  <c r="I661" i="3"/>
  <c r="I662" i="3"/>
  <c r="I663" i="3"/>
  <c r="I664" i="3"/>
  <c r="I665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827" i="3"/>
  <c r="I899" i="3"/>
  <c r="I620" i="3"/>
  <c r="I635" i="3"/>
  <c r="I422" i="3"/>
  <c r="I437" i="3"/>
  <c r="I140" i="3"/>
  <c r="I139" i="3"/>
  <c r="I186" i="3"/>
  <c r="I185" i="3"/>
  <c r="I184" i="3"/>
  <c r="I183" i="3"/>
  <c r="I182" i="3"/>
  <c r="I181" i="3"/>
  <c r="I180" i="3"/>
  <c r="I147" i="3"/>
  <c r="I146" i="3"/>
  <c r="I145" i="3"/>
  <c r="I144" i="3"/>
  <c r="I143" i="3"/>
  <c r="I142" i="3"/>
  <c r="I141" i="3"/>
  <c r="I786" i="3"/>
  <c r="I797" i="3"/>
  <c r="I810" i="3"/>
  <c r="I821" i="3"/>
  <c r="I834" i="3"/>
  <c r="I845" i="3"/>
  <c r="I859" i="3"/>
  <c r="I868" i="3"/>
  <c r="I883" i="3"/>
  <c r="I893" i="3"/>
  <c r="I920" i="3"/>
  <c r="I921" i="3"/>
  <c r="I922" i="3"/>
  <c r="I923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796" i="3"/>
  <c r="I819" i="3"/>
  <c r="I636" i="3"/>
  <c r="I637" i="3"/>
  <c r="I438" i="3"/>
  <c r="I439" i="3"/>
  <c r="I163" i="3"/>
  <c r="I162" i="3"/>
  <c r="I792" i="3"/>
  <c r="I802" i="3"/>
  <c r="I816" i="3"/>
  <c r="I826" i="3"/>
  <c r="I840" i="3"/>
  <c r="I850" i="3"/>
  <c r="I864" i="3"/>
  <c r="I873" i="3"/>
  <c r="I887" i="3"/>
  <c r="I898" i="3"/>
  <c r="I930" i="3"/>
  <c r="I931" i="3"/>
  <c r="I932" i="3"/>
  <c r="I933" i="3"/>
  <c r="I666" i="3"/>
  <c r="I667" i="3"/>
  <c r="I668" i="3"/>
  <c r="I670" i="3"/>
  <c r="I671" i="3"/>
  <c r="I673" i="3"/>
  <c r="I674" i="3"/>
  <c r="I675" i="3"/>
  <c r="I676" i="3"/>
  <c r="I677" i="3"/>
  <c r="I678" i="3"/>
  <c r="I679" i="3"/>
  <c r="I680" i="3"/>
  <c r="I681" i="3"/>
  <c r="I472" i="3"/>
  <c r="I473" i="3"/>
  <c r="I474" i="3"/>
  <c r="I476" i="3"/>
  <c r="I477" i="3"/>
  <c r="I479" i="3"/>
  <c r="I480" i="3"/>
  <c r="I481" i="3"/>
  <c r="I482" i="3"/>
  <c r="I483" i="3"/>
  <c r="I484" i="3"/>
  <c r="I485" i="3"/>
  <c r="I486" i="3"/>
  <c r="I487" i="3"/>
  <c r="I209" i="3"/>
  <c r="I208" i="3"/>
  <c r="I207" i="3"/>
  <c r="I206" i="3"/>
  <c r="I205" i="3"/>
  <c r="I204" i="3"/>
  <c r="I203" i="3"/>
  <c r="I202" i="3"/>
  <c r="I201" i="3"/>
  <c r="I199" i="3"/>
  <c r="I198" i="3"/>
  <c r="I196" i="3"/>
  <c r="I179" i="3"/>
  <c r="I178" i="3"/>
  <c r="I194" i="3"/>
  <c r="I193" i="3"/>
  <c r="I192" i="3"/>
  <c r="I191" i="3"/>
  <c r="I190" i="3"/>
  <c r="I189" i="3"/>
  <c r="I188" i="3"/>
  <c r="I187" i="3"/>
  <c r="I801" i="3"/>
  <c r="I825" i="3"/>
  <c r="I897" i="3"/>
  <c r="I669" i="3"/>
  <c r="I672" i="3"/>
  <c r="I682" i="3"/>
  <c r="I475" i="3"/>
  <c r="I478" i="3"/>
  <c r="I488" i="3"/>
  <c r="I200" i="3"/>
  <c r="I197" i="3"/>
  <c r="I195" i="3"/>
  <c r="I854" i="3"/>
  <c r="I877" i="3"/>
  <c r="I934" i="3"/>
  <c r="I935" i="3"/>
  <c r="I687" i="3"/>
  <c r="I688" i="3"/>
  <c r="I689" i="3"/>
  <c r="I690" i="3"/>
  <c r="I489" i="3"/>
  <c r="I490" i="3"/>
  <c r="I491" i="3"/>
  <c r="I492" i="3"/>
  <c r="I213" i="3"/>
  <c r="I212" i="3"/>
  <c r="I211" i="3"/>
  <c r="I210" i="3"/>
  <c r="I233" i="3"/>
  <c r="I226" i="3"/>
  <c r="I225" i="3"/>
  <c r="I224" i="3"/>
  <c r="I215" i="3"/>
  <c r="I214" i="3"/>
  <c r="I789" i="3"/>
  <c r="I800" i="3"/>
  <c r="I813" i="3"/>
  <c r="I824" i="3"/>
  <c r="I837" i="3"/>
  <c r="I848" i="3"/>
  <c r="I862" i="3"/>
  <c r="I871" i="3"/>
  <c r="I885" i="3"/>
  <c r="I896" i="3"/>
  <c r="I936" i="3"/>
  <c r="I937" i="3"/>
  <c r="I938" i="3"/>
  <c r="I939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81" i="3"/>
  <c r="I782" i="3"/>
  <c r="I783" i="3"/>
  <c r="I784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232" i="3"/>
  <c r="I231" i="3"/>
  <c r="I230" i="3"/>
  <c r="I229" i="3"/>
  <c r="I228" i="3"/>
  <c r="I227" i="3"/>
  <c r="I223" i="3"/>
  <c r="I222" i="3"/>
  <c r="I221" i="3"/>
  <c r="I220" i="3"/>
  <c r="I219" i="3"/>
  <c r="I218" i="3"/>
  <c r="I217" i="3"/>
  <c r="I216" i="3"/>
  <c r="I806" i="3"/>
  <c r="I830" i="3"/>
  <c r="I855" i="3"/>
  <c r="I878" i="3"/>
  <c r="I902" i="3"/>
  <c r="I720" i="3"/>
  <c r="I722" i="3"/>
  <c r="I723" i="3"/>
  <c r="I724" i="3"/>
  <c r="I725" i="3"/>
  <c r="I510" i="3"/>
  <c r="I529" i="3"/>
  <c r="I530" i="3"/>
  <c r="I238" i="3"/>
  <c r="I237" i="3"/>
  <c r="I234" i="3"/>
  <c r="I905" i="3"/>
  <c r="I906" i="3"/>
  <c r="I907" i="3"/>
  <c r="I908" i="3"/>
  <c r="I909" i="3"/>
  <c r="I940" i="3"/>
  <c r="I941" i="3"/>
  <c r="I721" i="3"/>
  <c r="I726" i="3"/>
  <c r="I727" i="3"/>
  <c r="I728" i="3"/>
  <c r="I729" i="3"/>
  <c r="I730" i="3"/>
  <c r="I731" i="3"/>
  <c r="I774" i="3"/>
  <c r="I775" i="3"/>
  <c r="I776" i="3"/>
  <c r="I777" i="3"/>
  <c r="I778" i="3"/>
  <c r="I779" i="3"/>
  <c r="I780" i="3"/>
  <c r="I511" i="3"/>
  <c r="I512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6" i="3"/>
  <c r="I235" i="3"/>
  <c r="I808" i="3"/>
  <c r="I832" i="3"/>
  <c r="I857" i="3"/>
  <c r="I880" i="3"/>
  <c r="I904" i="3"/>
  <c r="I942" i="3"/>
  <c r="I943" i="3"/>
  <c r="I709" i="3"/>
  <c r="I711" i="3"/>
  <c r="I713" i="3"/>
  <c r="I715" i="3"/>
  <c r="I717" i="3"/>
  <c r="I718" i="3"/>
  <c r="I719" i="3"/>
  <c r="I514" i="3"/>
  <c r="I516" i="3"/>
  <c r="I518" i="3"/>
  <c r="I520" i="3"/>
  <c r="I523" i="3"/>
  <c r="I524" i="3"/>
  <c r="I526" i="3"/>
  <c r="I528" i="3"/>
  <c r="I266" i="3"/>
  <c r="I259" i="3"/>
  <c r="I258" i="3"/>
  <c r="I257" i="3"/>
  <c r="I254" i="3"/>
  <c r="I253" i="3"/>
  <c r="I252" i="3"/>
  <c r="I251" i="3"/>
  <c r="I807" i="3"/>
  <c r="I831" i="3"/>
  <c r="I856" i="3"/>
  <c r="I879" i="3"/>
  <c r="I903" i="3"/>
  <c r="I708" i="3"/>
  <c r="I710" i="3"/>
  <c r="I712" i="3"/>
  <c r="I714" i="3"/>
  <c r="I716" i="3"/>
  <c r="I513" i="3"/>
  <c r="I515" i="3"/>
  <c r="I517" i="3"/>
  <c r="I519" i="3"/>
  <c r="I521" i="3"/>
  <c r="I522" i="3"/>
  <c r="I525" i="3"/>
  <c r="I527" i="3"/>
  <c r="I265" i="3"/>
  <c r="I264" i="3"/>
  <c r="I263" i="3"/>
  <c r="I262" i="3"/>
  <c r="I261" i="3"/>
  <c r="I260" i="3"/>
  <c r="I256" i="3"/>
  <c r="I255" i="3"/>
  <c r="I794" i="3"/>
  <c r="I805" i="3"/>
  <c r="I818" i="3"/>
  <c r="I829" i="3"/>
  <c r="I842" i="3"/>
  <c r="I853" i="3"/>
  <c r="I866" i="3"/>
  <c r="I876" i="3"/>
  <c r="I890" i="3"/>
  <c r="I901" i="3"/>
  <c r="I944" i="3"/>
  <c r="I945" i="3"/>
  <c r="I946" i="3"/>
  <c r="I947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787" i="3"/>
  <c r="I798" i="3"/>
  <c r="I811" i="3"/>
  <c r="I822" i="3"/>
  <c r="I835" i="3"/>
  <c r="I846" i="3"/>
  <c r="I860" i="3"/>
  <c r="I869" i="3"/>
  <c r="I884" i="3"/>
  <c r="I894" i="3"/>
  <c r="I948" i="3"/>
  <c r="I949" i="3"/>
  <c r="I950" i="3"/>
  <c r="I951" i="3"/>
  <c r="I746" i="3"/>
  <c r="I747" i="3"/>
  <c r="I748" i="3"/>
  <c r="I749" i="3"/>
  <c r="I750" i="3"/>
  <c r="I751" i="3"/>
  <c r="I758" i="3"/>
  <c r="I759" i="3"/>
  <c r="I760" i="3"/>
  <c r="I761" i="3"/>
  <c r="I762" i="3"/>
  <c r="I763" i="3"/>
  <c r="I764" i="3"/>
  <c r="I765" i="3"/>
  <c r="I557" i="3"/>
  <c r="I558" i="3"/>
  <c r="I559" i="3"/>
  <c r="I560" i="3"/>
  <c r="I561" i="3"/>
  <c r="I562" i="3"/>
  <c r="I569" i="3"/>
  <c r="I570" i="3"/>
  <c r="I571" i="3"/>
  <c r="I572" i="3"/>
  <c r="I573" i="3"/>
  <c r="I574" i="3"/>
  <c r="I575" i="3"/>
  <c r="I576" i="3"/>
  <c r="I314" i="3"/>
  <c r="I313" i="3"/>
  <c r="I312" i="3"/>
  <c r="I311" i="3"/>
  <c r="I310" i="3"/>
  <c r="I309" i="3"/>
  <c r="I308" i="3"/>
  <c r="I307" i="3"/>
  <c r="I300" i="3"/>
  <c r="I299" i="3"/>
  <c r="I298" i="3"/>
  <c r="I297" i="3"/>
  <c r="I296" i="3"/>
  <c r="I295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752" i="3"/>
  <c r="I753" i="3"/>
  <c r="I754" i="3"/>
  <c r="I755" i="3"/>
  <c r="I756" i="3"/>
  <c r="I757" i="3"/>
  <c r="I766" i="3"/>
  <c r="I767" i="3"/>
  <c r="I768" i="3"/>
  <c r="I769" i="3"/>
  <c r="I770" i="3"/>
  <c r="I771" i="3"/>
  <c r="I772" i="3"/>
  <c r="I773" i="3"/>
  <c r="I563" i="3"/>
  <c r="I564" i="3"/>
  <c r="I565" i="3"/>
  <c r="I566" i="3"/>
  <c r="I567" i="3"/>
  <c r="I568" i="3"/>
  <c r="I577" i="3"/>
  <c r="I578" i="3"/>
  <c r="I579" i="3"/>
  <c r="I580" i="3"/>
  <c r="I581" i="3"/>
  <c r="I582" i="3"/>
  <c r="I583" i="3"/>
  <c r="I584" i="3"/>
  <c r="I322" i="3"/>
  <c r="I321" i="3"/>
  <c r="I320" i="3"/>
  <c r="I319" i="3"/>
  <c r="I318" i="3"/>
  <c r="I317" i="3"/>
  <c r="I316" i="3"/>
  <c r="I315" i="3"/>
  <c r="I306" i="3"/>
  <c r="I305" i="3"/>
  <c r="I304" i="3"/>
  <c r="I303" i="3"/>
  <c r="I302" i="3"/>
  <c r="I301" i="3"/>
  <c r="I2" i="3"/>
</calcChain>
</file>

<file path=xl/sharedStrings.xml><?xml version="1.0" encoding="utf-8"?>
<sst xmlns="http://schemas.openxmlformats.org/spreadsheetml/2006/main" count="5351" uniqueCount="114">
  <si>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</si>
  <si>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</si>
  <si>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</si>
  <si>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</si>
  <si>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</si>
  <si>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</si>
  <si>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</si>
  <si>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</si>
  <si>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</si>
  <si>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</si>
  <si>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</si>
  <si>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</si>
  <si>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</si>
  <si>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</si>
  <si>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</si>
  <si>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</si>
  <si>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</si>
  <si>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</si>
  <si>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</si>
  <si>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</si>
  <si>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</si>
  <si>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</si>
  <si>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</si>
  <si>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</si>
  <si>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</si>
  <si>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</si>
  <si>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</si>
  <si>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</si>
  <si>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</si>
  <si>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</si>
  <si>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</si>
  <si>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</si>
  <si>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</si>
  <si>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</si>
  <si>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</si>
  <si>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</si>
  <si>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</si>
  <si>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</si>
  <si>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</si>
  <si>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</si>
  <si>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</si>
  <si>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</si>
  <si>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</si>
  <si>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</si>
  <si>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</si>
  <si>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</si>
  <si>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</si>
  <si>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</si>
  <si>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</si>
  <si>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</si>
  <si>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</si>
  <si>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</si>
  <si>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</si>
  <si>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</si>
  <si>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</si>
  <si>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</si>
  <si>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</si>
  <si>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</si>
  <si>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</si>
  <si>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</si>
  <si>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</si>
  <si>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Apuração Varejo: 100% no períiodo, com check de TTC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</si>
  <si>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</si>
  <si>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</si>
  <si>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</si>
  <si>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</si>
  <si>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</si>
  <si>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</si>
  <si>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</si>
  <si>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</si>
  <si>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</si>
  <si>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</si>
  <si>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</si>
  <si>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</si>
  <si>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</si>
  <si>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</si>
  <si>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</si>
  <si>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</si>
  <si>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</si>
  <si>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</si>
  <si>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</si>
  <si>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</si>
  <si>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</si>
  <si>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</si>
  <si>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</si>
  <si>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</si>
  <si>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</si>
  <si>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</si>
  <si>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</si>
  <si>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</si>
  <si>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</si>
  <si>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</si>
  <si>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</si>
  <si>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</si>
  <si>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</si>
  <si>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</si>
  <si>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</si>
  <si>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</si>
  <si>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</si>
  <si>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</si>
  <si>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Core Cash: 60%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</si>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</sst>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3"/>
  <sheetViews>
    <sheetView topLeftCell="A27" workbookViewId="0">
      <selection activeCell="B41" sqref="B41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62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62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62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62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62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62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62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62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62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62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62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62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63</v>
      </c>
      <c r="B14" t="s">
        <v>67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63</v>
      </c>
      <c r="B15" t="s">
        <v>64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63</v>
      </c>
      <c r="B16" t="s">
        <v>68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63</v>
      </c>
      <c r="B17" t="s">
        <v>69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63</v>
      </c>
      <c r="B18" t="s">
        <v>70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63</v>
      </c>
      <c r="B19" t="s">
        <v>71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63</v>
      </c>
      <c r="B20" t="s">
        <v>72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63</v>
      </c>
      <c r="B21" t="s">
        <v>65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63</v>
      </c>
      <c r="B22" t="s">
        <v>73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63</v>
      </c>
      <c r="B23" t="s">
        <v>74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63</v>
      </c>
      <c r="B24" t="s">
        <v>75</v>
      </c>
      <c r="C24" t="s">
        <v>96</v>
      </c>
      <c r="D24" t="str">
        <f t="shared" si="0"/>
        <v>BUDZERO350.png</v>
      </c>
    </row>
    <row r="25" spans="1:4" x14ac:dyDescent="0.25">
      <c r="A25" t="s">
        <v>63</v>
      </c>
      <c r="B25" t="s">
        <v>76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63</v>
      </c>
      <c r="B26" t="s">
        <v>77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63</v>
      </c>
      <c r="B27" t="s">
        <v>78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63</v>
      </c>
      <c r="B28" t="s">
        <v>66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63</v>
      </c>
      <c r="B29" t="s">
        <v>79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63</v>
      </c>
      <c r="B30" t="s">
        <v>80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63</v>
      </c>
      <c r="B31" t="s">
        <v>81</v>
      </c>
      <c r="C31" t="s">
        <v>95</v>
      </c>
      <c r="D31" t="str">
        <f t="shared" si="0"/>
        <v>CORCERO350.png</v>
      </c>
    </row>
    <row r="32" spans="1:4" x14ac:dyDescent="0.25">
      <c r="A32" t="s">
        <v>63</v>
      </c>
      <c r="B32" t="s">
        <v>82</v>
      </c>
      <c r="C32" t="s">
        <v>93</v>
      </c>
      <c r="D32" t="str">
        <f t="shared" si="0"/>
        <v>BUDZEROLN.png</v>
      </c>
    </row>
    <row r="33" spans="1:4" x14ac:dyDescent="0.25">
      <c r="A33" t="s">
        <v>63</v>
      </c>
      <c r="B33" t="s">
        <v>83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63</v>
      </c>
      <c r="B34" t="s">
        <v>84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63</v>
      </c>
      <c r="B35" t="s">
        <v>85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63</v>
      </c>
      <c r="B36" t="s">
        <v>86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63</v>
      </c>
      <c r="B37" t="s">
        <v>87</v>
      </c>
      <c r="C37" t="s">
        <v>94</v>
      </c>
      <c r="D37" t="str">
        <f t="shared" si="0"/>
        <v>CORCEROLN.png</v>
      </c>
    </row>
    <row r="38" spans="1:4" x14ac:dyDescent="0.25">
      <c r="A38" t="s">
        <v>63</v>
      </c>
      <c r="B38" t="s">
        <v>104</v>
      </c>
      <c r="C38" t="str">
        <f t="shared" si="1"/>
        <v>SPT350</v>
      </c>
      <c r="D38" t="str">
        <f t="shared" ref="D38:D43" si="2">C38&amp;".png"</f>
        <v>SPT350.png</v>
      </c>
    </row>
    <row r="39" spans="1:4" x14ac:dyDescent="0.25">
      <c r="A39" t="s">
        <v>63</v>
      </c>
      <c r="B39" t="s">
        <v>103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s="2" t="s">
        <v>107</v>
      </c>
      <c r="B40" s="2" t="s">
        <v>109</v>
      </c>
      <c r="C40" t="str">
        <f t="shared" ref="C40:C43" si="3">SUBSTITUTE(B40," ","")</f>
        <v>BEATSLT</v>
      </c>
      <c r="D40" t="str">
        <f t="shared" si="2"/>
        <v>BEATSLT.png</v>
      </c>
    </row>
    <row r="41" spans="1:4" x14ac:dyDescent="0.25">
      <c r="A41" s="2" t="s">
        <v>107</v>
      </c>
      <c r="B41" s="2" t="s">
        <v>110</v>
      </c>
      <c r="C41" t="str">
        <f t="shared" si="3"/>
        <v>BEATSLN</v>
      </c>
      <c r="D41" t="str">
        <f t="shared" si="2"/>
        <v>BEATSLN.png</v>
      </c>
    </row>
    <row r="42" spans="1:4" x14ac:dyDescent="0.25">
      <c r="A42" s="2" t="s">
        <v>107</v>
      </c>
      <c r="B42" s="2" t="s">
        <v>111</v>
      </c>
      <c r="C42" t="str">
        <f t="shared" si="3"/>
        <v>FF350</v>
      </c>
      <c r="D42" t="str">
        <f t="shared" si="2"/>
        <v>FF350.png</v>
      </c>
    </row>
    <row r="43" spans="1:4" x14ac:dyDescent="0.25">
      <c r="A43" s="2" t="s">
        <v>107</v>
      </c>
      <c r="B43" s="2" t="s">
        <v>112</v>
      </c>
      <c r="C43" t="str">
        <f t="shared" si="3"/>
        <v>FFLN</v>
      </c>
      <c r="D43" t="str">
        <f t="shared" si="2"/>
        <v>FFLN.png</v>
      </c>
    </row>
  </sheetData>
  <autoFilter ref="A1:D37" xr:uid="{C0BF5819-473C-445D-A53D-FC51ACB237C6}"/>
  <conditionalFormatting sqref="C1:C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6" workbookViewId="0">
      <selection activeCell="A147" sqref="A147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39"/>
  <sheetViews>
    <sheetView workbookViewId="0">
      <selection activeCell="A34" sqref="A34:D39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62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62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62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62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62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62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62</v>
      </c>
      <c r="C8" s="2" t="s">
        <v>24</v>
      </c>
      <c r="D8" s="2" t="s">
        <v>61</v>
      </c>
    </row>
    <row r="9" spans="1:4" x14ac:dyDescent="0.25">
      <c r="A9" s="2" t="s">
        <v>10</v>
      </c>
      <c r="B9" s="2" t="s">
        <v>63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63</v>
      </c>
      <c r="C10" s="2" t="s">
        <v>23</v>
      </c>
      <c r="D10" s="2" t="s">
        <v>97</v>
      </c>
    </row>
    <row r="11" spans="1:4" x14ac:dyDescent="0.25">
      <c r="A11" s="2" t="s">
        <v>10</v>
      </c>
      <c r="B11" s="2" t="s">
        <v>63</v>
      </c>
      <c r="C11" s="2" t="s">
        <v>23</v>
      </c>
      <c r="D11" s="2" t="s">
        <v>99</v>
      </c>
    </row>
    <row r="12" spans="1:4" x14ac:dyDescent="0.25">
      <c r="A12" s="2" t="s">
        <v>10</v>
      </c>
      <c r="B12" s="2" t="s">
        <v>63</v>
      </c>
      <c r="C12" s="2" t="s">
        <v>23</v>
      </c>
      <c r="D12" s="2" t="s">
        <v>100</v>
      </c>
    </row>
    <row r="13" spans="1:4" x14ac:dyDescent="0.25">
      <c r="A13" s="2" t="s">
        <v>10</v>
      </c>
      <c r="B13" s="2" t="s">
        <v>63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63</v>
      </c>
      <c r="C14" s="2" t="s">
        <v>24</v>
      </c>
      <c r="D14" s="2" t="s">
        <v>98</v>
      </c>
    </row>
    <row r="15" spans="1:4" hidden="1" x14ac:dyDescent="0.25">
      <c r="A15" s="2" t="s">
        <v>101</v>
      </c>
      <c r="B15" s="2" t="s">
        <v>62</v>
      </c>
      <c r="C15" s="2" t="s">
        <v>23</v>
      </c>
      <c r="D15" s="2" t="s">
        <v>57</v>
      </c>
    </row>
    <row r="16" spans="1:4" hidden="1" x14ac:dyDescent="0.25">
      <c r="A16" s="2" t="s">
        <v>101</v>
      </c>
      <c r="B16" s="2" t="s">
        <v>62</v>
      </c>
      <c r="C16" s="2" t="s">
        <v>23</v>
      </c>
      <c r="D16" s="2" t="s">
        <v>59</v>
      </c>
    </row>
    <row r="17" spans="1:4" hidden="1" x14ac:dyDescent="0.25">
      <c r="A17" s="2" t="s">
        <v>101</v>
      </c>
      <c r="B17" s="2" t="s">
        <v>62</v>
      </c>
      <c r="C17" s="2" t="s">
        <v>23</v>
      </c>
      <c r="D17" s="2" t="s">
        <v>58</v>
      </c>
    </row>
    <row r="18" spans="1:4" hidden="1" x14ac:dyDescent="0.25">
      <c r="A18" s="2" t="s">
        <v>101</v>
      </c>
      <c r="B18" s="2" t="s">
        <v>62</v>
      </c>
      <c r="C18" s="2" t="s">
        <v>23</v>
      </c>
      <c r="D18" s="2" t="s">
        <v>60</v>
      </c>
    </row>
    <row r="19" spans="1:4" hidden="1" x14ac:dyDescent="0.25">
      <c r="A19" s="2" t="s">
        <v>101</v>
      </c>
      <c r="B19" s="2" t="s">
        <v>62</v>
      </c>
      <c r="C19" s="2" t="s">
        <v>24</v>
      </c>
      <c r="D19" s="2" t="s">
        <v>57</v>
      </c>
    </row>
    <row r="20" spans="1:4" hidden="1" x14ac:dyDescent="0.25">
      <c r="A20" s="2" t="s">
        <v>101</v>
      </c>
      <c r="B20" s="2" t="s">
        <v>62</v>
      </c>
      <c r="C20" s="2" t="s">
        <v>24</v>
      </c>
      <c r="D20" s="2" t="s">
        <v>59</v>
      </c>
    </row>
    <row r="21" spans="1:4" hidden="1" x14ac:dyDescent="0.25">
      <c r="A21" s="2" t="s">
        <v>101</v>
      </c>
      <c r="B21" s="2" t="s">
        <v>62</v>
      </c>
      <c r="C21" s="2" t="s">
        <v>24</v>
      </c>
      <c r="D21" s="2" t="s">
        <v>61</v>
      </c>
    </row>
    <row r="22" spans="1:4" x14ac:dyDescent="0.25">
      <c r="A22" s="2" t="s">
        <v>106</v>
      </c>
      <c r="B22" s="2" t="s">
        <v>63</v>
      </c>
      <c r="C22" s="2" t="s">
        <v>23</v>
      </c>
      <c r="D22" s="2" t="s">
        <v>59</v>
      </c>
    </row>
    <row r="23" spans="1:4" x14ac:dyDescent="0.25">
      <c r="A23" s="2" t="s">
        <v>106</v>
      </c>
      <c r="B23" s="2" t="s">
        <v>63</v>
      </c>
      <c r="C23" s="2" t="s">
        <v>23</v>
      </c>
      <c r="D23" s="2" t="s">
        <v>97</v>
      </c>
    </row>
    <row r="24" spans="1:4" x14ac:dyDescent="0.25">
      <c r="A24" s="2" t="s">
        <v>106</v>
      </c>
      <c r="B24" s="2" t="s">
        <v>63</v>
      </c>
      <c r="C24" s="2" t="s">
        <v>23</v>
      </c>
      <c r="D24" s="2" t="s">
        <v>99</v>
      </c>
    </row>
    <row r="25" spans="1:4" x14ac:dyDescent="0.25">
      <c r="A25" s="2" t="s">
        <v>106</v>
      </c>
      <c r="B25" s="2" t="s">
        <v>63</v>
      </c>
      <c r="C25" s="2" t="s">
        <v>23</v>
      </c>
      <c r="D25" s="2" t="s">
        <v>100</v>
      </c>
    </row>
    <row r="26" spans="1:4" x14ac:dyDescent="0.25">
      <c r="A26" s="2" t="s">
        <v>106</v>
      </c>
      <c r="B26" s="2" t="s">
        <v>63</v>
      </c>
      <c r="C26" s="2" t="s">
        <v>24</v>
      </c>
      <c r="D26" s="2" t="s">
        <v>59</v>
      </c>
    </row>
    <row r="27" spans="1:4" x14ac:dyDescent="0.25">
      <c r="A27" s="2" t="s">
        <v>106</v>
      </c>
      <c r="B27" s="2" t="s">
        <v>63</v>
      </c>
      <c r="C27" s="2" t="s">
        <v>24</v>
      </c>
      <c r="D27" s="2" t="s">
        <v>98</v>
      </c>
    </row>
    <row r="28" spans="1:4" x14ac:dyDescent="0.25">
      <c r="A28" s="2" t="s">
        <v>102</v>
      </c>
      <c r="B28" s="2" t="s">
        <v>63</v>
      </c>
      <c r="C28" s="2" t="s">
        <v>23</v>
      </c>
      <c r="D28" s="2" t="s">
        <v>59</v>
      </c>
    </row>
    <row r="29" spans="1:4" x14ac:dyDescent="0.25">
      <c r="A29" s="2" t="s">
        <v>102</v>
      </c>
      <c r="B29" s="2" t="s">
        <v>63</v>
      </c>
      <c r="C29" s="2" t="s">
        <v>23</v>
      </c>
      <c r="D29" s="2" t="s">
        <v>97</v>
      </c>
    </row>
    <row r="30" spans="1:4" x14ac:dyDescent="0.25">
      <c r="A30" s="2" t="s">
        <v>102</v>
      </c>
      <c r="B30" s="2" t="s">
        <v>63</v>
      </c>
      <c r="C30" s="2" t="s">
        <v>23</v>
      </c>
      <c r="D30" s="2" t="s">
        <v>99</v>
      </c>
    </row>
    <row r="31" spans="1:4" x14ac:dyDescent="0.25">
      <c r="A31" s="2" t="s">
        <v>102</v>
      </c>
      <c r="B31" s="2" t="s">
        <v>63</v>
      </c>
      <c r="C31" s="2" t="s">
        <v>23</v>
      </c>
      <c r="D31" s="2" t="s">
        <v>100</v>
      </c>
    </row>
    <row r="32" spans="1:4" x14ac:dyDescent="0.25">
      <c r="A32" s="2" t="s">
        <v>102</v>
      </c>
      <c r="B32" s="2" t="s">
        <v>63</v>
      </c>
      <c r="C32" s="2" t="s">
        <v>24</v>
      </c>
      <c r="D32" s="2" t="s">
        <v>59</v>
      </c>
    </row>
    <row r="33" spans="1:4" x14ac:dyDescent="0.25">
      <c r="A33" s="2" t="s">
        <v>102</v>
      </c>
      <c r="B33" s="2" t="s">
        <v>63</v>
      </c>
      <c r="C33" s="2" t="s">
        <v>24</v>
      </c>
      <c r="D33" s="2" t="s">
        <v>98</v>
      </c>
    </row>
    <row r="34" spans="1:4" x14ac:dyDescent="0.25">
      <c r="A34" s="2" t="s">
        <v>105</v>
      </c>
      <c r="B34" s="2" t="s">
        <v>63</v>
      </c>
      <c r="C34" s="2" t="s">
        <v>23</v>
      </c>
      <c r="D34" s="2" t="s">
        <v>59</v>
      </c>
    </row>
    <row r="35" spans="1:4" x14ac:dyDescent="0.25">
      <c r="A35" s="2" t="s">
        <v>105</v>
      </c>
      <c r="B35" s="2" t="s">
        <v>63</v>
      </c>
      <c r="C35" s="2" t="s">
        <v>23</v>
      </c>
      <c r="D35" s="2" t="s">
        <v>97</v>
      </c>
    </row>
    <row r="36" spans="1:4" x14ac:dyDescent="0.25">
      <c r="A36" s="2" t="s">
        <v>105</v>
      </c>
      <c r="B36" s="2" t="s">
        <v>63</v>
      </c>
      <c r="C36" s="2" t="s">
        <v>23</v>
      </c>
      <c r="D36" s="2" t="s">
        <v>99</v>
      </c>
    </row>
    <row r="37" spans="1:4" x14ac:dyDescent="0.25">
      <c r="A37" s="2" t="s">
        <v>105</v>
      </c>
      <c r="B37" s="2" t="s">
        <v>63</v>
      </c>
      <c r="C37" s="2" t="s">
        <v>23</v>
      </c>
      <c r="D37" s="2" t="s">
        <v>100</v>
      </c>
    </row>
    <row r="38" spans="1:4" x14ac:dyDescent="0.25">
      <c r="A38" s="2" t="s">
        <v>105</v>
      </c>
      <c r="B38" s="2" t="s">
        <v>63</v>
      </c>
      <c r="C38" s="2" t="s">
        <v>24</v>
      </c>
      <c r="D38" s="2" t="s">
        <v>59</v>
      </c>
    </row>
    <row r="39" spans="1:4" x14ac:dyDescent="0.25">
      <c r="A39" s="2" t="s">
        <v>105</v>
      </c>
      <c r="B39" s="2" t="s">
        <v>63</v>
      </c>
      <c r="C39" s="2" t="s">
        <v>24</v>
      </c>
      <c r="D39" s="2" t="s">
        <v>98</v>
      </c>
    </row>
  </sheetData>
  <autoFilter ref="A1:D21" xr:uid="{6D40F4A5-E774-499A-A01D-1C21EEE25028}">
    <filterColumn colId="1">
      <filters>
        <filter val="CERV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987"/>
  <sheetViews>
    <sheetView tabSelected="1" topLeftCell="A967" workbookViewId="0">
      <selection activeCell="G984" sqref="G984:H987"/>
    </sheetView>
  </sheetViews>
  <sheetFormatPr defaultRowHeight="15" x14ac:dyDescent="0.25"/>
  <cols>
    <col min="9" max="9" width="14.140625" bestFit="1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113</v>
      </c>
    </row>
    <row r="2" spans="1:9" x14ac:dyDescent="0.25">
      <c r="A2" s="2" t="s">
        <v>10</v>
      </c>
      <c r="B2" s="2" t="s">
        <v>62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62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62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62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62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62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62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62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62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62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62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62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62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62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62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62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62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62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62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62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62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62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62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62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62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62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62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62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62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62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62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62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62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62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62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62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62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62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62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62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62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62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62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62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62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62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62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62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62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62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62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62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62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62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62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62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62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62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62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62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62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62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62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62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62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62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62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62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62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62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62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62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62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62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63</v>
      </c>
      <c r="C76" t="s">
        <v>88</v>
      </c>
      <c r="D76" t="s">
        <v>25</v>
      </c>
      <c r="E76" s="2">
        <v>2</v>
      </c>
      <c r="F76" t="s">
        <v>67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63</v>
      </c>
      <c r="C77" t="s">
        <v>88</v>
      </c>
      <c r="D77" t="s">
        <v>26</v>
      </c>
      <c r="E77" s="2">
        <v>2</v>
      </c>
      <c r="F77" t="s">
        <v>67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63</v>
      </c>
      <c r="C78" t="s">
        <v>4</v>
      </c>
      <c r="D78" t="s">
        <v>26</v>
      </c>
      <c r="E78" s="2">
        <v>2</v>
      </c>
      <c r="F78" t="s">
        <v>64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63</v>
      </c>
      <c r="C79" t="s">
        <v>4</v>
      </c>
      <c r="D79" t="s">
        <v>25</v>
      </c>
      <c r="E79" s="2">
        <v>2</v>
      </c>
      <c r="F79" t="s">
        <v>64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63</v>
      </c>
      <c r="C80" t="s">
        <v>28</v>
      </c>
      <c r="D80" t="s">
        <v>25</v>
      </c>
      <c r="E80" s="2">
        <v>2</v>
      </c>
      <c r="F80" t="s">
        <v>68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63</v>
      </c>
      <c r="C81" t="s">
        <v>29</v>
      </c>
      <c r="D81" t="s">
        <v>25</v>
      </c>
      <c r="E81" s="2">
        <v>2</v>
      </c>
      <c r="F81" t="s">
        <v>68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63</v>
      </c>
      <c r="C82" t="s">
        <v>88</v>
      </c>
      <c r="D82" t="s">
        <v>26</v>
      </c>
      <c r="E82" s="2">
        <v>2</v>
      </c>
      <c r="F82" t="s">
        <v>64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63</v>
      </c>
      <c r="C83" t="s">
        <v>88</v>
      </c>
      <c r="D83" t="s">
        <v>25</v>
      </c>
      <c r="E83" s="2">
        <v>2</v>
      </c>
      <c r="F83" t="s">
        <v>64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63</v>
      </c>
      <c r="C84" t="s">
        <v>89</v>
      </c>
      <c r="D84" t="s">
        <v>26</v>
      </c>
      <c r="E84" s="2">
        <v>2</v>
      </c>
      <c r="F84" t="s">
        <v>64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63</v>
      </c>
      <c r="C85" t="s">
        <v>89</v>
      </c>
      <c r="D85" t="s">
        <v>25</v>
      </c>
      <c r="E85" s="2">
        <v>2</v>
      </c>
      <c r="F85" t="s">
        <v>64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63</v>
      </c>
      <c r="C86" t="s">
        <v>90</v>
      </c>
      <c r="D86" t="s">
        <v>26</v>
      </c>
      <c r="E86" s="2">
        <v>2</v>
      </c>
      <c r="F86" t="s">
        <v>64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63</v>
      </c>
      <c r="C87" t="s">
        <v>90</v>
      </c>
      <c r="D87" t="s">
        <v>25</v>
      </c>
      <c r="E87" s="2">
        <v>2</v>
      </c>
      <c r="F87" t="s">
        <v>64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63</v>
      </c>
      <c r="C88" t="s">
        <v>91</v>
      </c>
      <c r="D88" t="s">
        <v>26</v>
      </c>
      <c r="E88" s="2">
        <v>2</v>
      </c>
      <c r="F88" t="s">
        <v>64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63</v>
      </c>
      <c r="C89" t="s">
        <v>91</v>
      </c>
      <c r="D89" t="s">
        <v>25</v>
      </c>
      <c r="E89" s="2">
        <v>2</v>
      </c>
      <c r="F89" t="s">
        <v>64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63</v>
      </c>
      <c r="C90" t="s">
        <v>28</v>
      </c>
      <c r="D90" t="s">
        <v>26</v>
      </c>
      <c r="E90" s="2">
        <v>2</v>
      </c>
      <c r="F90" t="s">
        <v>64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63</v>
      </c>
      <c r="C91" t="s">
        <v>28</v>
      </c>
      <c r="D91" t="s">
        <v>25</v>
      </c>
      <c r="E91" s="2">
        <v>2</v>
      </c>
      <c r="F91" t="s">
        <v>64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63</v>
      </c>
      <c r="C92" t="s">
        <v>29</v>
      </c>
      <c r="D92" t="s">
        <v>26</v>
      </c>
      <c r="E92" s="2">
        <v>2</v>
      </c>
      <c r="F92" t="s">
        <v>64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63</v>
      </c>
      <c r="C93" t="s">
        <v>29</v>
      </c>
      <c r="D93" t="s">
        <v>25</v>
      </c>
      <c r="E93" s="2">
        <v>2</v>
      </c>
      <c r="F93" t="s">
        <v>64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63</v>
      </c>
      <c r="C94" t="s">
        <v>29</v>
      </c>
      <c r="D94" t="s">
        <v>25</v>
      </c>
      <c r="E94" s="2">
        <v>1</v>
      </c>
      <c r="F94" t="s">
        <v>69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63</v>
      </c>
      <c r="C95" t="s">
        <v>28</v>
      </c>
      <c r="D95" t="s">
        <v>25</v>
      </c>
      <c r="E95" s="2">
        <v>1</v>
      </c>
      <c r="F95" t="s">
        <v>69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63</v>
      </c>
      <c r="C96" t="s">
        <v>28</v>
      </c>
      <c r="D96" t="s">
        <v>26</v>
      </c>
      <c r="E96" s="2">
        <v>1</v>
      </c>
      <c r="F96" t="s">
        <v>69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63</v>
      </c>
      <c r="C97" t="s">
        <v>88</v>
      </c>
      <c r="D97" t="s">
        <v>25</v>
      </c>
      <c r="E97" s="2">
        <v>1</v>
      </c>
      <c r="F97" t="s">
        <v>69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63</v>
      </c>
      <c r="C98" t="s">
        <v>88</v>
      </c>
      <c r="D98" t="s">
        <v>26</v>
      </c>
      <c r="E98" s="2">
        <v>1</v>
      </c>
      <c r="F98" t="s">
        <v>69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63</v>
      </c>
      <c r="C99" t="s">
        <v>4</v>
      </c>
      <c r="D99" t="s">
        <v>25</v>
      </c>
      <c r="E99" s="2">
        <v>1</v>
      </c>
      <c r="F99" t="s">
        <v>69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63</v>
      </c>
      <c r="C100" t="s">
        <v>4</v>
      </c>
      <c r="D100" t="s">
        <v>25</v>
      </c>
      <c r="E100" s="2">
        <v>2</v>
      </c>
      <c r="F100" t="s">
        <v>67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63</v>
      </c>
      <c r="C101" t="s">
        <v>4</v>
      </c>
      <c r="D101" t="s">
        <v>26</v>
      </c>
      <c r="E101" s="2">
        <v>2</v>
      </c>
      <c r="F101" t="s">
        <v>67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63</v>
      </c>
      <c r="C102" t="s">
        <v>89</v>
      </c>
      <c r="D102" t="s">
        <v>25</v>
      </c>
      <c r="E102" s="2">
        <v>2</v>
      </c>
      <c r="F102" t="s">
        <v>67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63</v>
      </c>
      <c r="C103" t="s">
        <v>90</v>
      </c>
      <c r="D103" t="s">
        <v>25</v>
      </c>
      <c r="E103" s="2">
        <v>2</v>
      </c>
      <c r="F103" t="s">
        <v>67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63</v>
      </c>
      <c r="C104" t="s">
        <v>91</v>
      </c>
      <c r="D104" t="s">
        <v>25</v>
      </c>
      <c r="E104" s="2">
        <v>2</v>
      </c>
      <c r="F104" t="s">
        <v>68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63</v>
      </c>
      <c r="C105" t="s">
        <v>90</v>
      </c>
      <c r="D105" t="s">
        <v>25</v>
      </c>
      <c r="E105" s="2">
        <v>1</v>
      </c>
      <c r="F105" t="s">
        <v>69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63</v>
      </c>
      <c r="C106" t="s">
        <v>90</v>
      </c>
      <c r="D106" t="s">
        <v>26</v>
      </c>
      <c r="E106" s="2">
        <v>1</v>
      </c>
      <c r="F106" t="s">
        <v>69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63</v>
      </c>
      <c r="C107" t="s">
        <v>89</v>
      </c>
      <c r="D107" t="s">
        <v>25</v>
      </c>
      <c r="E107" s="2">
        <v>1</v>
      </c>
      <c r="F107" t="s">
        <v>69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63</v>
      </c>
      <c r="C108" t="s">
        <v>89</v>
      </c>
      <c r="D108" t="s">
        <v>26</v>
      </c>
      <c r="E108" s="2">
        <v>1</v>
      </c>
      <c r="F108" t="s">
        <v>69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63</v>
      </c>
      <c r="C109" t="s">
        <v>91</v>
      </c>
      <c r="D109" t="s">
        <v>25</v>
      </c>
      <c r="E109" s="2">
        <v>1</v>
      </c>
      <c r="F109" t="s">
        <v>69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63</v>
      </c>
      <c r="C110" t="s">
        <v>91</v>
      </c>
      <c r="D110" t="s">
        <v>26</v>
      </c>
      <c r="E110" s="2">
        <v>2</v>
      </c>
      <c r="F110" t="s">
        <v>68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63</v>
      </c>
      <c r="C111" t="s">
        <v>91</v>
      </c>
      <c r="D111" t="s">
        <v>26</v>
      </c>
      <c r="E111" s="2">
        <v>1</v>
      </c>
      <c r="F111" t="s">
        <v>69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63</v>
      </c>
      <c r="C112" t="s">
        <v>89</v>
      </c>
      <c r="D112" t="s">
        <v>26</v>
      </c>
      <c r="E112" s="2">
        <v>2</v>
      </c>
      <c r="F112" t="s">
        <v>67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63</v>
      </c>
      <c r="C113" t="s">
        <v>90</v>
      </c>
      <c r="D113" t="s">
        <v>26</v>
      </c>
      <c r="E113" s="2">
        <v>2</v>
      </c>
      <c r="F113" t="s">
        <v>67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63</v>
      </c>
      <c r="C114" t="s">
        <v>4</v>
      </c>
      <c r="D114" t="s">
        <v>25</v>
      </c>
      <c r="E114" s="2">
        <v>1</v>
      </c>
      <c r="F114" t="s">
        <v>70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63</v>
      </c>
      <c r="C115" t="s">
        <v>89</v>
      </c>
      <c r="D115" t="s">
        <v>25</v>
      </c>
      <c r="E115" s="2">
        <v>1</v>
      </c>
      <c r="F115" t="s">
        <v>70</v>
      </c>
      <c r="G115">
        <v>2.99</v>
      </c>
      <c r="H115">
        <v>2.99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63</v>
      </c>
      <c r="C116" t="s">
        <v>89</v>
      </c>
      <c r="D116" t="s">
        <v>26</v>
      </c>
      <c r="E116" s="2">
        <v>1</v>
      </c>
      <c r="F116" t="s">
        <v>70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63</v>
      </c>
      <c r="C117" t="s">
        <v>90</v>
      </c>
      <c r="D117" t="s">
        <v>25</v>
      </c>
      <c r="E117" s="2">
        <v>1</v>
      </c>
      <c r="F117" t="s">
        <v>70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63</v>
      </c>
      <c r="C118" t="s">
        <v>90</v>
      </c>
      <c r="D118" t="s">
        <v>26</v>
      </c>
      <c r="E118" s="2">
        <v>1</v>
      </c>
      <c r="F118" t="s">
        <v>70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63</v>
      </c>
      <c r="C119" t="s">
        <v>91</v>
      </c>
      <c r="D119" t="s">
        <v>26</v>
      </c>
      <c r="E119" s="2">
        <v>1</v>
      </c>
      <c r="F119" t="s">
        <v>70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63</v>
      </c>
      <c r="C120" t="s">
        <v>91</v>
      </c>
      <c r="D120" t="s">
        <v>25</v>
      </c>
      <c r="E120" s="2">
        <v>1</v>
      </c>
      <c r="F120" t="s">
        <v>70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63</v>
      </c>
      <c r="C121" t="s">
        <v>28</v>
      </c>
      <c r="D121" t="s">
        <v>25</v>
      </c>
      <c r="E121" s="2">
        <v>1</v>
      </c>
      <c r="F121" t="s">
        <v>70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63</v>
      </c>
      <c r="C122" t="s">
        <v>29</v>
      </c>
      <c r="D122" t="s">
        <v>25</v>
      </c>
      <c r="E122" s="2">
        <v>1</v>
      </c>
      <c r="F122" t="s">
        <v>70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63</v>
      </c>
      <c r="C123" t="s">
        <v>88</v>
      </c>
      <c r="D123" t="s">
        <v>25</v>
      </c>
      <c r="E123" s="2">
        <v>1</v>
      </c>
      <c r="F123" t="s">
        <v>70</v>
      </c>
      <c r="G123">
        <v>3.09</v>
      </c>
      <c r="H123">
        <v>3.09</v>
      </c>
      <c r="I123" s="2" t="str">
        <f>_xlfn.XLOOKUP(F123,DeparaIMG!B:B,DeparaIMG!D:D,,0)</f>
        <v>BUD269.png</v>
      </c>
    </row>
    <row r="124" spans="1:9" x14ac:dyDescent="0.25">
      <c r="A124" s="2" t="s">
        <v>10</v>
      </c>
      <c r="B124" s="2" t="s">
        <v>63</v>
      </c>
      <c r="C124" t="s">
        <v>88</v>
      </c>
      <c r="D124" t="s">
        <v>26</v>
      </c>
      <c r="E124" s="2">
        <v>1</v>
      </c>
      <c r="F124" t="s">
        <v>70</v>
      </c>
      <c r="G124">
        <v>3.49</v>
      </c>
      <c r="H124">
        <v>3.09</v>
      </c>
      <c r="I124" s="2" t="str">
        <f>_xlfn.XLOOKUP(F124,DeparaIMG!B:B,DeparaIMG!D:D,,0)</f>
        <v>BUD269.png</v>
      </c>
    </row>
    <row r="125" spans="1:9" x14ac:dyDescent="0.25">
      <c r="A125" s="2" t="s">
        <v>10</v>
      </c>
      <c r="B125" s="2" t="s">
        <v>63</v>
      </c>
      <c r="C125" t="s">
        <v>28</v>
      </c>
      <c r="D125" t="s">
        <v>25</v>
      </c>
      <c r="E125" s="2">
        <v>1</v>
      </c>
      <c r="F125" t="s">
        <v>71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63</v>
      </c>
      <c r="C126" t="s">
        <v>28</v>
      </c>
      <c r="D126" t="s">
        <v>25</v>
      </c>
      <c r="E126" s="2">
        <v>2</v>
      </c>
      <c r="F126" t="s">
        <v>71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63</v>
      </c>
      <c r="C127" t="s">
        <v>29</v>
      </c>
      <c r="D127" t="s">
        <v>25</v>
      </c>
      <c r="E127" s="2">
        <v>1</v>
      </c>
      <c r="F127" t="s">
        <v>71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63</v>
      </c>
      <c r="C128" t="s">
        <v>29</v>
      </c>
      <c r="D128" t="s">
        <v>25</v>
      </c>
      <c r="E128" s="2">
        <v>2</v>
      </c>
      <c r="F128" t="s">
        <v>71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63</v>
      </c>
      <c r="C129" t="s">
        <v>89</v>
      </c>
      <c r="D129" t="s">
        <v>25</v>
      </c>
      <c r="E129" s="2">
        <v>1</v>
      </c>
      <c r="F129" t="s">
        <v>71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63</v>
      </c>
      <c r="C130" t="s">
        <v>89</v>
      </c>
      <c r="D130" t="s">
        <v>25</v>
      </c>
      <c r="E130" s="2">
        <v>2</v>
      </c>
      <c r="F130" t="s">
        <v>71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63</v>
      </c>
      <c r="C131" t="s">
        <v>4</v>
      </c>
      <c r="D131" t="s">
        <v>25</v>
      </c>
      <c r="E131" s="2">
        <v>1</v>
      </c>
      <c r="F131" t="s">
        <v>71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63</v>
      </c>
      <c r="C132" t="s">
        <v>4</v>
      </c>
      <c r="D132" t="s">
        <v>25</v>
      </c>
      <c r="E132" s="2">
        <v>2</v>
      </c>
      <c r="F132" t="s">
        <v>71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63</v>
      </c>
      <c r="C133" t="s">
        <v>90</v>
      </c>
      <c r="D133" t="s">
        <v>25</v>
      </c>
      <c r="E133" s="2">
        <v>1</v>
      </c>
      <c r="F133" t="s">
        <v>71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63</v>
      </c>
      <c r="C134" t="s">
        <v>90</v>
      </c>
      <c r="D134" t="s">
        <v>25</v>
      </c>
      <c r="E134" s="2">
        <v>2</v>
      </c>
      <c r="F134" t="s">
        <v>71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63</v>
      </c>
      <c r="C135" t="s">
        <v>91</v>
      </c>
      <c r="D135" t="s">
        <v>25</v>
      </c>
      <c r="E135" s="2">
        <v>1</v>
      </c>
      <c r="F135" t="s">
        <v>71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63</v>
      </c>
      <c r="C136" t="s">
        <v>91</v>
      </c>
      <c r="D136" t="s">
        <v>25</v>
      </c>
      <c r="E136" s="2">
        <v>2</v>
      </c>
      <c r="F136" t="s">
        <v>71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63</v>
      </c>
      <c r="C137" t="s">
        <v>88</v>
      </c>
      <c r="D137" t="s">
        <v>25</v>
      </c>
      <c r="E137" s="2">
        <v>1</v>
      </c>
      <c r="F137" t="s">
        <v>71</v>
      </c>
      <c r="G137">
        <v>3.69</v>
      </c>
      <c r="H137">
        <v>3.19</v>
      </c>
      <c r="I137" s="2" t="str">
        <f>_xlfn.XLOOKUP(F137,DeparaIMG!B:B,DeparaIMG!D:D,,0)</f>
        <v>BC0350.png</v>
      </c>
    </row>
    <row r="138" spans="1:9" x14ac:dyDescent="0.25">
      <c r="A138" s="2" t="s">
        <v>10</v>
      </c>
      <c r="B138" s="2" t="s">
        <v>63</v>
      </c>
      <c r="C138" t="s">
        <v>88</v>
      </c>
      <c r="D138" t="s">
        <v>25</v>
      </c>
      <c r="E138" s="2">
        <v>2</v>
      </c>
      <c r="F138" t="s">
        <v>71</v>
      </c>
      <c r="G138">
        <v>3.69</v>
      </c>
      <c r="H138">
        <v>3.19</v>
      </c>
      <c r="I138" s="2" t="str">
        <f>_xlfn.XLOOKUP(F138,DeparaIMG!B:B,DeparaIMG!D:D,,0)</f>
        <v>BC0350.png</v>
      </c>
    </row>
    <row r="139" spans="1:9" x14ac:dyDescent="0.25">
      <c r="A139" s="2" t="s">
        <v>10</v>
      </c>
      <c r="B139" s="2" t="s">
        <v>63</v>
      </c>
      <c r="C139" t="s">
        <v>4</v>
      </c>
      <c r="D139" t="s">
        <v>26</v>
      </c>
      <c r="E139" s="2">
        <v>1</v>
      </c>
      <c r="F139" t="s">
        <v>72</v>
      </c>
      <c r="G139">
        <v>3.79</v>
      </c>
      <c r="H139">
        <v>3.49</v>
      </c>
      <c r="I139" s="2" t="str">
        <f>_xlfn.XLOOKUP(F139,DeparaIMG!B:B,DeparaIMG!D:D,,0)</f>
        <v>BC350.png</v>
      </c>
    </row>
    <row r="140" spans="1:9" x14ac:dyDescent="0.25">
      <c r="A140" s="2" t="s">
        <v>10</v>
      </c>
      <c r="B140" s="2" t="s">
        <v>63</v>
      </c>
      <c r="C140" t="s">
        <v>29</v>
      </c>
      <c r="D140" t="s">
        <v>26</v>
      </c>
      <c r="E140" s="2">
        <v>1</v>
      </c>
      <c r="F140" t="s">
        <v>72</v>
      </c>
      <c r="G140">
        <v>3.79</v>
      </c>
      <c r="H140">
        <v>3.49</v>
      </c>
      <c r="I140" s="2" t="str">
        <f>_xlfn.XLOOKUP(F140,DeparaIMG!B:B,DeparaIMG!D:D,,0)</f>
        <v>BC350.png</v>
      </c>
    </row>
    <row r="141" spans="1:9" x14ac:dyDescent="0.25">
      <c r="A141" s="2" t="s">
        <v>10</v>
      </c>
      <c r="B141" s="2" t="s">
        <v>63</v>
      </c>
      <c r="C141" t="s">
        <v>88</v>
      </c>
      <c r="D141" t="s">
        <v>25</v>
      </c>
      <c r="E141" s="2">
        <v>2</v>
      </c>
      <c r="F141" t="s">
        <v>65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63</v>
      </c>
      <c r="C142" t="s">
        <v>89</v>
      </c>
      <c r="D142" t="s">
        <v>25</v>
      </c>
      <c r="E142" s="2">
        <v>2</v>
      </c>
      <c r="F142" t="s">
        <v>65</v>
      </c>
      <c r="G142">
        <v>3.89</v>
      </c>
      <c r="H142">
        <v>3.69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63</v>
      </c>
      <c r="C143" t="s">
        <v>4</v>
      </c>
      <c r="D143" t="s">
        <v>25</v>
      </c>
      <c r="E143" s="2">
        <v>2</v>
      </c>
      <c r="F143" t="s">
        <v>65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63</v>
      </c>
      <c r="C144" t="s">
        <v>90</v>
      </c>
      <c r="D144" t="s">
        <v>25</v>
      </c>
      <c r="E144" s="2">
        <v>2</v>
      </c>
      <c r="F144" t="s">
        <v>65</v>
      </c>
      <c r="G144">
        <v>3.89</v>
      </c>
      <c r="H144">
        <v>3.79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63</v>
      </c>
      <c r="C145" t="s">
        <v>91</v>
      </c>
      <c r="D145" t="s">
        <v>25</v>
      </c>
      <c r="E145" s="2">
        <v>2</v>
      </c>
      <c r="F145" t="s">
        <v>65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63</v>
      </c>
      <c r="C146" t="s">
        <v>28</v>
      </c>
      <c r="D146" t="s">
        <v>25</v>
      </c>
      <c r="E146" s="2">
        <v>2</v>
      </c>
      <c r="F146" t="s">
        <v>65</v>
      </c>
      <c r="G146">
        <v>3.89</v>
      </c>
      <c r="H146">
        <v>3.69</v>
      </c>
      <c r="I146" s="2" t="str">
        <f>_xlfn.XLOOKUP(F146,DeparaIMG!B:B,DeparaIMG!D:D,,0)</f>
        <v>SKZERO350.png</v>
      </c>
    </row>
    <row r="147" spans="1:9" x14ac:dyDescent="0.25">
      <c r="A147" s="2" t="s">
        <v>10</v>
      </c>
      <c r="B147" s="2" t="s">
        <v>63</v>
      </c>
      <c r="C147" t="s">
        <v>29</v>
      </c>
      <c r="D147" t="s">
        <v>25</v>
      </c>
      <c r="E147" s="2">
        <v>2</v>
      </c>
      <c r="F147" t="s">
        <v>65</v>
      </c>
      <c r="G147">
        <v>3.89</v>
      </c>
      <c r="H147">
        <v>3.69</v>
      </c>
      <c r="I147" s="2" t="str">
        <f>_xlfn.XLOOKUP(F147,DeparaIMG!B:B,DeparaIMG!D:D,,0)</f>
        <v>SKZERO350.png</v>
      </c>
    </row>
    <row r="148" spans="1:9" x14ac:dyDescent="0.25">
      <c r="A148" s="2" t="s">
        <v>10</v>
      </c>
      <c r="B148" s="2" t="s">
        <v>63</v>
      </c>
      <c r="C148" t="s">
        <v>89</v>
      </c>
      <c r="D148" t="s">
        <v>25</v>
      </c>
      <c r="E148" s="2">
        <v>2</v>
      </c>
      <c r="F148" t="s">
        <v>73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63</v>
      </c>
      <c r="C149" t="s">
        <v>89</v>
      </c>
      <c r="D149" t="s">
        <v>26</v>
      </c>
      <c r="E149" s="2">
        <v>2</v>
      </c>
      <c r="F149" t="s">
        <v>73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63</v>
      </c>
      <c r="C150" t="s">
        <v>90</v>
      </c>
      <c r="D150" t="s">
        <v>25</v>
      </c>
      <c r="E150" s="2">
        <v>2</v>
      </c>
      <c r="F150" t="s">
        <v>73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63</v>
      </c>
      <c r="C151" t="s">
        <v>91</v>
      </c>
      <c r="D151" t="s">
        <v>25</v>
      </c>
      <c r="E151" s="2">
        <v>2</v>
      </c>
      <c r="F151" t="s">
        <v>73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63</v>
      </c>
      <c r="C152" t="s">
        <v>90</v>
      </c>
      <c r="D152" t="s">
        <v>26</v>
      </c>
      <c r="E152" s="2">
        <v>2</v>
      </c>
      <c r="F152" t="s">
        <v>73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63</v>
      </c>
      <c r="C153" t="s">
        <v>91</v>
      </c>
      <c r="D153" t="s">
        <v>26</v>
      </c>
      <c r="E153" s="2">
        <v>2</v>
      </c>
      <c r="F153" t="s">
        <v>73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63</v>
      </c>
      <c r="C154" t="s">
        <v>28</v>
      </c>
      <c r="D154" t="s">
        <v>25</v>
      </c>
      <c r="E154" s="2">
        <v>2</v>
      </c>
      <c r="F154" t="s">
        <v>73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63</v>
      </c>
      <c r="C155" t="s">
        <v>29</v>
      </c>
      <c r="D155" t="s">
        <v>25</v>
      </c>
      <c r="E155" s="2">
        <v>2</v>
      </c>
      <c r="F155" t="s">
        <v>73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63</v>
      </c>
      <c r="C156" t="s">
        <v>28</v>
      </c>
      <c r="D156" t="s">
        <v>26</v>
      </c>
      <c r="E156" s="2">
        <v>2</v>
      </c>
      <c r="F156" t="s">
        <v>73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63</v>
      </c>
      <c r="C157" t="s">
        <v>29</v>
      </c>
      <c r="D157" t="s">
        <v>26</v>
      </c>
      <c r="E157" s="2">
        <v>2</v>
      </c>
      <c r="F157" t="s">
        <v>73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63</v>
      </c>
      <c r="C158" t="s">
        <v>88</v>
      </c>
      <c r="D158" t="s">
        <v>25</v>
      </c>
      <c r="E158" s="2">
        <v>2</v>
      </c>
      <c r="F158" t="s">
        <v>73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63</v>
      </c>
      <c r="C159" t="s">
        <v>88</v>
      </c>
      <c r="D159" t="s">
        <v>26</v>
      </c>
      <c r="E159" s="2">
        <v>2</v>
      </c>
      <c r="F159" t="s">
        <v>73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63</v>
      </c>
      <c r="C160" t="s">
        <v>4</v>
      </c>
      <c r="D160" t="s">
        <v>25</v>
      </c>
      <c r="E160" s="2">
        <v>2</v>
      </c>
      <c r="F160" t="s">
        <v>73</v>
      </c>
      <c r="G160">
        <v>3.89</v>
      </c>
      <c r="H160">
        <v>3.59</v>
      </c>
      <c r="I160" s="2" t="str">
        <f>_xlfn.XLOOKUP(F160,DeparaIMG!B:B,DeparaIMG!D:D,,0)</f>
        <v>ORI269.png</v>
      </c>
    </row>
    <row r="161" spans="1:9" x14ac:dyDescent="0.25">
      <c r="A161" s="2" t="s">
        <v>10</v>
      </c>
      <c r="B161" s="2" t="s">
        <v>63</v>
      </c>
      <c r="C161" t="s">
        <v>4</v>
      </c>
      <c r="D161" t="s">
        <v>26</v>
      </c>
      <c r="E161" s="2">
        <v>2</v>
      </c>
      <c r="F161" t="s">
        <v>73</v>
      </c>
      <c r="G161">
        <v>3.89</v>
      </c>
      <c r="H161">
        <v>3.59</v>
      </c>
      <c r="I161" s="2" t="str">
        <f>_xlfn.XLOOKUP(F161,DeparaIMG!B:B,DeparaIMG!D:D,,0)</f>
        <v>ORI269.png</v>
      </c>
    </row>
    <row r="162" spans="1:9" x14ac:dyDescent="0.25">
      <c r="A162" s="2" t="s">
        <v>10</v>
      </c>
      <c r="B162" s="2" t="s">
        <v>63</v>
      </c>
      <c r="C162" t="s">
        <v>28</v>
      </c>
      <c r="D162" t="s">
        <v>26</v>
      </c>
      <c r="E162" s="2">
        <v>2</v>
      </c>
      <c r="F162" t="s">
        <v>74</v>
      </c>
      <c r="G162">
        <v>3.99</v>
      </c>
      <c r="H162">
        <v>3.69</v>
      </c>
      <c r="I162" s="2" t="str">
        <f>_xlfn.XLOOKUP(F162,DeparaIMG!B:B,DeparaIMG!D:D,,0)</f>
        <v>AP350.png</v>
      </c>
    </row>
    <row r="163" spans="1:9" x14ac:dyDescent="0.25">
      <c r="A163" s="2" t="s">
        <v>10</v>
      </c>
      <c r="B163" s="2" t="s">
        <v>63</v>
      </c>
      <c r="C163" t="s">
        <v>29</v>
      </c>
      <c r="D163" t="s">
        <v>26</v>
      </c>
      <c r="E163" s="2">
        <v>2</v>
      </c>
      <c r="F163" t="s">
        <v>74</v>
      </c>
      <c r="G163">
        <v>3.99</v>
      </c>
      <c r="H163">
        <v>3.69</v>
      </c>
      <c r="I163" s="2" t="str">
        <f>_xlfn.XLOOKUP(F163,DeparaIMG!B:B,DeparaIMG!D:D,,0)</f>
        <v>AP350.png</v>
      </c>
    </row>
    <row r="164" spans="1:9" x14ac:dyDescent="0.25">
      <c r="A164" s="2" t="s">
        <v>10</v>
      </c>
      <c r="B164" s="2" t="s">
        <v>63</v>
      </c>
      <c r="C164" t="s">
        <v>28</v>
      </c>
      <c r="D164" t="s">
        <v>26</v>
      </c>
      <c r="E164" s="2">
        <v>1</v>
      </c>
      <c r="F164" t="s">
        <v>71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63</v>
      </c>
      <c r="C165" t="s">
        <v>28</v>
      </c>
      <c r="D165" t="s">
        <v>26</v>
      </c>
      <c r="E165" s="2">
        <v>2</v>
      </c>
      <c r="F165" t="s">
        <v>71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63</v>
      </c>
      <c r="C166" t="s">
        <v>88</v>
      </c>
      <c r="D166" t="s">
        <v>26</v>
      </c>
      <c r="E166" s="2">
        <v>1</v>
      </c>
      <c r="F166" t="s">
        <v>71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63</v>
      </c>
      <c r="C167" t="s">
        <v>88</v>
      </c>
      <c r="D167" t="s">
        <v>26</v>
      </c>
      <c r="E167" s="2">
        <v>2</v>
      </c>
      <c r="F167" t="s">
        <v>71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63</v>
      </c>
      <c r="C168" t="s">
        <v>29</v>
      </c>
      <c r="D168" t="s">
        <v>26</v>
      </c>
      <c r="E168" s="2">
        <v>1</v>
      </c>
      <c r="F168" t="s">
        <v>71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63</v>
      </c>
      <c r="C169" t="s">
        <v>29</v>
      </c>
      <c r="D169" t="s">
        <v>26</v>
      </c>
      <c r="E169" s="2">
        <v>2</v>
      </c>
      <c r="F169" t="s">
        <v>71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63</v>
      </c>
      <c r="C170" t="s">
        <v>89</v>
      </c>
      <c r="D170" t="s">
        <v>26</v>
      </c>
      <c r="E170" s="2">
        <v>1</v>
      </c>
      <c r="F170" t="s">
        <v>71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63</v>
      </c>
      <c r="C171" t="s">
        <v>89</v>
      </c>
      <c r="D171" t="s">
        <v>26</v>
      </c>
      <c r="E171" s="2">
        <v>2</v>
      </c>
      <c r="F171" t="s">
        <v>71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63</v>
      </c>
      <c r="C172" t="s">
        <v>4</v>
      </c>
      <c r="D172" t="s">
        <v>26</v>
      </c>
      <c r="E172" s="2">
        <v>1</v>
      </c>
      <c r="F172" t="s">
        <v>71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63</v>
      </c>
      <c r="C173" t="s">
        <v>4</v>
      </c>
      <c r="D173" t="s">
        <v>26</v>
      </c>
      <c r="E173" s="2">
        <v>2</v>
      </c>
      <c r="F173" t="s">
        <v>71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63</v>
      </c>
      <c r="C174" t="s">
        <v>91</v>
      </c>
      <c r="D174" t="s">
        <v>26</v>
      </c>
      <c r="E174" s="2">
        <v>1</v>
      </c>
      <c r="F174" t="s">
        <v>71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63</v>
      </c>
      <c r="C175" t="s">
        <v>91</v>
      </c>
      <c r="D175" t="s">
        <v>26</v>
      </c>
      <c r="E175" s="2">
        <v>2</v>
      </c>
      <c r="F175" t="s">
        <v>71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63</v>
      </c>
      <c r="C176" t="s">
        <v>90</v>
      </c>
      <c r="D176" t="s">
        <v>26</v>
      </c>
      <c r="E176" s="2">
        <v>1</v>
      </c>
      <c r="F176" t="s">
        <v>71</v>
      </c>
      <c r="G176">
        <v>3.99</v>
      </c>
      <c r="H176">
        <v>3.49</v>
      </c>
      <c r="I176" s="2" t="str">
        <f>_xlfn.XLOOKUP(F176,DeparaIMG!B:B,DeparaIMG!D:D,,0)</f>
        <v>BC0350.png</v>
      </c>
    </row>
    <row r="177" spans="1:9" x14ac:dyDescent="0.25">
      <c r="A177" s="2" t="s">
        <v>10</v>
      </c>
      <c r="B177" s="2" t="s">
        <v>63</v>
      </c>
      <c r="C177" t="s">
        <v>90</v>
      </c>
      <c r="D177" t="s">
        <v>26</v>
      </c>
      <c r="E177" s="2">
        <v>2</v>
      </c>
      <c r="F177" t="s">
        <v>71</v>
      </c>
      <c r="G177">
        <v>3.99</v>
      </c>
      <c r="H177">
        <v>3.49</v>
      </c>
      <c r="I177" s="2" t="str">
        <f>_xlfn.XLOOKUP(F177,DeparaIMG!B:B,DeparaIMG!D:D,,0)</f>
        <v>BC0350.png</v>
      </c>
    </row>
    <row r="178" spans="1:9" x14ac:dyDescent="0.25">
      <c r="A178" s="2" t="s">
        <v>10</v>
      </c>
      <c r="B178" s="2" t="s">
        <v>63</v>
      </c>
      <c r="C178" t="s">
        <v>4</v>
      </c>
      <c r="D178" t="s">
        <v>25</v>
      </c>
      <c r="E178" s="2">
        <v>1</v>
      </c>
      <c r="F178" t="s">
        <v>75</v>
      </c>
      <c r="G178">
        <v>4.1900000000000004</v>
      </c>
      <c r="H178">
        <v>3.19</v>
      </c>
      <c r="I178" s="2" t="str">
        <f>_xlfn.XLOOKUP(F178,DeparaIMG!B:B,DeparaIMG!D:D,,0)</f>
        <v>BUDZERO350.png</v>
      </c>
    </row>
    <row r="179" spans="1:9" x14ac:dyDescent="0.25">
      <c r="A179" s="2" t="s">
        <v>10</v>
      </c>
      <c r="B179" s="2" t="s">
        <v>63</v>
      </c>
      <c r="C179" t="s">
        <v>4</v>
      </c>
      <c r="D179" t="s">
        <v>26</v>
      </c>
      <c r="E179" s="2">
        <v>1</v>
      </c>
      <c r="F179" t="s">
        <v>75</v>
      </c>
      <c r="G179">
        <v>4.1900000000000004</v>
      </c>
      <c r="H179">
        <v>3.19</v>
      </c>
      <c r="I179" s="2" t="str">
        <f>_xlfn.XLOOKUP(F179,DeparaIMG!B:B,DeparaIMG!D:D,,0)</f>
        <v>BUDZERO350.png</v>
      </c>
    </row>
    <row r="180" spans="1:9" x14ac:dyDescent="0.25">
      <c r="A180" s="2" t="s">
        <v>10</v>
      </c>
      <c r="B180" s="2" t="s">
        <v>63</v>
      </c>
      <c r="C180" t="s">
        <v>88</v>
      </c>
      <c r="D180" t="s">
        <v>26</v>
      </c>
      <c r="E180" s="2">
        <v>2</v>
      </c>
      <c r="F180" t="s">
        <v>65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63</v>
      </c>
      <c r="C181" t="s">
        <v>89</v>
      </c>
      <c r="D181" t="s">
        <v>26</v>
      </c>
      <c r="E181" s="2">
        <v>2</v>
      </c>
      <c r="F181" t="s">
        <v>65</v>
      </c>
      <c r="G181">
        <v>4.1900000000000004</v>
      </c>
      <c r="H181">
        <v>3.99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63</v>
      </c>
      <c r="C182" t="s">
        <v>4</v>
      </c>
      <c r="D182" t="s">
        <v>26</v>
      </c>
      <c r="E182" s="2">
        <v>2</v>
      </c>
      <c r="F182" t="s">
        <v>65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63</v>
      </c>
      <c r="C183" t="s">
        <v>90</v>
      </c>
      <c r="D183" t="s">
        <v>26</v>
      </c>
      <c r="E183" s="2">
        <v>2</v>
      </c>
      <c r="F183" t="s">
        <v>65</v>
      </c>
      <c r="G183">
        <v>4.1900000000000004</v>
      </c>
      <c r="H183">
        <v>4.09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63</v>
      </c>
      <c r="C184" t="s">
        <v>91</v>
      </c>
      <c r="D184" t="s">
        <v>26</v>
      </c>
      <c r="E184" s="2">
        <v>2</v>
      </c>
      <c r="F184" t="s">
        <v>65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63</v>
      </c>
      <c r="C185" t="s">
        <v>28</v>
      </c>
      <c r="D185" t="s">
        <v>26</v>
      </c>
      <c r="E185" s="2">
        <v>2</v>
      </c>
      <c r="F185" t="s">
        <v>65</v>
      </c>
      <c r="G185">
        <v>4.1900000000000004</v>
      </c>
      <c r="H185">
        <v>3.99</v>
      </c>
      <c r="I185" s="2" t="str">
        <f>_xlfn.XLOOKUP(F185,DeparaIMG!B:B,DeparaIMG!D:D,,0)</f>
        <v>SKZERO350.png</v>
      </c>
    </row>
    <row r="186" spans="1:9" x14ac:dyDescent="0.25">
      <c r="A186" s="2" t="s">
        <v>10</v>
      </c>
      <c r="B186" s="2" t="s">
        <v>63</v>
      </c>
      <c r="C186" t="s">
        <v>29</v>
      </c>
      <c r="D186" t="s">
        <v>26</v>
      </c>
      <c r="E186" s="2">
        <v>2</v>
      </c>
      <c r="F186" t="s">
        <v>65</v>
      </c>
      <c r="G186">
        <v>4.1900000000000004</v>
      </c>
      <c r="H186">
        <v>3.99</v>
      </c>
      <c r="I186" s="2" t="str">
        <f>_xlfn.XLOOKUP(F186,DeparaIMG!B:B,DeparaIMG!D:D,,0)</f>
        <v>SKZERO350.png</v>
      </c>
    </row>
    <row r="187" spans="1:9" x14ac:dyDescent="0.25">
      <c r="A187" s="2" t="s">
        <v>10</v>
      </c>
      <c r="B187" s="2" t="s">
        <v>63</v>
      </c>
      <c r="C187" t="s">
        <v>88</v>
      </c>
      <c r="D187" t="s">
        <v>26</v>
      </c>
      <c r="E187" s="2">
        <v>2</v>
      </c>
      <c r="F187" t="s">
        <v>76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63</v>
      </c>
      <c r="C188" t="s">
        <v>88</v>
      </c>
      <c r="D188" t="s">
        <v>25</v>
      </c>
      <c r="E188" s="2">
        <v>2</v>
      </c>
      <c r="F188" t="s">
        <v>76</v>
      </c>
      <c r="G188">
        <v>3.49</v>
      </c>
      <c r="H188">
        <v>3.49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63</v>
      </c>
      <c r="C189" t="s">
        <v>89</v>
      </c>
      <c r="D189" t="s">
        <v>25</v>
      </c>
      <c r="E189" s="2">
        <v>2</v>
      </c>
      <c r="F189" t="s">
        <v>76</v>
      </c>
      <c r="G189">
        <v>3.49</v>
      </c>
      <c r="H189">
        <v>3.49</v>
      </c>
      <c r="I189" s="2" t="str">
        <f>_xlfn.XLOOKUP(F189,DeparaIMG!B:B,DeparaIMG!D:D,,0)</f>
        <v>STE269.png</v>
      </c>
    </row>
    <row r="190" spans="1:9" x14ac:dyDescent="0.25">
      <c r="A190" s="2" t="s">
        <v>10</v>
      </c>
      <c r="B190" s="2" t="s">
        <v>63</v>
      </c>
      <c r="C190" t="s">
        <v>91</v>
      </c>
      <c r="D190" t="s">
        <v>25</v>
      </c>
      <c r="E190" s="2">
        <v>2</v>
      </c>
      <c r="F190" t="s">
        <v>76</v>
      </c>
      <c r="G190">
        <v>3.49</v>
      </c>
      <c r="H190">
        <v>3.49</v>
      </c>
      <c r="I190" s="2" t="str">
        <f>_xlfn.XLOOKUP(F190,DeparaIMG!B:B,DeparaIMG!D:D,,0)</f>
        <v>STE269.png</v>
      </c>
    </row>
    <row r="191" spans="1:9" x14ac:dyDescent="0.25">
      <c r="A191" s="2" t="s">
        <v>10</v>
      </c>
      <c r="B191" s="2" t="s">
        <v>63</v>
      </c>
      <c r="C191" t="s">
        <v>90</v>
      </c>
      <c r="D191" t="s">
        <v>25</v>
      </c>
      <c r="E191" s="2">
        <v>2</v>
      </c>
      <c r="F191" t="s">
        <v>76</v>
      </c>
      <c r="G191">
        <v>3.49</v>
      </c>
      <c r="H191">
        <v>3.49</v>
      </c>
      <c r="I191" s="2" t="str">
        <f>_xlfn.XLOOKUP(F191,DeparaIMG!B:B,DeparaIMG!D:D,,0)</f>
        <v>STE269.png</v>
      </c>
    </row>
    <row r="192" spans="1:9" x14ac:dyDescent="0.25">
      <c r="A192" s="2" t="s">
        <v>10</v>
      </c>
      <c r="B192" s="2" t="s">
        <v>63</v>
      </c>
      <c r="C192" t="s">
        <v>89</v>
      </c>
      <c r="D192" t="s">
        <v>26</v>
      </c>
      <c r="E192" s="2">
        <v>2</v>
      </c>
      <c r="F192" t="s">
        <v>76</v>
      </c>
      <c r="G192">
        <v>4.29</v>
      </c>
      <c r="H192">
        <v>3.69</v>
      </c>
      <c r="I192" s="2" t="str">
        <f>_xlfn.XLOOKUP(F192,DeparaIMG!B:B,DeparaIMG!D:D,,0)</f>
        <v>STE269.png</v>
      </c>
    </row>
    <row r="193" spans="1:9" x14ac:dyDescent="0.25">
      <c r="A193" s="2" t="s">
        <v>10</v>
      </c>
      <c r="B193" s="2" t="s">
        <v>63</v>
      </c>
      <c r="C193" t="s">
        <v>91</v>
      </c>
      <c r="D193" t="s">
        <v>26</v>
      </c>
      <c r="E193" s="2">
        <v>2</v>
      </c>
      <c r="F193" t="s">
        <v>76</v>
      </c>
      <c r="G193">
        <v>4.29</v>
      </c>
      <c r="H193">
        <v>3.69</v>
      </c>
      <c r="I193" s="2" t="str">
        <f>_xlfn.XLOOKUP(F193,DeparaIMG!B:B,DeparaIMG!D:D,,0)</f>
        <v>STE269.png</v>
      </c>
    </row>
    <row r="194" spans="1:9" x14ac:dyDescent="0.25">
      <c r="A194" s="2" t="s">
        <v>10</v>
      </c>
      <c r="B194" s="2" t="s">
        <v>63</v>
      </c>
      <c r="C194" t="s">
        <v>90</v>
      </c>
      <c r="D194" t="s">
        <v>26</v>
      </c>
      <c r="E194" s="2">
        <v>2</v>
      </c>
      <c r="F194" t="s">
        <v>76</v>
      </c>
      <c r="G194">
        <v>4.29</v>
      </c>
      <c r="H194">
        <v>3.69</v>
      </c>
      <c r="I194" s="2" t="str">
        <f>_xlfn.XLOOKUP(F194,DeparaIMG!B:B,DeparaIMG!D:D,,0)</f>
        <v>STE269.png</v>
      </c>
    </row>
    <row r="195" spans="1:9" x14ac:dyDescent="0.25">
      <c r="A195" s="2" t="s">
        <v>10</v>
      </c>
      <c r="B195" s="2" t="s">
        <v>63</v>
      </c>
      <c r="C195" t="s">
        <v>4</v>
      </c>
      <c r="D195" t="s">
        <v>26</v>
      </c>
      <c r="E195" s="2">
        <v>1</v>
      </c>
      <c r="F195" t="s">
        <v>77</v>
      </c>
      <c r="G195">
        <v>4.29</v>
      </c>
      <c r="H195">
        <v>3.69</v>
      </c>
      <c r="I195" s="2" t="str">
        <f>_xlfn.XLOOKUP(F195,DeparaIMG!B:B,DeparaIMG!D:D,,0)</f>
        <v>BUD350.png</v>
      </c>
    </row>
    <row r="196" spans="1:9" x14ac:dyDescent="0.25">
      <c r="A196" s="2" t="s">
        <v>10</v>
      </c>
      <c r="B196" s="2" t="s">
        <v>63</v>
      </c>
      <c r="C196" t="s">
        <v>28</v>
      </c>
      <c r="D196" t="s">
        <v>25</v>
      </c>
      <c r="E196" s="2">
        <v>1</v>
      </c>
      <c r="F196" t="s">
        <v>75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63</v>
      </c>
      <c r="C197" t="s">
        <v>28</v>
      </c>
      <c r="D197" t="s">
        <v>26</v>
      </c>
      <c r="E197" s="2">
        <v>1</v>
      </c>
      <c r="F197" t="s">
        <v>77</v>
      </c>
      <c r="G197">
        <v>4.49</v>
      </c>
      <c r="H197">
        <v>3.89</v>
      </c>
      <c r="I197" s="2" t="str">
        <f>_xlfn.XLOOKUP(F197,DeparaIMG!B:B,DeparaIMG!D:D,,0)</f>
        <v>BUD350.png</v>
      </c>
    </row>
    <row r="198" spans="1:9" x14ac:dyDescent="0.25">
      <c r="A198" s="2" t="s">
        <v>10</v>
      </c>
      <c r="B198" s="2" t="s">
        <v>63</v>
      </c>
      <c r="C198" t="s">
        <v>28</v>
      </c>
      <c r="D198" t="s">
        <v>26</v>
      </c>
      <c r="E198" s="2">
        <v>1</v>
      </c>
      <c r="F198" t="s">
        <v>75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63</v>
      </c>
      <c r="C199" t="s">
        <v>29</v>
      </c>
      <c r="D199" t="s">
        <v>25</v>
      </c>
      <c r="E199" s="2">
        <v>1</v>
      </c>
      <c r="F199" t="s">
        <v>75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63</v>
      </c>
      <c r="C200" t="s">
        <v>29</v>
      </c>
      <c r="D200" t="s">
        <v>26</v>
      </c>
      <c r="E200" s="2">
        <v>1</v>
      </c>
      <c r="F200" t="s">
        <v>77</v>
      </c>
      <c r="G200">
        <v>4.49</v>
      </c>
      <c r="H200">
        <v>3.89</v>
      </c>
      <c r="I200" s="2" t="str">
        <f>_xlfn.XLOOKUP(F200,DeparaIMG!B:B,DeparaIMG!D:D,,0)</f>
        <v>BUD350.png</v>
      </c>
    </row>
    <row r="201" spans="1:9" x14ac:dyDescent="0.25">
      <c r="A201" s="2" t="s">
        <v>10</v>
      </c>
      <c r="B201" s="2" t="s">
        <v>63</v>
      </c>
      <c r="C201" t="s">
        <v>29</v>
      </c>
      <c r="D201" t="s">
        <v>26</v>
      </c>
      <c r="E201" s="2">
        <v>1</v>
      </c>
      <c r="F201" t="s">
        <v>75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63</v>
      </c>
      <c r="C202" t="s">
        <v>88</v>
      </c>
      <c r="D202" t="s">
        <v>25</v>
      </c>
      <c r="E202" s="2">
        <v>1</v>
      </c>
      <c r="F202" t="s">
        <v>75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63</v>
      </c>
      <c r="C203" t="s">
        <v>88</v>
      </c>
      <c r="D203" t="s">
        <v>26</v>
      </c>
      <c r="E203" s="2">
        <v>1</v>
      </c>
      <c r="F203" t="s">
        <v>75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63</v>
      </c>
      <c r="C204" t="s">
        <v>89</v>
      </c>
      <c r="D204" t="s">
        <v>25</v>
      </c>
      <c r="E204" s="2">
        <v>1</v>
      </c>
      <c r="F204" t="s">
        <v>75</v>
      </c>
      <c r="G204">
        <v>4.49</v>
      </c>
      <c r="H204">
        <v>3.49</v>
      </c>
      <c r="I204" s="2" t="str">
        <f>_xlfn.XLOOKUP(F204,DeparaIMG!B:B,DeparaIMG!D:D,,0)</f>
        <v>BUDZERO350.png</v>
      </c>
    </row>
    <row r="205" spans="1:9" x14ac:dyDescent="0.25">
      <c r="A205" s="2" t="s">
        <v>10</v>
      </c>
      <c r="B205" s="2" t="s">
        <v>63</v>
      </c>
      <c r="C205" t="s">
        <v>89</v>
      </c>
      <c r="D205" t="s">
        <v>26</v>
      </c>
      <c r="E205" s="2">
        <v>1</v>
      </c>
      <c r="F205" t="s">
        <v>75</v>
      </c>
      <c r="G205">
        <v>4.49</v>
      </c>
      <c r="H205">
        <v>3.49</v>
      </c>
      <c r="I205" s="2" t="str">
        <f>_xlfn.XLOOKUP(F205,DeparaIMG!B:B,DeparaIMG!D:D,,0)</f>
        <v>BUDZERO350.png</v>
      </c>
    </row>
    <row r="206" spans="1:9" x14ac:dyDescent="0.25">
      <c r="A206" s="2" t="s">
        <v>10</v>
      </c>
      <c r="B206" s="2" t="s">
        <v>63</v>
      </c>
      <c r="C206" t="s">
        <v>90</v>
      </c>
      <c r="D206" t="s">
        <v>26</v>
      </c>
      <c r="E206" s="2">
        <v>1</v>
      </c>
      <c r="F206" t="s">
        <v>75</v>
      </c>
      <c r="G206">
        <v>4.49</v>
      </c>
      <c r="H206">
        <v>3.49</v>
      </c>
      <c r="I206" s="2" t="str">
        <f>_xlfn.XLOOKUP(F206,DeparaIMG!B:B,DeparaIMG!D:D,,0)</f>
        <v>BUDZERO350.png</v>
      </c>
    </row>
    <row r="207" spans="1:9" x14ac:dyDescent="0.25">
      <c r="A207" s="2" t="s">
        <v>10</v>
      </c>
      <c r="B207" s="2" t="s">
        <v>63</v>
      </c>
      <c r="C207" t="s">
        <v>90</v>
      </c>
      <c r="D207" t="s">
        <v>25</v>
      </c>
      <c r="E207" s="2">
        <v>1</v>
      </c>
      <c r="F207" t="s">
        <v>75</v>
      </c>
      <c r="G207">
        <v>4.49</v>
      </c>
      <c r="H207">
        <v>3.49</v>
      </c>
      <c r="I207" s="2" t="str">
        <f>_xlfn.XLOOKUP(F207,DeparaIMG!B:B,DeparaIMG!D:D,,0)</f>
        <v>BUDZERO350.png</v>
      </c>
    </row>
    <row r="208" spans="1:9" x14ac:dyDescent="0.25">
      <c r="A208" s="2" t="s">
        <v>10</v>
      </c>
      <c r="B208" s="2" t="s">
        <v>63</v>
      </c>
      <c r="C208" t="s">
        <v>91</v>
      </c>
      <c r="D208" t="s">
        <v>25</v>
      </c>
      <c r="E208" s="2">
        <v>1</v>
      </c>
      <c r="F208" t="s">
        <v>75</v>
      </c>
      <c r="G208">
        <v>4.49</v>
      </c>
      <c r="H208">
        <v>3.49</v>
      </c>
      <c r="I208" s="2" t="str">
        <f>_xlfn.XLOOKUP(F208,DeparaIMG!B:B,DeparaIMG!D:D,,0)</f>
        <v>BUDZERO350.png</v>
      </c>
    </row>
    <row r="209" spans="1:9" x14ac:dyDescent="0.25">
      <c r="A209" s="2" t="s">
        <v>10</v>
      </c>
      <c r="B209" s="2" t="s">
        <v>63</v>
      </c>
      <c r="C209" t="s">
        <v>91</v>
      </c>
      <c r="D209" t="s">
        <v>26</v>
      </c>
      <c r="E209" s="2">
        <v>1</v>
      </c>
      <c r="F209" t="s">
        <v>75</v>
      </c>
      <c r="G209">
        <v>4.49</v>
      </c>
      <c r="H209">
        <v>3.49</v>
      </c>
      <c r="I209" s="2" t="str">
        <f>_xlfn.XLOOKUP(F209,DeparaIMG!B:B,DeparaIMG!D:D,,0)</f>
        <v>BUDZERO350.png</v>
      </c>
    </row>
    <row r="210" spans="1:9" x14ac:dyDescent="0.25">
      <c r="A210" s="2" t="s">
        <v>10</v>
      </c>
      <c r="B210" s="2" t="s">
        <v>63</v>
      </c>
      <c r="C210" t="s">
        <v>88</v>
      </c>
      <c r="D210" t="s">
        <v>26</v>
      </c>
      <c r="E210" s="2">
        <v>2</v>
      </c>
      <c r="F210" t="s">
        <v>78</v>
      </c>
      <c r="G210">
        <v>4.6900000000000004</v>
      </c>
      <c r="H210">
        <v>4.1900000000000004</v>
      </c>
      <c r="I210" s="2" t="str">
        <f>_xlfn.XLOOKUP(F210,DeparaIMG!B:B,DeparaIMG!D:D,,0)</f>
        <v>COR269.png</v>
      </c>
    </row>
    <row r="211" spans="1:9" x14ac:dyDescent="0.25">
      <c r="A211" s="2" t="s">
        <v>10</v>
      </c>
      <c r="B211" s="2" t="s">
        <v>63</v>
      </c>
      <c r="C211" t="s">
        <v>89</v>
      </c>
      <c r="D211" t="s">
        <v>26</v>
      </c>
      <c r="E211" s="2">
        <v>2</v>
      </c>
      <c r="F211" t="s">
        <v>78</v>
      </c>
      <c r="G211">
        <v>4.6900000000000004</v>
      </c>
      <c r="H211">
        <v>4.1900000000000004</v>
      </c>
      <c r="I211" s="2" t="str">
        <f>_xlfn.XLOOKUP(F211,DeparaIMG!B:B,DeparaIMG!D:D,,0)</f>
        <v>COR269.png</v>
      </c>
    </row>
    <row r="212" spans="1:9" x14ac:dyDescent="0.25">
      <c r="A212" s="2" t="s">
        <v>10</v>
      </c>
      <c r="B212" s="2" t="s">
        <v>63</v>
      </c>
      <c r="C212" t="s">
        <v>91</v>
      </c>
      <c r="D212" t="s">
        <v>26</v>
      </c>
      <c r="E212" s="2">
        <v>2</v>
      </c>
      <c r="F212" t="s">
        <v>78</v>
      </c>
      <c r="G212">
        <v>4.6900000000000004</v>
      </c>
      <c r="H212">
        <v>4.1900000000000004</v>
      </c>
      <c r="I212" s="2" t="str">
        <f>_xlfn.XLOOKUP(F212,DeparaIMG!B:B,DeparaIMG!D:D,,0)</f>
        <v>COR269.png</v>
      </c>
    </row>
    <row r="213" spans="1:9" x14ac:dyDescent="0.25">
      <c r="A213" s="2" t="s">
        <v>10</v>
      </c>
      <c r="B213" s="2" t="s">
        <v>63</v>
      </c>
      <c r="C213" t="s">
        <v>90</v>
      </c>
      <c r="D213" t="s">
        <v>26</v>
      </c>
      <c r="E213" s="2">
        <v>2</v>
      </c>
      <c r="F213" t="s">
        <v>78</v>
      </c>
      <c r="G213">
        <v>4.6900000000000004</v>
      </c>
      <c r="H213">
        <v>4.1900000000000004</v>
      </c>
      <c r="I213" s="2" t="str">
        <f>_xlfn.XLOOKUP(F213,DeparaIMG!B:B,DeparaIMG!D:D,,0)</f>
        <v>COR269.png</v>
      </c>
    </row>
    <row r="214" spans="1:9" x14ac:dyDescent="0.25">
      <c r="A214" s="2" t="s">
        <v>10</v>
      </c>
      <c r="B214" s="2" t="s">
        <v>63</v>
      </c>
      <c r="C214" t="s">
        <v>28</v>
      </c>
      <c r="D214" t="s">
        <v>26</v>
      </c>
      <c r="E214" s="2">
        <v>2</v>
      </c>
      <c r="F214" t="s">
        <v>66</v>
      </c>
      <c r="G214">
        <v>4.49</v>
      </c>
      <c r="H214">
        <v>4.49</v>
      </c>
      <c r="I214" s="2" t="str">
        <f>_xlfn.XLOOKUP(F214,DeparaIMG!B:B,DeparaIMG!D:D,,0)</f>
        <v>STE350.png</v>
      </c>
    </row>
    <row r="215" spans="1:9" x14ac:dyDescent="0.25">
      <c r="A215" s="2" t="s">
        <v>10</v>
      </c>
      <c r="B215" s="2" t="s">
        <v>63</v>
      </c>
      <c r="C215" t="s">
        <v>29</v>
      </c>
      <c r="D215" t="s">
        <v>26</v>
      </c>
      <c r="E215" s="2">
        <v>2</v>
      </c>
      <c r="F215" t="s">
        <v>66</v>
      </c>
      <c r="G215">
        <v>5.49</v>
      </c>
      <c r="H215">
        <v>4.6900000000000004</v>
      </c>
      <c r="I215" s="2" t="str">
        <f>_xlfn.XLOOKUP(F215,DeparaIMG!B:B,DeparaIMG!D:D,,0)</f>
        <v>STE350.png</v>
      </c>
    </row>
    <row r="216" spans="1:9" x14ac:dyDescent="0.25">
      <c r="A216" s="2" t="s">
        <v>10</v>
      </c>
      <c r="B216" s="2" t="s">
        <v>63</v>
      </c>
      <c r="C216" t="s">
        <v>28</v>
      </c>
      <c r="D216" t="s">
        <v>25</v>
      </c>
      <c r="E216" s="2">
        <v>1</v>
      </c>
      <c r="F216" t="s">
        <v>79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63</v>
      </c>
      <c r="C217" t="s">
        <v>28</v>
      </c>
      <c r="D217" t="s">
        <v>26</v>
      </c>
      <c r="E217" s="2">
        <v>1</v>
      </c>
      <c r="F217" t="s">
        <v>79</v>
      </c>
      <c r="G217">
        <v>5.49</v>
      </c>
      <c r="H217">
        <v>4.99</v>
      </c>
      <c r="I217" s="2" t="str">
        <f>_xlfn.XLOOKUP(F217,DeparaIMG!B:B,DeparaIMG!D:D,,0)</f>
        <v>MIC350.png</v>
      </c>
    </row>
    <row r="218" spans="1:9" x14ac:dyDescent="0.25">
      <c r="A218" s="2" t="s">
        <v>10</v>
      </c>
      <c r="B218" s="2" t="s">
        <v>63</v>
      </c>
      <c r="C218" t="s">
        <v>29</v>
      </c>
      <c r="D218" t="s">
        <v>25</v>
      </c>
      <c r="E218" s="2">
        <v>1</v>
      </c>
      <c r="F218" t="s">
        <v>79</v>
      </c>
      <c r="G218">
        <v>5.49</v>
      </c>
      <c r="H218">
        <v>4.99</v>
      </c>
      <c r="I218" s="2" t="str">
        <f>_xlfn.XLOOKUP(F218,DeparaIMG!B:B,DeparaIMG!D:D,,0)</f>
        <v>MIC350.png</v>
      </c>
    </row>
    <row r="219" spans="1:9" x14ac:dyDescent="0.25">
      <c r="A219" s="2" t="s">
        <v>10</v>
      </c>
      <c r="B219" s="2" t="s">
        <v>63</v>
      </c>
      <c r="C219" t="s">
        <v>29</v>
      </c>
      <c r="D219" t="s">
        <v>26</v>
      </c>
      <c r="E219" s="2">
        <v>1</v>
      </c>
      <c r="F219" t="s">
        <v>79</v>
      </c>
      <c r="G219">
        <v>5.49</v>
      </c>
      <c r="H219">
        <v>4.99</v>
      </c>
      <c r="I219" s="2" t="str">
        <f>_xlfn.XLOOKUP(F219,DeparaIMG!B:B,DeparaIMG!D:D,,0)</f>
        <v>MIC350.png</v>
      </c>
    </row>
    <row r="220" spans="1:9" x14ac:dyDescent="0.25">
      <c r="A220" s="2" t="s">
        <v>10</v>
      </c>
      <c r="B220" s="2" t="s">
        <v>63</v>
      </c>
      <c r="C220" t="s">
        <v>88</v>
      </c>
      <c r="D220" t="s">
        <v>25</v>
      </c>
      <c r="E220" s="2">
        <v>1</v>
      </c>
      <c r="F220" t="s">
        <v>79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63</v>
      </c>
      <c r="C221" t="s">
        <v>88</v>
      </c>
      <c r="D221" t="s">
        <v>26</v>
      </c>
      <c r="E221" s="2">
        <v>1</v>
      </c>
      <c r="F221" t="s">
        <v>79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63</v>
      </c>
      <c r="C222" t="s">
        <v>4</v>
      </c>
      <c r="D222" t="s">
        <v>25</v>
      </c>
      <c r="E222" s="2">
        <v>1</v>
      </c>
      <c r="F222" t="s">
        <v>79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63</v>
      </c>
      <c r="C223" t="s">
        <v>4</v>
      </c>
      <c r="D223" t="s">
        <v>26</v>
      </c>
      <c r="E223" s="2">
        <v>1</v>
      </c>
      <c r="F223" t="s">
        <v>79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63</v>
      </c>
      <c r="C224" t="s">
        <v>28</v>
      </c>
      <c r="D224" t="s">
        <v>25</v>
      </c>
      <c r="E224" s="2">
        <v>2</v>
      </c>
      <c r="F224" t="s">
        <v>66</v>
      </c>
      <c r="G224">
        <v>5.49</v>
      </c>
      <c r="H224">
        <v>4.6900000000000004</v>
      </c>
      <c r="I224" s="2" t="str">
        <f>_xlfn.XLOOKUP(F224,DeparaIMG!B:B,DeparaIMG!D:D,,0)</f>
        <v>STE350.png</v>
      </c>
    </row>
    <row r="225" spans="1:9" x14ac:dyDescent="0.25">
      <c r="A225" s="2" t="s">
        <v>10</v>
      </c>
      <c r="B225" s="2" t="s">
        <v>63</v>
      </c>
      <c r="C225" t="s">
        <v>29</v>
      </c>
      <c r="D225" t="s">
        <v>25</v>
      </c>
      <c r="E225" s="2">
        <v>2</v>
      </c>
      <c r="F225" t="s">
        <v>66</v>
      </c>
      <c r="G225">
        <v>5.49</v>
      </c>
      <c r="H225">
        <v>4.6900000000000004</v>
      </c>
      <c r="I225" s="2" t="str">
        <f>_xlfn.XLOOKUP(F225,DeparaIMG!B:B,DeparaIMG!D:D,,0)</f>
        <v>STE350.png</v>
      </c>
    </row>
    <row r="226" spans="1:9" x14ac:dyDescent="0.25">
      <c r="A226" s="2" t="s">
        <v>10</v>
      </c>
      <c r="B226" s="2" t="s">
        <v>63</v>
      </c>
      <c r="C226" t="s">
        <v>4</v>
      </c>
      <c r="D226" t="s">
        <v>26</v>
      </c>
      <c r="E226" s="2">
        <v>2</v>
      </c>
      <c r="F226" t="s">
        <v>66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63</v>
      </c>
      <c r="C227" t="s">
        <v>89</v>
      </c>
      <c r="D227" t="s">
        <v>25</v>
      </c>
      <c r="E227" s="2">
        <v>1</v>
      </c>
      <c r="F227" t="s">
        <v>79</v>
      </c>
      <c r="G227">
        <v>5.49</v>
      </c>
      <c r="H227">
        <v>4.99</v>
      </c>
      <c r="I227" s="2" t="str">
        <f>_xlfn.XLOOKUP(F227,DeparaIMG!B:B,DeparaIMG!D:D,,0)</f>
        <v>MIC350.png</v>
      </c>
    </row>
    <row r="228" spans="1:9" x14ac:dyDescent="0.25">
      <c r="A228" s="2" t="s">
        <v>10</v>
      </c>
      <c r="B228" s="2" t="s">
        <v>63</v>
      </c>
      <c r="C228" t="s">
        <v>89</v>
      </c>
      <c r="D228" t="s">
        <v>26</v>
      </c>
      <c r="E228" s="2">
        <v>1</v>
      </c>
      <c r="F228" t="s">
        <v>79</v>
      </c>
      <c r="G228">
        <v>5.49</v>
      </c>
      <c r="H228">
        <v>4.99</v>
      </c>
      <c r="I228" s="2" t="str">
        <f>_xlfn.XLOOKUP(F228,DeparaIMG!B:B,DeparaIMG!D:D,,0)</f>
        <v>MIC350.png</v>
      </c>
    </row>
    <row r="229" spans="1:9" x14ac:dyDescent="0.25">
      <c r="A229" s="2" t="s">
        <v>10</v>
      </c>
      <c r="B229" s="2" t="s">
        <v>63</v>
      </c>
      <c r="C229" t="s">
        <v>90</v>
      </c>
      <c r="D229" t="s">
        <v>25</v>
      </c>
      <c r="E229" s="2">
        <v>1</v>
      </c>
      <c r="F229" t="s">
        <v>79</v>
      </c>
      <c r="G229">
        <v>5.49</v>
      </c>
      <c r="H229">
        <v>4.99</v>
      </c>
      <c r="I229" s="2" t="str">
        <f>_xlfn.XLOOKUP(F229,DeparaIMG!B:B,DeparaIMG!D:D,,0)</f>
        <v>MIC350.png</v>
      </c>
    </row>
    <row r="230" spans="1:9" x14ac:dyDescent="0.25">
      <c r="A230" s="2" t="s">
        <v>10</v>
      </c>
      <c r="B230" s="2" t="s">
        <v>63</v>
      </c>
      <c r="C230" t="s">
        <v>91</v>
      </c>
      <c r="D230" t="s">
        <v>25</v>
      </c>
      <c r="E230" s="2">
        <v>1</v>
      </c>
      <c r="F230" t="s">
        <v>79</v>
      </c>
      <c r="G230">
        <v>5.49</v>
      </c>
      <c r="H230">
        <v>4.99</v>
      </c>
      <c r="I230" s="2" t="str">
        <f>_xlfn.XLOOKUP(F230,DeparaIMG!B:B,DeparaIMG!D:D,,0)</f>
        <v>MIC350.png</v>
      </c>
    </row>
    <row r="231" spans="1:9" x14ac:dyDescent="0.25">
      <c r="A231" s="2" t="s">
        <v>10</v>
      </c>
      <c r="B231" s="2" t="s">
        <v>63</v>
      </c>
      <c r="C231" t="s">
        <v>90</v>
      </c>
      <c r="D231" t="s">
        <v>26</v>
      </c>
      <c r="E231" s="2">
        <v>1</v>
      </c>
      <c r="F231" t="s">
        <v>79</v>
      </c>
      <c r="G231">
        <v>5.49</v>
      </c>
      <c r="H231">
        <v>4.99</v>
      </c>
      <c r="I231" s="2" t="str">
        <f>_xlfn.XLOOKUP(F231,DeparaIMG!B:B,DeparaIMG!D:D,,0)</f>
        <v>MIC350.png</v>
      </c>
    </row>
    <row r="232" spans="1:9" x14ac:dyDescent="0.25">
      <c r="A232" s="2" t="s">
        <v>10</v>
      </c>
      <c r="B232" s="2" t="s">
        <v>63</v>
      </c>
      <c r="C232" t="s">
        <v>91</v>
      </c>
      <c r="D232" t="s">
        <v>26</v>
      </c>
      <c r="E232" s="2">
        <v>1</v>
      </c>
      <c r="F232" t="s">
        <v>79</v>
      </c>
      <c r="G232">
        <v>5.49</v>
      </c>
      <c r="H232">
        <v>4.99</v>
      </c>
      <c r="I232" s="2" t="str">
        <f>_xlfn.XLOOKUP(F232,DeparaIMG!B:B,DeparaIMG!D:D,,0)</f>
        <v>MIC350.png</v>
      </c>
    </row>
    <row r="233" spans="1:9" x14ac:dyDescent="0.25">
      <c r="A233" s="2" t="s">
        <v>10</v>
      </c>
      <c r="B233" s="2" t="s">
        <v>63</v>
      </c>
      <c r="C233" t="s">
        <v>4</v>
      </c>
      <c r="D233" t="s">
        <v>25</v>
      </c>
      <c r="E233" s="2">
        <v>2</v>
      </c>
      <c r="F233" t="s">
        <v>66</v>
      </c>
      <c r="G233">
        <v>5.49</v>
      </c>
      <c r="H233">
        <v>4.6900000000000004</v>
      </c>
      <c r="I233" s="2" t="str">
        <f>_xlfn.XLOOKUP(F233,DeparaIMG!B:B,DeparaIMG!D:D,,0)</f>
        <v>STE350.png</v>
      </c>
    </row>
    <row r="234" spans="1:9" x14ac:dyDescent="0.25">
      <c r="A234" s="2" t="s">
        <v>10</v>
      </c>
      <c r="B234" s="2" t="s">
        <v>63</v>
      </c>
      <c r="C234" t="s">
        <v>28</v>
      </c>
      <c r="D234" t="s">
        <v>26</v>
      </c>
      <c r="E234" s="2">
        <v>2</v>
      </c>
      <c r="F234" t="s">
        <v>80</v>
      </c>
      <c r="G234">
        <v>6.19</v>
      </c>
      <c r="H234">
        <v>5.39</v>
      </c>
      <c r="I234" s="2" t="str">
        <f>_xlfn.XLOOKUP(F234,DeparaIMG!B:B,DeparaIMG!D:D,,0)</f>
        <v>COR350.png</v>
      </c>
    </row>
    <row r="235" spans="1:9" x14ac:dyDescent="0.25">
      <c r="A235" s="2" t="s">
        <v>10</v>
      </c>
      <c r="B235" s="2" t="s">
        <v>63</v>
      </c>
      <c r="C235" t="s">
        <v>28</v>
      </c>
      <c r="D235" t="s">
        <v>26</v>
      </c>
      <c r="E235" s="2">
        <v>2</v>
      </c>
      <c r="F235" t="s">
        <v>81</v>
      </c>
      <c r="G235">
        <v>6.19</v>
      </c>
      <c r="H235">
        <v>5.39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63</v>
      </c>
      <c r="C236" t="s">
        <v>28</v>
      </c>
      <c r="D236" t="s">
        <v>25</v>
      </c>
      <c r="E236" s="2">
        <v>2</v>
      </c>
      <c r="F236" t="s">
        <v>81</v>
      </c>
      <c r="G236">
        <v>6.19</v>
      </c>
      <c r="H236">
        <v>5.39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63</v>
      </c>
      <c r="C237" t="s">
        <v>29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COR350.png</v>
      </c>
    </row>
    <row r="238" spans="1:9" x14ac:dyDescent="0.25">
      <c r="A238" s="2" t="s">
        <v>10</v>
      </c>
      <c r="B238" s="2" t="s">
        <v>63</v>
      </c>
      <c r="C238" t="s">
        <v>4</v>
      </c>
      <c r="D238" t="s">
        <v>26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COR350.png</v>
      </c>
    </row>
    <row r="239" spans="1:9" x14ac:dyDescent="0.25">
      <c r="A239" s="2" t="s">
        <v>10</v>
      </c>
      <c r="B239" s="2" t="s">
        <v>63</v>
      </c>
      <c r="C239" t="s">
        <v>29</v>
      </c>
      <c r="D239" t="s">
        <v>26</v>
      </c>
      <c r="E239" s="2">
        <v>2</v>
      </c>
      <c r="F239" t="s">
        <v>81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63</v>
      </c>
      <c r="C240" t="s">
        <v>88</v>
      </c>
      <c r="D240" t="s">
        <v>26</v>
      </c>
      <c r="E240" s="2">
        <v>2</v>
      </c>
      <c r="F240" t="s">
        <v>81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63</v>
      </c>
      <c r="C241" t="s">
        <v>89</v>
      </c>
      <c r="D241" t="s">
        <v>26</v>
      </c>
      <c r="E241" s="2">
        <v>2</v>
      </c>
      <c r="F241" t="s">
        <v>81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63</v>
      </c>
      <c r="C242" t="s">
        <v>4</v>
      </c>
      <c r="D242" t="s">
        <v>26</v>
      </c>
      <c r="E242" s="2">
        <v>2</v>
      </c>
      <c r="F242" t="s">
        <v>81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63</v>
      </c>
      <c r="C243" t="s">
        <v>91</v>
      </c>
      <c r="D243" t="s">
        <v>26</v>
      </c>
      <c r="E243" s="2">
        <v>2</v>
      </c>
      <c r="F243" t="s">
        <v>81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63</v>
      </c>
      <c r="C244" t="s">
        <v>90</v>
      </c>
      <c r="D244" t="s">
        <v>26</v>
      </c>
      <c r="E244" s="2">
        <v>2</v>
      </c>
      <c r="F244" t="s">
        <v>81</v>
      </c>
      <c r="G244">
        <v>6.29</v>
      </c>
      <c r="H244">
        <v>5.49</v>
      </c>
      <c r="I244" s="2" t="str">
        <f>_xlfn.XLOOKUP(F244,DeparaIMG!B:B,DeparaIMG!D:D,,0)</f>
        <v>CORCERO350.png</v>
      </c>
    </row>
    <row r="245" spans="1:9" x14ac:dyDescent="0.25">
      <c r="A245" s="2" t="s">
        <v>10</v>
      </c>
      <c r="B245" s="2" t="s">
        <v>63</v>
      </c>
      <c r="C245" t="s">
        <v>88</v>
      </c>
      <c r="D245" t="s">
        <v>25</v>
      </c>
      <c r="E245" s="2">
        <v>2</v>
      </c>
      <c r="F245" t="s">
        <v>81</v>
      </c>
      <c r="G245">
        <v>6.29</v>
      </c>
      <c r="H245">
        <v>5.49</v>
      </c>
      <c r="I245" s="2" t="str">
        <f>_xlfn.XLOOKUP(F245,DeparaIMG!B:B,DeparaIMG!D:D,,0)</f>
        <v>CORCERO350.png</v>
      </c>
    </row>
    <row r="246" spans="1:9" x14ac:dyDescent="0.25">
      <c r="A246" s="2" t="s">
        <v>10</v>
      </c>
      <c r="B246" s="2" t="s">
        <v>63</v>
      </c>
      <c r="C246" t="s">
        <v>89</v>
      </c>
      <c r="D246" t="s">
        <v>25</v>
      </c>
      <c r="E246" s="2">
        <v>2</v>
      </c>
      <c r="F246" t="s">
        <v>81</v>
      </c>
      <c r="G246">
        <v>6.29</v>
      </c>
      <c r="H246">
        <v>5.49</v>
      </c>
      <c r="I246" s="2" t="str">
        <f>_xlfn.XLOOKUP(F246,DeparaIMG!B:B,DeparaIMG!D:D,,0)</f>
        <v>CORCERO350.png</v>
      </c>
    </row>
    <row r="247" spans="1:9" x14ac:dyDescent="0.25">
      <c r="A247" s="2" t="s">
        <v>10</v>
      </c>
      <c r="B247" s="2" t="s">
        <v>63</v>
      </c>
      <c r="C247" t="s">
        <v>91</v>
      </c>
      <c r="D247" t="s">
        <v>25</v>
      </c>
      <c r="E247" s="2">
        <v>2</v>
      </c>
      <c r="F247" t="s">
        <v>81</v>
      </c>
      <c r="G247">
        <v>6.29</v>
      </c>
      <c r="H247">
        <v>5.49</v>
      </c>
      <c r="I247" s="2" t="str">
        <f>_xlfn.XLOOKUP(F247,DeparaIMG!B:B,DeparaIMG!D:D,,0)</f>
        <v>CORCERO350.png</v>
      </c>
    </row>
    <row r="248" spans="1:9" x14ac:dyDescent="0.25">
      <c r="A248" s="2" t="s">
        <v>10</v>
      </c>
      <c r="B248" s="2" t="s">
        <v>63</v>
      </c>
      <c r="C248" t="s">
        <v>90</v>
      </c>
      <c r="D248" t="s">
        <v>25</v>
      </c>
      <c r="E248" s="2">
        <v>2</v>
      </c>
      <c r="F248" t="s">
        <v>81</v>
      </c>
      <c r="G248">
        <v>6.29</v>
      </c>
      <c r="H248">
        <v>5.49</v>
      </c>
      <c r="I248" s="2" t="str">
        <f>_xlfn.XLOOKUP(F248,DeparaIMG!B:B,DeparaIMG!D:D,,0)</f>
        <v>CORCERO350.png</v>
      </c>
    </row>
    <row r="249" spans="1:9" x14ac:dyDescent="0.25">
      <c r="A249" s="2" t="s">
        <v>10</v>
      </c>
      <c r="B249" s="2" t="s">
        <v>63</v>
      </c>
      <c r="C249" t="s">
        <v>29</v>
      </c>
      <c r="D249" t="s">
        <v>25</v>
      </c>
      <c r="E249" s="2">
        <v>2</v>
      </c>
      <c r="F249" t="s">
        <v>81</v>
      </c>
      <c r="G249">
        <v>6.29</v>
      </c>
      <c r="H249">
        <v>5.49</v>
      </c>
      <c r="I249" s="2" t="str">
        <f>_xlfn.XLOOKUP(F249,DeparaIMG!B:B,DeparaIMG!D:D,,0)</f>
        <v>CORCERO350.png</v>
      </c>
    </row>
    <row r="250" spans="1:9" x14ac:dyDescent="0.25">
      <c r="A250" s="2" t="s">
        <v>10</v>
      </c>
      <c r="B250" s="2" t="s">
        <v>63</v>
      </c>
      <c r="C250" t="s">
        <v>4</v>
      </c>
      <c r="D250" t="s">
        <v>25</v>
      </c>
      <c r="E250" s="2">
        <v>2</v>
      </c>
      <c r="F250" t="s">
        <v>81</v>
      </c>
      <c r="G250">
        <v>6.29</v>
      </c>
      <c r="H250">
        <v>5.49</v>
      </c>
      <c r="I250" s="2" t="str">
        <f>_xlfn.XLOOKUP(F250,DeparaIMG!B:B,DeparaIMG!D:D,,0)</f>
        <v>CORCERO350.png</v>
      </c>
    </row>
    <row r="251" spans="1:9" x14ac:dyDescent="0.25">
      <c r="A251" s="2" t="s">
        <v>10</v>
      </c>
      <c r="B251" s="2" t="s">
        <v>63</v>
      </c>
      <c r="C251" t="s">
        <v>28</v>
      </c>
      <c r="D251" t="s">
        <v>26</v>
      </c>
      <c r="E251" s="2">
        <v>1</v>
      </c>
      <c r="F251" t="s">
        <v>82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63</v>
      </c>
      <c r="C252" t="s">
        <v>29</v>
      </c>
      <c r="D252" t="s">
        <v>26</v>
      </c>
      <c r="E252" s="2">
        <v>1</v>
      </c>
      <c r="F252" t="s">
        <v>82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63</v>
      </c>
      <c r="C253" t="s">
        <v>88</v>
      </c>
      <c r="D253" t="s">
        <v>26</v>
      </c>
      <c r="E253" s="2">
        <v>1</v>
      </c>
      <c r="F253" t="s">
        <v>82</v>
      </c>
      <c r="G253">
        <v>6.39</v>
      </c>
      <c r="H253">
        <v>5.39</v>
      </c>
      <c r="I253" s="2" t="str">
        <f>_xlfn.XLOOKUP(F253,DeparaIMG!B:B,DeparaIMG!D:D,,0)</f>
        <v>BUDZEROLN.png</v>
      </c>
    </row>
    <row r="254" spans="1:9" x14ac:dyDescent="0.25">
      <c r="A254" s="2" t="s">
        <v>10</v>
      </c>
      <c r="B254" s="2" t="s">
        <v>63</v>
      </c>
      <c r="C254" t="s">
        <v>89</v>
      </c>
      <c r="D254" t="s">
        <v>26</v>
      </c>
      <c r="E254" s="2">
        <v>1</v>
      </c>
      <c r="F254" t="s">
        <v>82</v>
      </c>
      <c r="G254">
        <v>6.39</v>
      </c>
      <c r="H254">
        <v>5.39</v>
      </c>
      <c r="I254" s="2" t="str">
        <f>_xlfn.XLOOKUP(F254,DeparaIMG!B:B,DeparaIMG!D:D,,0)</f>
        <v>BUDZEROLN.png</v>
      </c>
    </row>
    <row r="255" spans="1:9" x14ac:dyDescent="0.25">
      <c r="A255" s="2" t="s">
        <v>10</v>
      </c>
      <c r="B255" s="2" t="s">
        <v>63</v>
      </c>
      <c r="C255" t="s">
        <v>4</v>
      </c>
      <c r="D255" t="s">
        <v>25</v>
      </c>
      <c r="E255" s="2">
        <v>1</v>
      </c>
      <c r="F255" t="s">
        <v>83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63</v>
      </c>
      <c r="C256" t="s">
        <v>4</v>
      </c>
      <c r="D256" t="s">
        <v>26</v>
      </c>
      <c r="E256" s="2">
        <v>1</v>
      </c>
      <c r="F256" t="s">
        <v>83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63</v>
      </c>
      <c r="C257" t="s">
        <v>4</v>
      </c>
      <c r="D257" t="s">
        <v>25</v>
      </c>
      <c r="E257" s="2">
        <v>1</v>
      </c>
      <c r="F257" t="s">
        <v>82</v>
      </c>
      <c r="G257">
        <v>6.39</v>
      </c>
      <c r="H257">
        <v>5.39</v>
      </c>
      <c r="I257" s="2" t="str">
        <f>_xlfn.XLOOKUP(F257,DeparaIMG!B:B,DeparaIMG!D:D,,0)</f>
        <v>BUDZEROLN.png</v>
      </c>
    </row>
    <row r="258" spans="1:9" x14ac:dyDescent="0.25">
      <c r="A258" s="2" t="s">
        <v>10</v>
      </c>
      <c r="B258" s="2" t="s">
        <v>63</v>
      </c>
      <c r="C258" t="s">
        <v>4</v>
      </c>
      <c r="D258" t="s">
        <v>26</v>
      </c>
      <c r="E258" s="2">
        <v>1</v>
      </c>
      <c r="F258" t="s">
        <v>82</v>
      </c>
      <c r="G258">
        <v>6.39</v>
      </c>
      <c r="H258">
        <v>5.39</v>
      </c>
      <c r="I258" s="2" t="str">
        <f>_xlfn.XLOOKUP(F258,DeparaIMG!B:B,DeparaIMG!D:D,,0)</f>
        <v>BUDZEROLN.png</v>
      </c>
    </row>
    <row r="259" spans="1:9" x14ac:dyDescent="0.25">
      <c r="A259" s="2" t="s">
        <v>10</v>
      </c>
      <c r="B259" s="2" t="s">
        <v>63</v>
      </c>
      <c r="C259" t="s">
        <v>91</v>
      </c>
      <c r="D259" t="s">
        <v>26</v>
      </c>
      <c r="E259" s="2">
        <v>1</v>
      </c>
      <c r="F259" t="s">
        <v>82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63</v>
      </c>
      <c r="C260" t="s">
        <v>28</v>
      </c>
      <c r="D260" t="s">
        <v>26</v>
      </c>
      <c r="E260" s="2">
        <v>1</v>
      </c>
      <c r="F260" t="s">
        <v>83</v>
      </c>
      <c r="G260">
        <v>6.39</v>
      </c>
      <c r="H260">
        <v>5.69</v>
      </c>
      <c r="I260" s="2" t="str">
        <f>_xlfn.XLOOKUP(F260,DeparaIMG!B:B,DeparaIMG!D:D,,0)</f>
        <v>BUDLN.png</v>
      </c>
    </row>
    <row r="261" spans="1:9" x14ac:dyDescent="0.25">
      <c r="A261" s="2" t="s">
        <v>10</v>
      </c>
      <c r="B261" s="2" t="s">
        <v>63</v>
      </c>
      <c r="C261" t="s">
        <v>29</v>
      </c>
      <c r="D261" t="s">
        <v>26</v>
      </c>
      <c r="E261" s="2">
        <v>1</v>
      </c>
      <c r="F261" t="s">
        <v>83</v>
      </c>
      <c r="G261">
        <v>6.39</v>
      </c>
      <c r="H261">
        <v>5.69</v>
      </c>
      <c r="I261" s="2" t="str">
        <f>_xlfn.XLOOKUP(F261,DeparaIMG!B:B,DeparaIMG!D:D,,0)</f>
        <v>BUDLN.png</v>
      </c>
    </row>
    <row r="262" spans="1:9" x14ac:dyDescent="0.25">
      <c r="A262" s="2" t="s">
        <v>10</v>
      </c>
      <c r="B262" s="2" t="s">
        <v>63</v>
      </c>
      <c r="C262" t="s">
        <v>88</v>
      </c>
      <c r="D262" t="s">
        <v>26</v>
      </c>
      <c r="E262" s="2">
        <v>1</v>
      </c>
      <c r="F262" t="s">
        <v>83</v>
      </c>
      <c r="G262">
        <v>6.39</v>
      </c>
      <c r="H262">
        <v>5.69</v>
      </c>
      <c r="I262" s="2" t="str">
        <f>_xlfn.XLOOKUP(F262,DeparaIMG!B:B,DeparaIMG!D:D,,0)</f>
        <v>BUDLN.png</v>
      </c>
    </row>
    <row r="263" spans="1:9" x14ac:dyDescent="0.25">
      <c r="A263" s="2" t="s">
        <v>10</v>
      </c>
      <c r="B263" s="2" t="s">
        <v>63</v>
      </c>
      <c r="C263" t="s">
        <v>89</v>
      </c>
      <c r="D263" t="s">
        <v>26</v>
      </c>
      <c r="E263" s="2">
        <v>1</v>
      </c>
      <c r="F263" t="s">
        <v>83</v>
      </c>
      <c r="G263">
        <v>6.39</v>
      </c>
      <c r="H263">
        <v>5.69</v>
      </c>
      <c r="I263" s="2" t="str">
        <f>_xlfn.XLOOKUP(F263,DeparaIMG!B:B,DeparaIMG!D:D,,0)</f>
        <v>BUDLN.png</v>
      </c>
    </row>
    <row r="264" spans="1:9" x14ac:dyDescent="0.25">
      <c r="A264" s="2" t="s">
        <v>10</v>
      </c>
      <c r="B264" s="2" t="s">
        <v>63</v>
      </c>
      <c r="C264" t="s">
        <v>91</v>
      </c>
      <c r="D264" t="s">
        <v>26</v>
      </c>
      <c r="E264" s="2">
        <v>1</v>
      </c>
      <c r="F264" t="s">
        <v>83</v>
      </c>
      <c r="G264">
        <v>6.39</v>
      </c>
      <c r="H264">
        <v>5.69</v>
      </c>
      <c r="I264" s="2" t="str">
        <f>_xlfn.XLOOKUP(F264,DeparaIMG!B:B,DeparaIMG!D:D,,0)</f>
        <v>BUDLN.png</v>
      </c>
    </row>
    <row r="265" spans="1:9" x14ac:dyDescent="0.25">
      <c r="A265" s="2" t="s">
        <v>10</v>
      </c>
      <c r="B265" s="2" t="s">
        <v>63</v>
      </c>
      <c r="C265" t="s">
        <v>90</v>
      </c>
      <c r="D265" t="s">
        <v>26</v>
      </c>
      <c r="E265" s="2">
        <v>1</v>
      </c>
      <c r="F265" t="s">
        <v>83</v>
      </c>
      <c r="G265">
        <v>6.39</v>
      </c>
      <c r="H265">
        <v>5.69</v>
      </c>
      <c r="I265" s="2" t="str">
        <f>_xlfn.XLOOKUP(F265,DeparaIMG!B:B,DeparaIMG!D:D,,0)</f>
        <v>BUDLN.png</v>
      </c>
    </row>
    <row r="266" spans="1:9" x14ac:dyDescent="0.25">
      <c r="A266" s="2" t="s">
        <v>10</v>
      </c>
      <c r="B266" s="2" t="s">
        <v>63</v>
      </c>
      <c r="C266" t="s">
        <v>90</v>
      </c>
      <c r="D266" t="s">
        <v>26</v>
      </c>
      <c r="E266" s="2">
        <v>1</v>
      </c>
      <c r="F266" t="s">
        <v>82</v>
      </c>
      <c r="G266">
        <v>6.39</v>
      </c>
      <c r="H266">
        <v>5.39</v>
      </c>
      <c r="I266" s="2" t="str">
        <f>_xlfn.XLOOKUP(F266,DeparaIMG!B:B,DeparaIMG!D:D,,0)</f>
        <v>BUDZEROLN.png</v>
      </c>
    </row>
    <row r="267" spans="1:9" x14ac:dyDescent="0.25">
      <c r="A267" s="2" t="s">
        <v>10</v>
      </c>
      <c r="B267" s="2" t="s">
        <v>63</v>
      </c>
      <c r="C267" t="s">
        <v>28</v>
      </c>
      <c r="D267" t="s">
        <v>25</v>
      </c>
      <c r="E267" s="2">
        <v>2</v>
      </c>
      <c r="F267" t="s">
        <v>84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63</v>
      </c>
      <c r="C268" t="s">
        <v>28</v>
      </c>
      <c r="D268" t="s">
        <v>26</v>
      </c>
      <c r="E268" s="2">
        <v>2</v>
      </c>
      <c r="F268" t="s">
        <v>84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63</v>
      </c>
      <c r="C269" t="s">
        <v>29</v>
      </c>
      <c r="D269" t="s">
        <v>25</v>
      </c>
      <c r="E269" s="2">
        <v>2</v>
      </c>
      <c r="F269" t="s">
        <v>84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63</v>
      </c>
      <c r="C270" t="s">
        <v>29</v>
      </c>
      <c r="D270" t="s">
        <v>26</v>
      </c>
      <c r="E270" s="2">
        <v>2</v>
      </c>
      <c r="F270" t="s">
        <v>84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63</v>
      </c>
      <c r="C271" t="s">
        <v>88</v>
      </c>
      <c r="D271" t="s">
        <v>25</v>
      </c>
      <c r="E271" s="2">
        <v>2</v>
      </c>
      <c r="F271" t="s">
        <v>84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63</v>
      </c>
      <c r="C272" t="s">
        <v>88</v>
      </c>
      <c r="D272" t="s">
        <v>26</v>
      </c>
      <c r="E272" s="2">
        <v>2</v>
      </c>
      <c r="F272" t="s">
        <v>84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63</v>
      </c>
      <c r="C273" t="s">
        <v>89</v>
      </c>
      <c r="D273" t="s">
        <v>25</v>
      </c>
      <c r="E273" s="2">
        <v>2</v>
      </c>
      <c r="F273" t="s">
        <v>84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63</v>
      </c>
      <c r="C274" t="s">
        <v>89</v>
      </c>
      <c r="D274" t="s">
        <v>26</v>
      </c>
      <c r="E274" s="2">
        <v>2</v>
      </c>
      <c r="F274" t="s">
        <v>84</v>
      </c>
      <c r="G274">
        <v>6.69</v>
      </c>
      <c r="H274">
        <v>5.99</v>
      </c>
      <c r="I274" s="2" t="str">
        <f>_xlfn.XLOOKUP(F274,DeparaIMG!B:B,DeparaIMG!D:D,,0)</f>
        <v>MICLN.png</v>
      </c>
    </row>
    <row r="275" spans="1:9" x14ac:dyDescent="0.25">
      <c r="A275" s="2" t="s">
        <v>10</v>
      </c>
      <c r="B275" s="2" t="s">
        <v>63</v>
      </c>
      <c r="C275" t="s">
        <v>4</v>
      </c>
      <c r="D275" t="s">
        <v>25</v>
      </c>
      <c r="E275" s="2">
        <v>2</v>
      </c>
      <c r="F275" t="s">
        <v>84</v>
      </c>
      <c r="G275">
        <v>6.69</v>
      </c>
      <c r="H275">
        <v>5.99</v>
      </c>
      <c r="I275" s="2" t="str">
        <f>_xlfn.XLOOKUP(F275,DeparaIMG!B:B,DeparaIMG!D:D,,0)</f>
        <v>MICLN.png</v>
      </c>
    </row>
    <row r="276" spans="1:9" x14ac:dyDescent="0.25">
      <c r="A276" s="2" t="s">
        <v>10</v>
      </c>
      <c r="B276" s="2" t="s">
        <v>63</v>
      </c>
      <c r="C276" t="s">
        <v>4</v>
      </c>
      <c r="D276" t="s">
        <v>26</v>
      </c>
      <c r="E276" s="2">
        <v>2</v>
      </c>
      <c r="F276" t="s">
        <v>84</v>
      </c>
      <c r="G276">
        <v>6.69</v>
      </c>
      <c r="H276">
        <v>5.99</v>
      </c>
      <c r="I276" s="2" t="str">
        <f>_xlfn.XLOOKUP(F276,DeparaIMG!B:B,DeparaIMG!D:D,,0)</f>
        <v>MICLN.png</v>
      </c>
    </row>
    <row r="277" spans="1:9" x14ac:dyDescent="0.25">
      <c r="A277" s="2" t="s">
        <v>10</v>
      </c>
      <c r="B277" s="2" t="s">
        <v>63</v>
      </c>
      <c r="C277" t="s">
        <v>91</v>
      </c>
      <c r="D277" t="s">
        <v>26</v>
      </c>
      <c r="E277" s="2">
        <v>2</v>
      </c>
      <c r="F277" t="s">
        <v>84</v>
      </c>
      <c r="G277">
        <v>6.69</v>
      </c>
      <c r="H277">
        <v>5.99</v>
      </c>
      <c r="I277" s="2" t="str">
        <f>_xlfn.XLOOKUP(F277,DeparaIMG!B:B,DeparaIMG!D:D,,0)</f>
        <v>MICLN.png</v>
      </c>
    </row>
    <row r="278" spans="1:9" x14ac:dyDescent="0.25">
      <c r="A278" s="2" t="s">
        <v>10</v>
      </c>
      <c r="B278" s="2" t="s">
        <v>63</v>
      </c>
      <c r="C278" t="s">
        <v>90</v>
      </c>
      <c r="D278" t="s">
        <v>26</v>
      </c>
      <c r="E278" s="2">
        <v>2</v>
      </c>
      <c r="F278" t="s">
        <v>84</v>
      </c>
      <c r="G278">
        <v>6.69</v>
      </c>
      <c r="H278">
        <v>5.99</v>
      </c>
      <c r="I278" s="2" t="str">
        <f>_xlfn.XLOOKUP(F278,DeparaIMG!B:B,DeparaIMG!D:D,,0)</f>
        <v>MICLN.png</v>
      </c>
    </row>
    <row r="279" spans="1:9" x14ac:dyDescent="0.25">
      <c r="A279" s="2" t="s">
        <v>10</v>
      </c>
      <c r="B279" s="2" t="s">
        <v>63</v>
      </c>
      <c r="C279" t="s">
        <v>90</v>
      </c>
      <c r="D279" t="s">
        <v>25</v>
      </c>
      <c r="E279" s="2">
        <v>2</v>
      </c>
      <c r="F279" t="s">
        <v>84</v>
      </c>
      <c r="G279">
        <v>6.69</v>
      </c>
      <c r="H279">
        <v>5.99</v>
      </c>
      <c r="I279" s="2" t="str">
        <f>_xlfn.XLOOKUP(F279,DeparaIMG!B:B,DeparaIMG!D:D,,0)</f>
        <v>MICLN.png</v>
      </c>
    </row>
    <row r="280" spans="1:9" x14ac:dyDescent="0.25">
      <c r="A280" s="2" t="s">
        <v>10</v>
      </c>
      <c r="B280" s="2" t="s">
        <v>63</v>
      </c>
      <c r="C280" t="s">
        <v>91</v>
      </c>
      <c r="D280" t="s">
        <v>25</v>
      </c>
      <c r="E280" s="2">
        <v>2</v>
      </c>
      <c r="F280" t="s">
        <v>84</v>
      </c>
      <c r="G280">
        <v>6.69</v>
      </c>
      <c r="H280">
        <v>5.99</v>
      </c>
      <c r="I280" s="2" t="str">
        <f>_xlfn.XLOOKUP(F280,DeparaIMG!B:B,DeparaIMG!D:D,,0)</f>
        <v>MICLN.png</v>
      </c>
    </row>
    <row r="281" spans="1:9" x14ac:dyDescent="0.25">
      <c r="A281" s="2" t="s">
        <v>10</v>
      </c>
      <c r="B281" s="2" t="s">
        <v>63</v>
      </c>
      <c r="C281" t="s">
        <v>92</v>
      </c>
      <c r="D281" t="s">
        <v>25</v>
      </c>
      <c r="E281" s="2">
        <v>2</v>
      </c>
      <c r="F281" t="s">
        <v>85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63</v>
      </c>
      <c r="C282" t="s">
        <v>4</v>
      </c>
      <c r="D282" t="s">
        <v>25</v>
      </c>
      <c r="E282" s="2">
        <v>2</v>
      </c>
      <c r="F282" t="s">
        <v>85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63</v>
      </c>
      <c r="C283" t="s">
        <v>90</v>
      </c>
      <c r="D283" t="s">
        <v>25</v>
      </c>
      <c r="E283" s="2">
        <v>2</v>
      </c>
      <c r="F283" t="s">
        <v>85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63</v>
      </c>
      <c r="C284" t="s">
        <v>28</v>
      </c>
      <c r="D284" t="s">
        <v>25</v>
      </c>
      <c r="E284" s="2">
        <v>2</v>
      </c>
      <c r="F284" t="s">
        <v>85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63</v>
      </c>
      <c r="C285" t="s">
        <v>29</v>
      </c>
      <c r="D285" t="s">
        <v>25</v>
      </c>
      <c r="E285" s="2">
        <v>2</v>
      </c>
      <c r="F285" t="s">
        <v>85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63</v>
      </c>
      <c r="C286" t="s">
        <v>89</v>
      </c>
      <c r="D286" t="s">
        <v>25</v>
      </c>
      <c r="E286" s="2">
        <v>2</v>
      </c>
      <c r="F286" t="s">
        <v>85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63</v>
      </c>
      <c r="C287" t="s">
        <v>88</v>
      </c>
      <c r="D287" t="s">
        <v>25</v>
      </c>
      <c r="E287" s="2">
        <v>2</v>
      </c>
      <c r="F287" t="s">
        <v>85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63</v>
      </c>
      <c r="C288" t="s">
        <v>92</v>
      </c>
      <c r="D288" t="s">
        <v>26</v>
      </c>
      <c r="E288" s="2">
        <v>2</v>
      </c>
      <c r="F288" t="s">
        <v>85</v>
      </c>
      <c r="G288">
        <v>6.99</v>
      </c>
      <c r="H288">
        <v>6.59</v>
      </c>
      <c r="I288" s="2" t="str">
        <f>_xlfn.XLOOKUP(F288,DeparaIMG!B:B,DeparaIMG!D:D,,0)</f>
        <v>STELN.png</v>
      </c>
    </row>
    <row r="289" spans="1:9" x14ac:dyDescent="0.25">
      <c r="A289" s="2" t="s">
        <v>10</v>
      </c>
      <c r="B289" s="2" t="s">
        <v>63</v>
      </c>
      <c r="C289" t="s">
        <v>4</v>
      </c>
      <c r="D289" t="s">
        <v>26</v>
      </c>
      <c r="E289" s="2">
        <v>2</v>
      </c>
      <c r="F289" t="s">
        <v>85</v>
      </c>
      <c r="G289">
        <v>6.99</v>
      </c>
      <c r="H289">
        <v>6.59</v>
      </c>
      <c r="I289" s="2" t="str">
        <f>_xlfn.XLOOKUP(F289,DeparaIMG!B:B,DeparaIMG!D:D,,0)</f>
        <v>STELN.png</v>
      </c>
    </row>
    <row r="290" spans="1:9" x14ac:dyDescent="0.25">
      <c r="A290" s="2" t="s">
        <v>10</v>
      </c>
      <c r="B290" s="2" t="s">
        <v>63</v>
      </c>
      <c r="C290" t="s">
        <v>90</v>
      </c>
      <c r="D290" t="s">
        <v>26</v>
      </c>
      <c r="E290" s="2">
        <v>2</v>
      </c>
      <c r="F290" t="s">
        <v>85</v>
      </c>
      <c r="G290">
        <v>6.99</v>
      </c>
      <c r="H290">
        <v>6.59</v>
      </c>
      <c r="I290" s="2" t="str">
        <f>_xlfn.XLOOKUP(F290,DeparaIMG!B:B,DeparaIMG!D:D,,0)</f>
        <v>STELN.png</v>
      </c>
    </row>
    <row r="291" spans="1:9" x14ac:dyDescent="0.25">
      <c r="A291" s="2" t="s">
        <v>10</v>
      </c>
      <c r="B291" s="2" t="s">
        <v>63</v>
      </c>
      <c r="C291" t="s">
        <v>28</v>
      </c>
      <c r="D291" t="s">
        <v>26</v>
      </c>
      <c r="E291" s="2">
        <v>2</v>
      </c>
      <c r="F291" t="s">
        <v>85</v>
      </c>
      <c r="G291">
        <v>6.99</v>
      </c>
      <c r="H291">
        <v>6.59</v>
      </c>
      <c r="I291" s="2" t="str">
        <f>_xlfn.XLOOKUP(F291,DeparaIMG!B:B,DeparaIMG!D:D,,0)</f>
        <v>STELN.png</v>
      </c>
    </row>
    <row r="292" spans="1:9" x14ac:dyDescent="0.25">
      <c r="A292" s="2" t="s">
        <v>10</v>
      </c>
      <c r="B292" s="2" t="s">
        <v>63</v>
      </c>
      <c r="C292" t="s">
        <v>29</v>
      </c>
      <c r="D292" t="s">
        <v>26</v>
      </c>
      <c r="E292" s="2">
        <v>2</v>
      </c>
      <c r="F292" t="s">
        <v>85</v>
      </c>
      <c r="G292">
        <v>6.99</v>
      </c>
      <c r="H292">
        <v>6.59</v>
      </c>
      <c r="I292" s="2" t="str">
        <f>_xlfn.XLOOKUP(F292,DeparaIMG!B:B,DeparaIMG!D:D,,0)</f>
        <v>STELN.png</v>
      </c>
    </row>
    <row r="293" spans="1:9" x14ac:dyDescent="0.25">
      <c r="A293" s="2" t="s">
        <v>10</v>
      </c>
      <c r="B293" s="2" t="s">
        <v>63</v>
      </c>
      <c r="C293" t="s">
        <v>89</v>
      </c>
      <c r="D293" t="s">
        <v>26</v>
      </c>
      <c r="E293" s="2">
        <v>2</v>
      </c>
      <c r="F293" t="s">
        <v>85</v>
      </c>
      <c r="G293">
        <v>6.99</v>
      </c>
      <c r="H293">
        <v>6.59</v>
      </c>
      <c r="I293" s="2" t="str">
        <f>_xlfn.XLOOKUP(F293,DeparaIMG!B:B,DeparaIMG!D:D,,0)</f>
        <v>STELN.png</v>
      </c>
    </row>
    <row r="294" spans="1:9" x14ac:dyDescent="0.25">
      <c r="A294" s="2" t="s">
        <v>10</v>
      </c>
      <c r="B294" s="2" t="s">
        <v>63</v>
      </c>
      <c r="C294" t="s">
        <v>88</v>
      </c>
      <c r="D294" t="s">
        <v>26</v>
      </c>
      <c r="E294" s="2">
        <v>2</v>
      </c>
      <c r="F294" t="s">
        <v>85</v>
      </c>
      <c r="G294">
        <v>6.99</v>
      </c>
      <c r="H294">
        <v>6.59</v>
      </c>
      <c r="I294" s="2" t="str">
        <f>_xlfn.XLOOKUP(F294,DeparaIMG!B:B,DeparaIMG!D:D,,0)</f>
        <v>STELN.png</v>
      </c>
    </row>
    <row r="295" spans="1:9" x14ac:dyDescent="0.25">
      <c r="A295" s="2" t="s">
        <v>10</v>
      </c>
      <c r="B295" s="2" t="s">
        <v>63</v>
      </c>
      <c r="C295" t="s">
        <v>89</v>
      </c>
      <c r="D295" t="s">
        <v>25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CORLN.png</v>
      </c>
    </row>
    <row r="296" spans="1:9" x14ac:dyDescent="0.25">
      <c r="A296" s="2" t="s">
        <v>10</v>
      </c>
      <c r="B296" s="2" t="s">
        <v>63</v>
      </c>
      <c r="C296" t="s">
        <v>4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CORLN.png</v>
      </c>
    </row>
    <row r="297" spans="1:9" x14ac:dyDescent="0.25">
      <c r="A297" s="2" t="s">
        <v>10</v>
      </c>
      <c r="B297" s="2" t="s">
        <v>63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CORLN.png</v>
      </c>
    </row>
    <row r="298" spans="1:9" x14ac:dyDescent="0.25">
      <c r="A298" s="2" t="s">
        <v>10</v>
      </c>
      <c r="B298" s="2" t="s">
        <v>63</v>
      </c>
      <c r="C298" t="s">
        <v>91</v>
      </c>
      <c r="D298" t="s">
        <v>26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CORLN.png</v>
      </c>
    </row>
    <row r="299" spans="1:9" x14ac:dyDescent="0.25">
      <c r="A299" s="2" t="s">
        <v>10</v>
      </c>
      <c r="B299" s="2" t="s">
        <v>63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CORLN.png</v>
      </c>
    </row>
    <row r="300" spans="1:9" x14ac:dyDescent="0.25">
      <c r="A300" s="2" t="s">
        <v>10</v>
      </c>
      <c r="B300" s="2" t="s">
        <v>63</v>
      </c>
      <c r="C300" t="s">
        <v>91</v>
      </c>
      <c r="D300" t="s">
        <v>25</v>
      </c>
      <c r="E300" s="2">
        <v>1</v>
      </c>
      <c r="F300" t="s">
        <v>86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63</v>
      </c>
      <c r="C301" t="s">
        <v>89</v>
      </c>
      <c r="D301" t="s">
        <v>25</v>
      </c>
      <c r="E301" s="2">
        <v>1</v>
      </c>
      <c r="F301" t="s">
        <v>87</v>
      </c>
      <c r="G301">
        <v>7.99</v>
      </c>
      <c r="H301">
        <v>6.99</v>
      </c>
      <c r="I301" s="2" t="str">
        <f>_xlfn.XLOOKUP(F301,DeparaIMG!B:B,DeparaIMG!D:D,,0)</f>
        <v>CORCEROLN.png</v>
      </c>
    </row>
    <row r="302" spans="1:9" x14ac:dyDescent="0.25">
      <c r="A302" s="2" t="s">
        <v>10</v>
      </c>
      <c r="B302" s="2" t="s">
        <v>63</v>
      </c>
      <c r="C302" t="s">
        <v>4</v>
      </c>
      <c r="D302" t="s">
        <v>26</v>
      </c>
      <c r="E302" s="2">
        <v>1</v>
      </c>
      <c r="F302" t="s">
        <v>87</v>
      </c>
      <c r="G302">
        <v>7.99</v>
      </c>
      <c r="H302">
        <v>6.99</v>
      </c>
      <c r="I302" s="2" t="str">
        <f>_xlfn.XLOOKUP(F302,DeparaIMG!B:B,DeparaIMG!D:D,,0)</f>
        <v>CORCEROLN.png</v>
      </c>
    </row>
    <row r="303" spans="1:9" x14ac:dyDescent="0.25">
      <c r="A303" s="2" t="s">
        <v>10</v>
      </c>
      <c r="B303" s="2" t="s">
        <v>63</v>
      </c>
      <c r="C303" t="s">
        <v>90</v>
      </c>
      <c r="D303" t="s">
        <v>26</v>
      </c>
      <c r="E303" s="2">
        <v>1</v>
      </c>
      <c r="F303" t="s">
        <v>87</v>
      </c>
      <c r="G303">
        <v>7.99</v>
      </c>
      <c r="H303">
        <v>6.99</v>
      </c>
      <c r="I303" s="2" t="str">
        <f>_xlfn.XLOOKUP(F303,DeparaIMG!B:B,DeparaIMG!D:D,,0)</f>
        <v>CORCEROLN.png</v>
      </c>
    </row>
    <row r="304" spans="1:9" x14ac:dyDescent="0.25">
      <c r="A304" s="2" t="s">
        <v>10</v>
      </c>
      <c r="B304" s="2" t="s">
        <v>63</v>
      </c>
      <c r="C304" t="s">
        <v>91</v>
      </c>
      <c r="D304" t="s">
        <v>26</v>
      </c>
      <c r="E304" s="2">
        <v>1</v>
      </c>
      <c r="F304" t="s">
        <v>87</v>
      </c>
      <c r="G304">
        <v>7.99</v>
      </c>
      <c r="H304">
        <v>6.99</v>
      </c>
      <c r="I304" s="2" t="str">
        <f>_xlfn.XLOOKUP(F304,DeparaIMG!B:B,DeparaIMG!D:D,,0)</f>
        <v>CORCEROLN.png</v>
      </c>
    </row>
    <row r="305" spans="1:9" x14ac:dyDescent="0.25">
      <c r="A305" s="2" t="s">
        <v>10</v>
      </c>
      <c r="B305" s="2" t="s">
        <v>63</v>
      </c>
      <c r="C305" t="s">
        <v>90</v>
      </c>
      <c r="D305" t="s">
        <v>25</v>
      </c>
      <c r="E305" s="2">
        <v>1</v>
      </c>
      <c r="F305" t="s">
        <v>87</v>
      </c>
      <c r="G305">
        <v>7.99</v>
      </c>
      <c r="H305">
        <v>6.99</v>
      </c>
      <c r="I305" s="2" t="str">
        <f>_xlfn.XLOOKUP(F305,DeparaIMG!B:B,DeparaIMG!D:D,,0)</f>
        <v>CORCEROLN.png</v>
      </c>
    </row>
    <row r="306" spans="1:9" x14ac:dyDescent="0.25">
      <c r="A306" s="2" t="s">
        <v>10</v>
      </c>
      <c r="B306" s="2" t="s">
        <v>63</v>
      </c>
      <c r="C306" t="s">
        <v>91</v>
      </c>
      <c r="D306" t="s">
        <v>25</v>
      </c>
      <c r="E306" s="2">
        <v>1</v>
      </c>
      <c r="F306" t="s">
        <v>87</v>
      </c>
      <c r="G306">
        <v>7.99</v>
      </c>
      <c r="H306">
        <v>6.99</v>
      </c>
      <c r="I306" s="2" t="str">
        <f>_xlfn.XLOOKUP(F306,DeparaIMG!B:B,DeparaIMG!D:D,,0)</f>
        <v>CORCEROLN.png</v>
      </c>
    </row>
    <row r="307" spans="1:9" x14ac:dyDescent="0.25">
      <c r="A307" s="2" t="s">
        <v>10</v>
      </c>
      <c r="B307" s="2" t="s">
        <v>63</v>
      </c>
      <c r="C307" t="s">
        <v>28</v>
      </c>
      <c r="D307" t="s">
        <v>25</v>
      </c>
      <c r="E307" s="2">
        <v>1</v>
      </c>
      <c r="F307" t="s">
        <v>86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63</v>
      </c>
      <c r="C308" t="s">
        <v>28</v>
      </c>
      <c r="D308" t="s">
        <v>26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CORLN.png</v>
      </c>
    </row>
    <row r="309" spans="1:9" x14ac:dyDescent="0.25">
      <c r="A309" s="2" t="s">
        <v>10</v>
      </c>
      <c r="B309" s="2" t="s">
        <v>63</v>
      </c>
      <c r="C309" t="s">
        <v>29</v>
      </c>
      <c r="D309" t="s">
        <v>25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CORLN.png</v>
      </c>
    </row>
    <row r="310" spans="1:9" x14ac:dyDescent="0.25">
      <c r="A310" s="2" t="s">
        <v>10</v>
      </c>
      <c r="B310" s="2" t="s">
        <v>63</v>
      </c>
      <c r="C310" t="s">
        <v>29</v>
      </c>
      <c r="D310" t="s">
        <v>26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CORLN.png</v>
      </c>
    </row>
    <row r="311" spans="1:9" x14ac:dyDescent="0.25">
      <c r="A311" s="2" t="s">
        <v>10</v>
      </c>
      <c r="B311" s="2" t="s">
        <v>63</v>
      </c>
      <c r="C311" t="s">
        <v>88</v>
      </c>
      <c r="D311" t="s">
        <v>25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CORLN.png</v>
      </c>
    </row>
    <row r="312" spans="1:9" x14ac:dyDescent="0.25">
      <c r="A312" s="2" t="s">
        <v>10</v>
      </c>
      <c r="B312" s="2" t="s">
        <v>63</v>
      </c>
      <c r="C312" t="s">
        <v>88</v>
      </c>
      <c r="D312" t="s">
        <v>26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CORLN.png</v>
      </c>
    </row>
    <row r="313" spans="1:9" x14ac:dyDescent="0.25">
      <c r="A313" s="2" t="s">
        <v>10</v>
      </c>
      <c r="B313" s="2" t="s">
        <v>63</v>
      </c>
      <c r="C313" t="s">
        <v>89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CORLN.png</v>
      </c>
    </row>
    <row r="314" spans="1:9" x14ac:dyDescent="0.25">
      <c r="A314" s="2" t="s">
        <v>10</v>
      </c>
      <c r="B314" s="2" t="s">
        <v>63</v>
      </c>
      <c r="C314" t="s">
        <v>4</v>
      </c>
      <c r="D314" t="s">
        <v>25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CORLN.png</v>
      </c>
    </row>
    <row r="315" spans="1:9" x14ac:dyDescent="0.25">
      <c r="A315" s="2" t="s">
        <v>10</v>
      </c>
      <c r="B315" s="2" t="s">
        <v>63</v>
      </c>
      <c r="C315" t="s">
        <v>28</v>
      </c>
      <c r="D315" t="s">
        <v>25</v>
      </c>
      <c r="E315" s="2">
        <v>1</v>
      </c>
      <c r="F315" t="s">
        <v>87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</v>
      </c>
      <c r="B316" s="2" t="s">
        <v>63</v>
      </c>
      <c r="C316" t="s">
        <v>28</v>
      </c>
      <c r="D316" t="s">
        <v>26</v>
      </c>
      <c r="E316" s="2">
        <v>1</v>
      </c>
      <c r="F316" t="s">
        <v>87</v>
      </c>
      <c r="G316">
        <v>7.99</v>
      </c>
      <c r="H316">
        <v>6.99</v>
      </c>
      <c r="I316" s="2" t="str">
        <f>_xlfn.XLOOKUP(F316,DeparaIMG!B:B,DeparaIMG!D:D,,0)</f>
        <v>CORCEROLN.png</v>
      </c>
    </row>
    <row r="317" spans="1:9" x14ac:dyDescent="0.25">
      <c r="A317" s="2" t="s">
        <v>10</v>
      </c>
      <c r="B317" s="2" t="s">
        <v>63</v>
      </c>
      <c r="C317" t="s">
        <v>29</v>
      </c>
      <c r="D317" t="s">
        <v>25</v>
      </c>
      <c r="E317" s="2">
        <v>1</v>
      </c>
      <c r="F317" t="s">
        <v>87</v>
      </c>
      <c r="G317">
        <v>7.99</v>
      </c>
      <c r="H317">
        <v>6.99</v>
      </c>
      <c r="I317" s="2" t="str">
        <f>_xlfn.XLOOKUP(F317,DeparaIMG!B:B,DeparaIMG!D:D,,0)</f>
        <v>CORCEROLN.png</v>
      </c>
    </row>
    <row r="318" spans="1:9" x14ac:dyDescent="0.25">
      <c r="A318" s="2" t="s">
        <v>10</v>
      </c>
      <c r="B318" s="2" t="s">
        <v>63</v>
      </c>
      <c r="C318" t="s">
        <v>29</v>
      </c>
      <c r="D318" t="s">
        <v>26</v>
      </c>
      <c r="E318" s="2">
        <v>1</v>
      </c>
      <c r="F318" t="s">
        <v>87</v>
      </c>
      <c r="G318">
        <v>7.99</v>
      </c>
      <c r="H318">
        <v>6.99</v>
      </c>
      <c r="I318" s="2" t="str">
        <f>_xlfn.XLOOKUP(F318,DeparaIMG!B:B,DeparaIMG!D:D,,0)</f>
        <v>CORCEROLN.png</v>
      </c>
    </row>
    <row r="319" spans="1:9" x14ac:dyDescent="0.25">
      <c r="A319" s="2" t="s">
        <v>10</v>
      </c>
      <c r="B319" s="2" t="s">
        <v>63</v>
      </c>
      <c r="C319" t="s">
        <v>88</v>
      </c>
      <c r="D319" t="s">
        <v>25</v>
      </c>
      <c r="E319" s="2">
        <v>1</v>
      </c>
      <c r="F319" t="s">
        <v>87</v>
      </c>
      <c r="G319">
        <v>7.99</v>
      </c>
      <c r="H319">
        <v>6.99</v>
      </c>
      <c r="I319" s="2" t="str">
        <f>_xlfn.XLOOKUP(F319,DeparaIMG!B:B,DeparaIMG!D:D,,0)</f>
        <v>CORCEROLN.png</v>
      </c>
    </row>
    <row r="320" spans="1:9" x14ac:dyDescent="0.25">
      <c r="A320" s="2" t="s">
        <v>10</v>
      </c>
      <c r="B320" s="2" t="s">
        <v>63</v>
      </c>
      <c r="C320" t="s">
        <v>88</v>
      </c>
      <c r="D320" t="s">
        <v>26</v>
      </c>
      <c r="E320" s="2">
        <v>1</v>
      </c>
      <c r="F320" t="s">
        <v>87</v>
      </c>
      <c r="G320">
        <v>7.99</v>
      </c>
      <c r="H320">
        <v>6.99</v>
      </c>
      <c r="I320" s="2" t="str">
        <f>_xlfn.XLOOKUP(F320,DeparaIMG!B:B,DeparaIMG!D:D,,0)</f>
        <v>CORCEROLN.png</v>
      </c>
    </row>
    <row r="321" spans="1:9" x14ac:dyDescent="0.25">
      <c r="A321" s="2" t="s">
        <v>10</v>
      </c>
      <c r="B321" s="2" t="s">
        <v>63</v>
      </c>
      <c r="C321" t="s">
        <v>89</v>
      </c>
      <c r="D321" t="s">
        <v>26</v>
      </c>
      <c r="E321" s="2">
        <v>1</v>
      </c>
      <c r="F321" t="s">
        <v>87</v>
      </c>
      <c r="G321">
        <v>7.99</v>
      </c>
      <c r="H321">
        <v>6.99</v>
      </c>
      <c r="I321" s="2" t="str">
        <f>_xlfn.XLOOKUP(F321,DeparaIMG!B:B,DeparaIMG!D:D,,0)</f>
        <v>CORCEROLN.png</v>
      </c>
    </row>
    <row r="322" spans="1:9" x14ac:dyDescent="0.25">
      <c r="A322" s="2" t="s">
        <v>10</v>
      </c>
      <c r="B322" s="2" t="s">
        <v>63</v>
      </c>
      <c r="C322" t="s">
        <v>4</v>
      </c>
      <c r="D322" t="s">
        <v>25</v>
      </c>
      <c r="E322" s="2">
        <v>1</v>
      </c>
      <c r="F322" t="s">
        <v>87</v>
      </c>
      <c r="G322">
        <v>7.99</v>
      </c>
      <c r="H322">
        <v>6.99</v>
      </c>
      <c r="I322" s="2" t="str">
        <f>_xlfn.XLOOKUP(F322,DeparaIMG!B:B,DeparaIMG!D:D,,0)</f>
        <v>CORCEROLN.png</v>
      </c>
    </row>
    <row r="323" spans="1:9" x14ac:dyDescent="0.25">
      <c r="A323" s="2" t="s">
        <v>101</v>
      </c>
      <c r="B323" s="2" t="s">
        <v>62</v>
      </c>
      <c r="C323" t="s">
        <v>4</v>
      </c>
      <c r="D323" t="s">
        <v>25</v>
      </c>
      <c r="E323" s="2">
        <v>1</v>
      </c>
      <c r="F323" t="s">
        <v>31</v>
      </c>
      <c r="G323">
        <v>4.99</v>
      </c>
      <c r="H323">
        <v>4.6900000000000004</v>
      </c>
      <c r="I323" s="2" t="str">
        <f>_xlfn.XLOOKUP(F323,DeparaIMG!B:B,DeparaIMG!D:D,,0)</f>
        <v>GCAP1.png</v>
      </c>
    </row>
    <row r="324" spans="1:9" x14ac:dyDescent="0.25">
      <c r="A324" s="2" t="s">
        <v>101</v>
      </c>
      <c r="B324" s="2" t="s">
        <v>62</v>
      </c>
      <c r="C324" t="s">
        <v>27</v>
      </c>
      <c r="D324" t="s">
        <v>25</v>
      </c>
      <c r="E324" s="2">
        <v>1</v>
      </c>
      <c r="F324" t="s">
        <v>32</v>
      </c>
      <c r="G324">
        <v>5.99</v>
      </c>
      <c r="H324">
        <v>5.59</v>
      </c>
      <c r="I324" s="2" t="str">
        <f>_xlfn.XLOOKUP(F324,DeparaIMG!B:B,DeparaIMG!D:D,,0)</f>
        <v>GCAP1,5.png</v>
      </c>
    </row>
    <row r="325" spans="1:9" x14ac:dyDescent="0.25">
      <c r="A325" s="2" t="s">
        <v>101</v>
      </c>
      <c r="B325" s="2" t="s">
        <v>62</v>
      </c>
      <c r="C325" t="s">
        <v>28</v>
      </c>
      <c r="D325" t="s">
        <v>25</v>
      </c>
      <c r="E325" s="2">
        <v>1</v>
      </c>
      <c r="F325" t="s">
        <v>32</v>
      </c>
      <c r="G325">
        <v>5.99</v>
      </c>
      <c r="H325">
        <v>5.59</v>
      </c>
      <c r="I325" s="2" t="str">
        <f>_xlfn.XLOOKUP(F325,DeparaIMG!B:B,DeparaIMG!D:D,,0)</f>
        <v>GCAP1,5.png</v>
      </c>
    </row>
    <row r="326" spans="1:9" x14ac:dyDescent="0.25">
      <c r="A326" s="2" t="s">
        <v>101</v>
      </c>
      <c r="B326" s="2" t="s">
        <v>62</v>
      </c>
      <c r="C326" t="s">
        <v>29</v>
      </c>
      <c r="D326" t="s">
        <v>25</v>
      </c>
      <c r="E326" s="2">
        <v>1</v>
      </c>
      <c r="F326" t="s">
        <v>32</v>
      </c>
      <c r="G326">
        <v>5.99</v>
      </c>
      <c r="H326">
        <v>5.59</v>
      </c>
      <c r="I326" s="2" t="str">
        <f>_xlfn.XLOOKUP(F326,DeparaIMG!B:B,DeparaIMG!D:D,,0)</f>
        <v>GCAP1,5.png</v>
      </c>
    </row>
    <row r="327" spans="1:9" x14ac:dyDescent="0.25">
      <c r="A327" s="2" t="s">
        <v>101</v>
      </c>
      <c r="B327" s="2" t="s">
        <v>62</v>
      </c>
      <c r="C327" t="s">
        <v>30</v>
      </c>
      <c r="D327" t="s">
        <v>25</v>
      </c>
      <c r="E327" s="2">
        <v>1</v>
      </c>
      <c r="F327" t="s">
        <v>32</v>
      </c>
      <c r="G327">
        <v>5.99</v>
      </c>
      <c r="H327">
        <v>5.59</v>
      </c>
      <c r="I327" s="2" t="str">
        <f>_xlfn.XLOOKUP(F327,DeparaIMG!B:B,DeparaIMG!D:D,,0)</f>
        <v>GCAP1,5.png</v>
      </c>
    </row>
    <row r="328" spans="1:9" x14ac:dyDescent="0.25">
      <c r="A328" s="2" t="s">
        <v>101</v>
      </c>
      <c r="B328" s="2" t="s">
        <v>62</v>
      </c>
      <c r="C328" t="s">
        <v>4</v>
      </c>
      <c r="D328" t="s">
        <v>25</v>
      </c>
      <c r="E328" s="2">
        <v>1</v>
      </c>
      <c r="F328" t="s">
        <v>33</v>
      </c>
      <c r="G328">
        <v>7.79</v>
      </c>
      <c r="H328">
        <v>7.29</v>
      </c>
      <c r="I328" s="2" t="str">
        <f>_xlfn.XLOOKUP(F328,DeparaIMG!B:B,DeparaIMG!D:D,,0)</f>
        <v>PCP2.png</v>
      </c>
    </row>
    <row r="329" spans="1:9" x14ac:dyDescent="0.25">
      <c r="A329" s="2" t="s">
        <v>101</v>
      </c>
      <c r="B329" s="2" t="s">
        <v>62</v>
      </c>
      <c r="C329" t="s">
        <v>27</v>
      </c>
      <c r="D329" t="s">
        <v>25</v>
      </c>
      <c r="E329" s="2">
        <v>1</v>
      </c>
      <c r="F329" t="s">
        <v>33</v>
      </c>
      <c r="G329">
        <v>8.49</v>
      </c>
      <c r="H329">
        <v>7.99</v>
      </c>
      <c r="I329" s="2" t="str">
        <f>_xlfn.XLOOKUP(F329,DeparaIMG!B:B,DeparaIMG!D:D,,0)</f>
        <v>PCP2.png</v>
      </c>
    </row>
    <row r="330" spans="1:9" x14ac:dyDescent="0.25">
      <c r="A330" s="2" t="s">
        <v>101</v>
      </c>
      <c r="B330" s="2" t="s">
        <v>62</v>
      </c>
      <c r="C330" t="s">
        <v>28</v>
      </c>
      <c r="D330" t="s">
        <v>25</v>
      </c>
      <c r="E330" s="2">
        <v>1</v>
      </c>
      <c r="F330" t="s">
        <v>33</v>
      </c>
      <c r="G330">
        <v>7.79</v>
      </c>
      <c r="H330">
        <v>7.29</v>
      </c>
      <c r="I330" s="2" t="str">
        <f>_xlfn.XLOOKUP(F330,DeparaIMG!B:B,DeparaIMG!D:D,,0)</f>
        <v>PCP2.png</v>
      </c>
    </row>
    <row r="331" spans="1:9" x14ac:dyDescent="0.25">
      <c r="A331" s="2" t="s">
        <v>101</v>
      </c>
      <c r="B331" s="2" t="s">
        <v>62</v>
      </c>
      <c r="C331" t="s">
        <v>29</v>
      </c>
      <c r="D331" t="s">
        <v>25</v>
      </c>
      <c r="E331" s="2">
        <v>1</v>
      </c>
      <c r="F331" t="s">
        <v>33</v>
      </c>
      <c r="G331">
        <v>7.79</v>
      </c>
      <c r="H331">
        <v>7.29</v>
      </c>
      <c r="I331" s="2" t="str">
        <f>_xlfn.XLOOKUP(F331,DeparaIMG!B:B,DeparaIMG!D:D,,0)</f>
        <v>PCP2.png</v>
      </c>
    </row>
    <row r="332" spans="1:9" x14ac:dyDescent="0.25">
      <c r="A332" s="2" t="s">
        <v>101</v>
      </c>
      <c r="B332" s="2" t="s">
        <v>62</v>
      </c>
      <c r="C332" t="s">
        <v>30</v>
      </c>
      <c r="D332" t="s">
        <v>25</v>
      </c>
      <c r="E332" s="2">
        <v>1</v>
      </c>
      <c r="F332" t="s">
        <v>33</v>
      </c>
      <c r="G332">
        <v>8.7899999999999991</v>
      </c>
      <c r="H332">
        <v>8.2899999999999991</v>
      </c>
      <c r="I332" s="2" t="str">
        <f>_xlfn.XLOOKUP(F332,DeparaIMG!B:B,DeparaIMG!D:D,,0)</f>
        <v>PCP2.png</v>
      </c>
    </row>
    <row r="333" spans="1:9" x14ac:dyDescent="0.25">
      <c r="A333" s="2" t="s">
        <v>101</v>
      </c>
      <c r="B333" s="2" t="s">
        <v>62</v>
      </c>
      <c r="C333" t="s">
        <v>4</v>
      </c>
      <c r="D333" t="s">
        <v>25</v>
      </c>
      <c r="E333" s="2">
        <v>1</v>
      </c>
      <c r="F333" t="s">
        <v>34</v>
      </c>
      <c r="G333">
        <v>5.79</v>
      </c>
      <c r="H333">
        <v>5.49</v>
      </c>
      <c r="I333" s="2" t="str">
        <f>_xlfn.XLOOKUP(F333,DeparaIMG!B:B,DeparaIMG!D:D,,0)</f>
        <v>BAREP2.png</v>
      </c>
    </row>
    <row r="334" spans="1:9" x14ac:dyDescent="0.25">
      <c r="A334" s="2" t="s">
        <v>101</v>
      </c>
      <c r="B334" s="2" t="s">
        <v>62</v>
      </c>
      <c r="C334" t="s">
        <v>27</v>
      </c>
      <c r="D334" t="s">
        <v>25</v>
      </c>
      <c r="E334" s="2">
        <v>1</v>
      </c>
      <c r="F334" t="s">
        <v>35</v>
      </c>
      <c r="G334">
        <v>5.29</v>
      </c>
      <c r="H334">
        <v>4.79</v>
      </c>
      <c r="I334" s="2" t="str">
        <f>_xlfn.XLOOKUP(F334,DeparaIMG!B:B,DeparaIMG!D:D,,0)</f>
        <v>H2OHP500.png</v>
      </c>
    </row>
    <row r="335" spans="1:9" x14ac:dyDescent="0.25">
      <c r="A335" s="2" t="s">
        <v>101</v>
      </c>
      <c r="B335" s="2" t="s">
        <v>62</v>
      </c>
      <c r="C335" t="s">
        <v>28</v>
      </c>
      <c r="D335" t="s">
        <v>25</v>
      </c>
      <c r="E335" s="2">
        <v>1</v>
      </c>
      <c r="F335" t="s">
        <v>35</v>
      </c>
      <c r="G335">
        <v>5.29</v>
      </c>
      <c r="H335">
        <v>4.79</v>
      </c>
      <c r="I335" s="2" t="str">
        <f>_xlfn.XLOOKUP(F335,DeparaIMG!B:B,DeparaIMG!D:D,,0)</f>
        <v>H2OHP500.png</v>
      </c>
    </row>
    <row r="336" spans="1:9" x14ac:dyDescent="0.25">
      <c r="A336" s="2" t="s">
        <v>101</v>
      </c>
      <c r="B336" s="2" t="s">
        <v>62</v>
      </c>
      <c r="C336" t="s">
        <v>29</v>
      </c>
      <c r="D336" t="s">
        <v>25</v>
      </c>
      <c r="E336" s="2">
        <v>1</v>
      </c>
      <c r="F336" t="s">
        <v>35</v>
      </c>
      <c r="G336">
        <v>5.29</v>
      </c>
      <c r="H336">
        <v>4.79</v>
      </c>
      <c r="I336" s="2" t="str">
        <f>_xlfn.XLOOKUP(F336,DeparaIMG!B:B,DeparaIMG!D:D,,0)</f>
        <v>H2OHP500.png</v>
      </c>
    </row>
    <row r="337" spans="1:9" x14ac:dyDescent="0.25">
      <c r="A337" s="2" t="s">
        <v>101</v>
      </c>
      <c r="B337" s="2" t="s">
        <v>62</v>
      </c>
      <c r="C337" t="s">
        <v>30</v>
      </c>
      <c r="D337" t="s">
        <v>25</v>
      </c>
      <c r="E337" s="2">
        <v>1</v>
      </c>
      <c r="F337" t="s">
        <v>35</v>
      </c>
      <c r="G337">
        <v>5.29</v>
      </c>
      <c r="H337">
        <v>4.79</v>
      </c>
      <c r="I337" s="2" t="str">
        <f>_xlfn.XLOOKUP(F337,DeparaIMG!B:B,DeparaIMG!D:D,,0)</f>
        <v>H2OHP500.png</v>
      </c>
    </row>
    <row r="338" spans="1:9" x14ac:dyDescent="0.25">
      <c r="A338" s="2" t="s">
        <v>101</v>
      </c>
      <c r="B338" s="2" t="s">
        <v>62</v>
      </c>
      <c r="C338" t="s">
        <v>4</v>
      </c>
      <c r="D338" t="s">
        <v>26</v>
      </c>
      <c r="E338" s="2">
        <v>1</v>
      </c>
      <c r="F338" t="s">
        <v>37</v>
      </c>
      <c r="G338">
        <v>8.99</v>
      </c>
      <c r="H338">
        <v>8.2899999999999991</v>
      </c>
      <c r="I338" s="2" t="str">
        <f>_xlfn.XLOOKUP(F338,DeparaIMG!B:B,DeparaIMG!D:D,,0)</f>
        <v>GCAP2.png</v>
      </c>
    </row>
    <row r="339" spans="1:9" x14ac:dyDescent="0.25">
      <c r="A339" s="2" t="s">
        <v>101</v>
      </c>
      <c r="B339" s="2" t="s">
        <v>62</v>
      </c>
      <c r="C339" t="s">
        <v>27</v>
      </c>
      <c r="D339" t="s">
        <v>26</v>
      </c>
      <c r="E339" s="2">
        <v>1</v>
      </c>
      <c r="F339" t="s">
        <v>37</v>
      </c>
      <c r="G339">
        <v>8.99</v>
      </c>
      <c r="H339">
        <v>8.2899999999999991</v>
      </c>
      <c r="I339" s="2" t="str">
        <f>_xlfn.XLOOKUP(F339,DeparaIMG!B:B,DeparaIMG!D:D,,0)</f>
        <v>GCAP2.png</v>
      </c>
    </row>
    <row r="340" spans="1:9" x14ac:dyDescent="0.25">
      <c r="A340" s="2" t="s">
        <v>101</v>
      </c>
      <c r="B340" s="2" t="s">
        <v>62</v>
      </c>
      <c r="C340" t="s">
        <v>28</v>
      </c>
      <c r="D340" t="s">
        <v>26</v>
      </c>
      <c r="E340" s="2">
        <v>1</v>
      </c>
      <c r="F340" t="s">
        <v>37</v>
      </c>
      <c r="G340">
        <v>8.49</v>
      </c>
      <c r="H340">
        <v>7.79</v>
      </c>
      <c r="I340" s="2" t="str">
        <f>_xlfn.XLOOKUP(F340,DeparaIMG!B:B,DeparaIMG!D:D,,0)</f>
        <v>GCAP2.png</v>
      </c>
    </row>
    <row r="341" spans="1:9" x14ac:dyDescent="0.25">
      <c r="A341" s="2" t="s">
        <v>101</v>
      </c>
      <c r="B341" s="2" t="s">
        <v>62</v>
      </c>
      <c r="C341" t="s">
        <v>29</v>
      </c>
      <c r="D341" t="s">
        <v>26</v>
      </c>
      <c r="E341" s="2">
        <v>1</v>
      </c>
      <c r="F341" t="s">
        <v>37</v>
      </c>
      <c r="G341">
        <v>8.49</v>
      </c>
      <c r="H341">
        <v>7.79</v>
      </c>
      <c r="I341" s="2" t="str">
        <f>_xlfn.XLOOKUP(F341,DeparaIMG!B:B,DeparaIMG!D:D,,0)</f>
        <v>GCAP2.png</v>
      </c>
    </row>
    <row r="342" spans="1:9" x14ac:dyDescent="0.25">
      <c r="A342" s="2" t="s">
        <v>101</v>
      </c>
      <c r="B342" s="2" t="s">
        <v>62</v>
      </c>
      <c r="C342" t="s">
        <v>30</v>
      </c>
      <c r="D342" t="s">
        <v>26</v>
      </c>
      <c r="E342" s="2">
        <v>1</v>
      </c>
      <c r="F342" t="s">
        <v>37</v>
      </c>
      <c r="G342">
        <v>9.49</v>
      </c>
      <c r="H342">
        <v>8.7899999999999991</v>
      </c>
      <c r="I342" s="2" t="str">
        <f>_xlfn.XLOOKUP(F342,DeparaIMG!B:B,DeparaIMG!D:D,,0)</f>
        <v>GCAP2.png</v>
      </c>
    </row>
    <row r="343" spans="1:9" x14ac:dyDescent="0.25">
      <c r="A343" s="2" t="s">
        <v>101</v>
      </c>
      <c r="B343" s="2" t="s">
        <v>62</v>
      </c>
      <c r="C343" t="s">
        <v>4</v>
      </c>
      <c r="D343" t="s">
        <v>26</v>
      </c>
      <c r="E343" s="2">
        <v>1</v>
      </c>
      <c r="F343" t="s">
        <v>38</v>
      </c>
      <c r="G343">
        <v>3.49</v>
      </c>
      <c r="H343">
        <v>3.19</v>
      </c>
      <c r="I343" s="2" t="str">
        <f>_xlfn.XLOOKUP(F343,DeparaIMG!B:B,DeparaIMG!D:D,,0)</f>
        <v>GCA350.png</v>
      </c>
    </row>
    <row r="344" spans="1:9" x14ac:dyDescent="0.25">
      <c r="A344" s="2" t="s">
        <v>101</v>
      </c>
      <c r="B344" s="2" t="s">
        <v>62</v>
      </c>
      <c r="C344" t="s">
        <v>27</v>
      </c>
      <c r="D344" t="s">
        <v>26</v>
      </c>
      <c r="E344" s="2">
        <v>1</v>
      </c>
      <c r="F344" t="s">
        <v>38</v>
      </c>
      <c r="G344">
        <v>3.49</v>
      </c>
      <c r="H344">
        <v>3.19</v>
      </c>
      <c r="I344" s="2" t="str">
        <f>_xlfn.XLOOKUP(F344,DeparaIMG!B:B,DeparaIMG!D:D,,0)</f>
        <v>GCA350.png</v>
      </c>
    </row>
    <row r="345" spans="1:9" x14ac:dyDescent="0.25">
      <c r="A345" s="2" t="s">
        <v>101</v>
      </c>
      <c r="B345" s="2" t="s">
        <v>62</v>
      </c>
      <c r="C345" t="s">
        <v>28</v>
      </c>
      <c r="D345" t="s">
        <v>26</v>
      </c>
      <c r="E345" s="2">
        <v>1</v>
      </c>
      <c r="F345" t="s">
        <v>38</v>
      </c>
      <c r="G345">
        <v>3.49</v>
      </c>
      <c r="H345">
        <v>3.19</v>
      </c>
      <c r="I345" s="2" t="str">
        <f>_xlfn.XLOOKUP(F345,DeparaIMG!B:B,DeparaIMG!D:D,,0)</f>
        <v>GCA350.png</v>
      </c>
    </row>
    <row r="346" spans="1:9" x14ac:dyDescent="0.25">
      <c r="A346" s="2" t="s">
        <v>101</v>
      </c>
      <c r="B346" s="2" t="s">
        <v>62</v>
      </c>
      <c r="C346" t="s">
        <v>29</v>
      </c>
      <c r="D346" t="s">
        <v>26</v>
      </c>
      <c r="E346" s="2">
        <v>1</v>
      </c>
      <c r="F346" t="s">
        <v>38</v>
      </c>
      <c r="G346">
        <v>3.49</v>
      </c>
      <c r="H346">
        <v>3.19</v>
      </c>
      <c r="I346" s="2" t="str">
        <f>_xlfn.XLOOKUP(F346,DeparaIMG!B:B,DeparaIMG!D:D,,0)</f>
        <v>GCA350.png</v>
      </c>
    </row>
    <row r="347" spans="1:9" x14ac:dyDescent="0.25">
      <c r="A347" s="2" t="s">
        <v>101</v>
      </c>
      <c r="B347" s="2" t="s">
        <v>62</v>
      </c>
      <c r="C347" t="s">
        <v>30</v>
      </c>
      <c r="D347" t="s">
        <v>26</v>
      </c>
      <c r="E347" s="2">
        <v>1</v>
      </c>
      <c r="F347" t="s">
        <v>38</v>
      </c>
      <c r="G347">
        <v>3.49</v>
      </c>
      <c r="H347">
        <v>3.19</v>
      </c>
      <c r="I347" s="2" t="str">
        <f>_xlfn.XLOOKUP(F347,DeparaIMG!B:B,DeparaIMG!D:D,,0)</f>
        <v>GCA350.png</v>
      </c>
    </row>
    <row r="348" spans="1:9" x14ac:dyDescent="0.25">
      <c r="A348" s="2" t="s">
        <v>101</v>
      </c>
      <c r="B348" s="2" t="s">
        <v>62</v>
      </c>
      <c r="C348" t="s">
        <v>4</v>
      </c>
      <c r="D348" t="s">
        <v>26</v>
      </c>
      <c r="E348" s="2">
        <v>1</v>
      </c>
      <c r="F348" t="s">
        <v>34</v>
      </c>
      <c r="G348">
        <v>5.99</v>
      </c>
      <c r="H348">
        <v>5.49</v>
      </c>
      <c r="I348" s="2" t="str">
        <f>_xlfn.XLOOKUP(F348,DeparaIMG!B:B,DeparaIMG!D:D,,0)</f>
        <v>BAREP2.png</v>
      </c>
    </row>
    <row r="349" spans="1:9" x14ac:dyDescent="0.25">
      <c r="A349" s="2" t="s">
        <v>101</v>
      </c>
      <c r="B349" s="2" t="s">
        <v>62</v>
      </c>
      <c r="C349" t="s">
        <v>27</v>
      </c>
      <c r="D349" t="s">
        <v>26</v>
      </c>
      <c r="E349" s="2">
        <v>1</v>
      </c>
      <c r="F349" t="s">
        <v>35</v>
      </c>
      <c r="G349">
        <v>5.49</v>
      </c>
      <c r="H349">
        <v>5.19</v>
      </c>
      <c r="I349" s="2" t="str">
        <f>_xlfn.XLOOKUP(F349,DeparaIMG!B:B,DeparaIMG!D:D,,0)</f>
        <v>H2OHP500.png</v>
      </c>
    </row>
    <row r="350" spans="1:9" x14ac:dyDescent="0.25">
      <c r="A350" s="2" t="s">
        <v>101</v>
      </c>
      <c r="B350" s="2" t="s">
        <v>62</v>
      </c>
      <c r="C350" t="s">
        <v>28</v>
      </c>
      <c r="D350" t="s">
        <v>26</v>
      </c>
      <c r="E350" s="2">
        <v>1</v>
      </c>
      <c r="F350" t="s">
        <v>35</v>
      </c>
      <c r="G350">
        <v>5.49</v>
      </c>
      <c r="H350">
        <v>5.19</v>
      </c>
      <c r="I350" s="2" t="str">
        <f>_xlfn.XLOOKUP(F350,DeparaIMG!B:B,DeparaIMG!D:D,,0)</f>
        <v>H2OHP500.png</v>
      </c>
    </row>
    <row r="351" spans="1:9" x14ac:dyDescent="0.25">
      <c r="A351" s="2" t="s">
        <v>101</v>
      </c>
      <c r="B351" s="2" t="s">
        <v>62</v>
      </c>
      <c r="C351" t="s">
        <v>29</v>
      </c>
      <c r="D351" t="s">
        <v>26</v>
      </c>
      <c r="E351" s="2">
        <v>1</v>
      </c>
      <c r="F351" t="s">
        <v>35</v>
      </c>
      <c r="G351">
        <v>5.49</v>
      </c>
      <c r="H351">
        <v>5.19</v>
      </c>
      <c r="I351" s="2" t="str">
        <f>_xlfn.XLOOKUP(F351,DeparaIMG!B:B,DeparaIMG!D:D,,0)</f>
        <v>H2OHP500.png</v>
      </c>
    </row>
    <row r="352" spans="1:9" x14ac:dyDescent="0.25">
      <c r="A352" s="2" t="s">
        <v>101</v>
      </c>
      <c r="B352" s="2" t="s">
        <v>62</v>
      </c>
      <c r="C352" t="s">
        <v>30</v>
      </c>
      <c r="D352" t="s">
        <v>26</v>
      </c>
      <c r="E352" s="2">
        <v>1</v>
      </c>
      <c r="F352" t="s">
        <v>35</v>
      </c>
      <c r="G352">
        <v>5.49</v>
      </c>
      <c r="H352">
        <v>5.19</v>
      </c>
      <c r="I352" s="2" t="str">
        <f>_xlfn.XLOOKUP(F352,DeparaIMG!B:B,DeparaIMG!D:D,,0)</f>
        <v>H2OHP500.png</v>
      </c>
    </row>
    <row r="353" spans="1:9" x14ac:dyDescent="0.25">
      <c r="A353" s="2" t="s">
        <v>101</v>
      </c>
      <c r="B353" s="2" t="s">
        <v>62</v>
      </c>
      <c r="C353" t="s">
        <v>4</v>
      </c>
      <c r="D353" t="s">
        <v>26</v>
      </c>
      <c r="E353" s="2">
        <v>1</v>
      </c>
      <c r="F353" t="s">
        <v>39</v>
      </c>
      <c r="G353">
        <v>3.49</v>
      </c>
      <c r="H353">
        <v>3.09</v>
      </c>
      <c r="I353" s="2" t="str">
        <f>_xlfn.XLOOKUP(F353,DeparaIMG!B:B,DeparaIMG!D:D,,0)</f>
        <v>PCB350.png</v>
      </c>
    </row>
    <row r="354" spans="1:9" x14ac:dyDescent="0.25">
      <c r="A354" s="2" t="s">
        <v>101</v>
      </c>
      <c r="B354" s="2" t="s">
        <v>62</v>
      </c>
      <c r="C354" t="s">
        <v>27</v>
      </c>
      <c r="D354" t="s">
        <v>26</v>
      </c>
      <c r="E354" s="2">
        <v>1</v>
      </c>
      <c r="F354" t="s">
        <v>39</v>
      </c>
      <c r="G354">
        <v>3.49</v>
      </c>
      <c r="H354">
        <v>3.09</v>
      </c>
      <c r="I354" s="2" t="str">
        <f>_xlfn.XLOOKUP(F354,DeparaIMG!B:B,DeparaIMG!D:D,,0)</f>
        <v>PCB350.png</v>
      </c>
    </row>
    <row r="355" spans="1:9" x14ac:dyDescent="0.25">
      <c r="A355" s="2" t="s">
        <v>101</v>
      </c>
      <c r="B355" s="2" t="s">
        <v>62</v>
      </c>
      <c r="C355" t="s">
        <v>28</v>
      </c>
      <c r="D355" t="s">
        <v>26</v>
      </c>
      <c r="E355" s="2">
        <v>1</v>
      </c>
      <c r="F355" t="s">
        <v>39</v>
      </c>
      <c r="G355">
        <v>3.49</v>
      </c>
      <c r="H355">
        <v>3.09</v>
      </c>
      <c r="I355" s="2" t="str">
        <f>_xlfn.XLOOKUP(F355,DeparaIMG!B:B,DeparaIMG!D:D,,0)</f>
        <v>PCB350.png</v>
      </c>
    </row>
    <row r="356" spans="1:9" x14ac:dyDescent="0.25">
      <c r="A356" s="2" t="s">
        <v>101</v>
      </c>
      <c r="B356" s="2" t="s">
        <v>62</v>
      </c>
      <c r="C356" t="s">
        <v>29</v>
      </c>
      <c r="D356" t="s">
        <v>26</v>
      </c>
      <c r="E356" s="2">
        <v>1</v>
      </c>
      <c r="F356" t="s">
        <v>39</v>
      </c>
      <c r="G356">
        <v>3.49</v>
      </c>
      <c r="H356">
        <v>3.09</v>
      </c>
      <c r="I356" s="2" t="str">
        <f>_xlfn.XLOOKUP(F356,DeparaIMG!B:B,DeparaIMG!D:D,,0)</f>
        <v>PCB350.png</v>
      </c>
    </row>
    <row r="357" spans="1:9" x14ac:dyDescent="0.25">
      <c r="A357" s="2" t="s">
        <v>101</v>
      </c>
      <c r="B357" s="2" t="s">
        <v>62</v>
      </c>
      <c r="C357" t="s">
        <v>30</v>
      </c>
      <c r="D357" t="s">
        <v>26</v>
      </c>
      <c r="E357" s="2">
        <v>1</v>
      </c>
      <c r="F357" t="s">
        <v>39</v>
      </c>
      <c r="G357">
        <v>3.49</v>
      </c>
      <c r="H357">
        <v>3.09</v>
      </c>
      <c r="I357" s="2" t="str">
        <f>_xlfn.XLOOKUP(F357,DeparaIMG!B:B,DeparaIMG!D:D,,0)</f>
        <v>PCB350.png</v>
      </c>
    </row>
    <row r="358" spans="1:9" x14ac:dyDescent="0.25">
      <c r="A358" s="2" t="s">
        <v>101</v>
      </c>
      <c r="B358" s="2" t="s">
        <v>62</v>
      </c>
      <c r="C358" t="s">
        <v>4</v>
      </c>
      <c r="D358" t="s">
        <v>25</v>
      </c>
      <c r="E358" s="2">
        <v>2</v>
      </c>
      <c r="F358" t="s">
        <v>37</v>
      </c>
      <c r="G358">
        <v>8.7899999999999991</v>
      </c>
      <c r="H358">
        <v>8.09</v>
      </c>
      <c r="I358" s="2" t="str">
        <f>_xlfn.XLOOKUP(F358,DeparaIMG!B:B,DeparaIMG!D:D,,0)</f>
        <v>GCAP2.png</v>
      </c>
    </row>
    <row r="359" spans="1:9" x14ac:dyDescent="0.25">
      <c r="A359" s="2" t="s">
        <v>101</v>
      </c>
      <c r="B359" s="2" t="s">
        <v>62</v>
      </c>
      <c r="C359" t="s">
        <v>27</v>
      </c>
      <c r="D359" t="s">
        <v>25</v>
      </c>
      <c r="E359" s="2">
        <v>2</v>
      </c>
      <c r="F359" t="s">
        <v>37</v>
      </c>
      <c r="G359">
        <v>8.7899999999999991</v>
      </c>
      <c r="H359">
        <v>8.09</v>
      </c>
      <c r="I359" s="2" t="str">
        <f>_xlfn.XLOOKUP(F359,DeparaIMG!B:B,DeparaIMG!D:D,,0)</f>
        <v>GCAP2.png</v>
      </c>
    </row>
    <row r="360" spans="1:9" x14ac:dyDescent="0.25">
      <c r="A360" s="2" t="s">
        <v>101</v>
      </c>
      <c r="B360" s="2" t="s">
        <v>62</v>
      </c>
      <c r="C360" t="s">
        <v>28</v>
      </c>
      <c r="D360" t="s">
        <v>25</v>
      </c>
      <c r="E360" s="2">
        <v>2</v>
      </c>
      <c r="F360" t="s">
        <v>37</v>
      </c>
      <c r="G360">
        <v>8.2899999999999991</v>
      </c>
      <c r="H360">
        <v>7.59</v>
      </c>
      <c r="I360" s="2" t="str">
        <f>_xlfn.XLOOKUP(F360,DeparaIMG!B:B,DeparaIMG!D:D,,0)</f>
        <v>GCAP2.png</v>
      </c>
    </row>
    <row r="361" spans="1:9" x14ac:dyDescent="0.25">
      <c r="A361" s="2" t="s">
        <v>101</v>
      </c>
      <c r="B361" s="2" t="s">
        <v>62</v>
      </c>
      <c r="C361" t="s">
        <v>29</v>
      </c>
      <c r="D361" t="s">
        <v>25</v>
      </c>
      <c r="E361" s="2">
        <v>2</v>
      </c>
      <c r="F361" t="s">
        <v>37</v>
      </c>
      <c r="G361">
        <v>8.2899999999999991</v>
      </c>
      <c r="H361">
        <v>7.59</v>
      </c>
      <c r="I361" s="2" t="str">
        <f>_xlfn.XLOOKUP(F361,DeparaIMG!B:B,DeparaIMG!D:D,,0)</f>
        <v>GCAP2.png</v>
      </c>
    </row>
    <row r="362" spans="1:9" x14ac:dyDescent="0.25">
      <c r="A362" s="2" t="s">
        <v>101</v>
      </c>
      <c r="B362" s="2" t="s">
        <v>62</v>
      </c>
      <c r="C362" t="s">
        <v>30</v>
      </c>
      <c r="D362" t="s">
        <v>25</v>
      </c>
      <c r="E362" s="2">
        <v>2</v>
      </c>
      <c r="F362" t="s">
        <v>37</v>
      </c>
      <c r="G362">
        <v>9.2899999999999991</v>
      </c>
      <c r="H362">
        <v>8.59</v>
      </c>
      <c r="I362" s="2" t="str">
        <f>_xlfn.XLOOKUP(F362,DeparaIMG!B:B,DeparaIMG!D:D,,0)</f>
        <v>GCAP2.png</v>
      </c>
    </row>
    <row r="363" spans="1:9" x14ac:dyDescent="0.25">
      <c r="A363" s="2" t="s">
        <v>101</v>
      </c>
      <c r="B363" s="2" t="s">
        <v>62</v>
      </c>
      <c r="C363" t="s">
        <v>4</v>
      </c>
      <c r="D363" t="s">
        <v>25</v>
      </c>
      <c r="E363" s="2">
        <v>2</v>
      </c>
      <c r="F363" t="s">
        <v>40</v>
      </c>
      <c r="G363">
        <v>2.4900000000000002</v>
      </c>
      <c r="H363">
        <v>2.29</v>
      </c>
      <c r="I363" s="2" t="str">
        <f>_xlfn.XLOOKUP(F363,DeparaIMG!B:B,DeparaIMG!D:D,,0)</f>
        <v>GCA269.png</v>
      </c>
    </row>
    <row r="364" spans="1:9" x14ac:dyDescent="0.25">
      <c r="A364" s="2" t="s">
        <v>101</v>
      </c>
      <c r="B364" s="2" t="s">
        <v>62</v>
      </c>
      <c r="C364" t="s">
        <v>27</v>
      </c>
      <c r="D364" t="s">
        <v>25</v>
      </c>
      <c r="E364" s="2">
        <v>2</v>
      </c>
      <c r="F364" t="s">
        <v>40</v>
      </c>
      <c r="G364">
        <v>2.4900000000000002</v>
      </c>
      <c r="H364">
        <v>2.29</v>
      </c>
      <c r="I364" s="2" t="str">
        <f>_xlfn.XLOOKUP(F364,DeparaIMG!B:B,DeparaIMG!D:D,,0)</f>
        <v>GCA269.png</v>
      </c>
    </row>
    <row r="365" spans="1:9" x14ac:dyDescent="0.25">
      <c r="A365" s="2" t="s">
        <v>101</v>
      </c>
      <c r="B365" s="2" t="s">
        <v>62</v>
      </c>
      <c r="C365" t="s">
        <v>28</v>
      </c>
      <c r="D365" t="s">
        <v>25</v>
      </c>
      <c r="E365" s="2">
        <v>2</v>
      </c>
      <c r="F365" t="s">
        <v>40</v>
      </c>
      <c r="G365">
        <v>2.4900000000000002</v>
      </c>
      <c r="H365">
        <v>2.29</v>
      </c>
      <c r="I365" s="2" t="str">
        <f>_xlfn.XLOOKUP(F365,DeparaIMG!B:B,DeparaIMG!D:D,,0)</f>
        <v>GCA269.png</v>
      </c>
    </row>
    <row r="366" spans="1:9" x14ac:dyDescent="0.25">
      <c r="A366" s="2" t="s">
        <v>101</v>
      </c>
      <c r="B366" s="2" t="s">
        <v>62</v>
      </c>
      <c r="C366" t="s">
        <v>29</v>
      </c>
      <c r="D366" t="s">
        <v>25</v>
      </c>
      <c r="E366" s="2">
        <v>2</v>
      </c>
      <c r="F366" t="s">
        <v>40</v>
      </c>
      <c r="G366">
        <v>2.4900000000000002</v>
      </c>
      <c r="H366">
        <v>2.29</v>
      </c>
      <c r="I366" s="2" t="str">
        <f>_xlfn.XLOOKUP(F366,DeparaIMG!B:B,DeparaIMG!D:D,,0)</f>
        <v>GCA269.png</v>
      </c>
    </row>
    <row r="367" spans="1:9" x14ac:dyDescent="0.25">
      <c r="A367" s="2" t="s">
        <v>101</v>
      </c>
      <c r="B367" s="2" t="s">
        <v>62</v>
      </c>
      <c r="C367" t="s">
        <v>30</v>
      </c>
      <c r="D367" t="s">
        <v>25</v>
      </c>
      <c r="E367" s="2">
        <v>2</v>
      </c>
      <c r="F367" t="s">
        <v>40</v>
      </c>
      <c r="G367">
        <v>2.4900000000000002</v>
      </c>
      <c r="H367">
        <v>2.29</v>
      </c>
      <c r="I367" s="2" t="str">
        <f>_xlfn.XLOOKUP(F367,DeparaIMG!B:B,DeparaIMG!D:D,,0)</f>
        <v>GCA269.png</v>
      </c>
    </row>
    <row r="368" spans="1:9" x14ac:dyDescent="0.25">
      <c r="A368" s="2" t="s">
        <v>101</v>
      </c>
      <c r="B368" s="2" t="s">
        <v>62</v>
      </c>
      <c r="C368" t="s">
        <v>4</v>
      </c>
      <c r="D368" t="s">
        <v>25</v>
      </c>
      <c r="E368" s="2">
        <v>2</v>
      </c>
      <c r="F368" t="s">
        <v>41</v>
      </c>
      <c r="G368">
        <v>2.4900000000000002</v>
      </c>
      <c r="H368">
        <v>2.29</v>
      </c>
      <c r="I368" s="2" t="str">
        <f>_xlfn.XLOOKUP(F368,DeparaIMG!B:B,DeparaIMG!D:D,,0)</f>
        <v>PC269.png</v>
      </c>
    </row>
    <row r="369" spans="1:9" x14ac:dyDescent="0.25">
      <c r="A369" s="2" t="s">
        <v>101</v>
      </c>
      <c r="B369" s="2" t="s">
        <v>62</v>
      </c>
      <c r="C369" t="s">
        <v>27</v>
      </c>
      <c r="D369" t="s">
        <v>25</v>
      </c>
      <c r="E369" s="2">
        <v>2</v>
      </c>
      <c r="F369" t="s">
        <v>41</v>
      </c>
      <c r="G369">
        <v>2.4900000000000002</v>
      </c>
      <c r="H369">
        <v>2.29</v>
      </c>
      <c r="I369" s="2" t="str">
        <f>_xlfn.XLOOKUP(F369,DeparaIMG!B:B,DeparaIMG!D:D,,0)</f>
        <v>PC269.png</v>
      </c>
    </row>
    <row r="370" spans="1:9" x14ac:dyDescent="0.25">
      <c r="A370" s="2" t="s">
        <v>101</v>
      </c>
      <c r="B370" s="2" t="s">
        <v>62</v>
      </c>
      <c r="C370" t="s">
        <v>28</v>
      </c>
      <c r="D370" t="s">
        <v>25</v>
      </c>
      <c r="E370" s="2">
        <v>2</v>
      </c>
      <c r="F370" t="s">
        <v>41</v>
      </c>
      <c r="G370">
        <v>2.4900000000000002</v>
      </c>
      <c r="H370">
        <v>2.29</v>
      </c>
      <c r="I370" s="2" t="str">
        <f>_xlfn.XLOOKUP(F370,DeparaIMG!B:B,DeparaIMG!D:D,,0)</f>
        <v>PC269.png</v>
      </c>
    </row>
    <row r="371" spans="1:9" x14ac:dyDescent="0.25">
      <c r="A371" s="2" t="s">
        <v>101</v>
      </c>
      <c r="B371" s="2" t="s">
        <v>62</v>
      </c>
      <c r="C371" t="s">
        <v>29</v>
      </c>
      <c r="D371" t="s">
        <v>25</v>
      </c>
      <c r="E371" s="2">
        <v>2</v>
      </c>
      <c r="F371" t="s">
        <v>41</v>
      </c>
      <c r="G371">
        <v>2.4900000000000002</v>
      </c>
      <c r="H371">
        <v>2.29</v>
      </c>
      <c r="I371" s="2" t="str">
        <f>_xlfn.XLOOKUP(F371,DeparaIMG!B:B,DeparaIMG!D:D,,0)</f>
        <v>PC269.png</v>
      </c>
    </row>
    <row r="372" spans="1:9" x14ac:dyDescent="0.25">
      <c r="A372" s="2" t="s">
        <v>101</v>
      </c>
      <c r="B372" s="2" t="s">
        <v>62</v>
      </c>
      <c r="C372" t="s">
        <v>30</v>
      </c>
      <c r="D372" t="s">
        <v>25</v>
      </c>
      <c r="E372" s="2">
        <v>2</v>
      </c>
      <c r="F372" t="s">
        <v>41</v>
      </c>
      <c r="G372">
        <v>2.4900000000000002</v>
      </c>
      <c r="H372">
        <v>2.29</v>
      </c>
      <c r="I372" s="2" t="str">
        <f>_xlfn.XLOOKUP(F372,DeparaIMG!B:B,DeparaIMG!D:D,,0)</f>
        <v>PC269.png</v>
      </c>
    </row>
    <row r="373" spans="1:9" x14ac:dyDescent="0.25">
      <c r="A373" s="2" t="s">
        <v>101</v>
      </c>
      <c r="B373" s="2" t="s">
        <v>62</v>
      </c>
      <c r="C373" t="s">
        <v>4</v>
      </c>
      <c r="D373" t="s">
        <v>26</v>
      </c>
      <c r="E373" s="2">
        <v>2</v>
      </c>
      <c r="F373" t="s">
        <v>31</v>
      </c>
      <c r="G373">
        <v>5.29</v>
      </c>
      <c r="H373">
        <v>4.99</v>
      </c>
      <c r="I373" s="2" t="str">
        <f>_xlfn.XLOOKUP(F373,DeparaIMG!B:B,DeparaIMG!D:D,,0)</f>
        <v>GCAP1.png</v>
      </c>
    </row>
    <row r="374" spans="1:9" x14ac:dyDescent="0.25">
      <c r="A374" s="2" t="s">
        <v>101</v>
      </c>
      <c r="B374" s="2" t="s">
        <v>62</v>
      </c>
      <c r="C374" t="s">
        <v>27</v>
      </c>
      <c r="D374" t="s">
        <v>26</v>
      </c>
      <c r="E374" s="2">
        <v>2</v>
      </c>
      <c r="F374" t="s">
        <v>32</v>
      </c>
      <c r="G374">
        <v>6.99</v>
      </c>
      <c r="H374">
        <v>6.69</v>
      </c>
      <c r="I374" s="2" t="str">
        <f>_xlfn.XLOOKUP(F374,DeparaIMG!B:B,DeparaIMG!D:D,,0)</f>
        <v>GCAP1,5.png</v>
      </c>
    </row>
    <row r="375" spans="1:9" x14ac:dyDescent="0.25">
      <c r="A375" s="2" t="s">
        <v>101</v>
      </c>
      <c r="B375" s="2" t="s">
        <v>62</v>
      </c>
      <c r="C375" t="s">
        <v>28</v>
      </c>
      <c r="D375" t="s">
        <v>26</v>
      </c>
      <c r="E375" s="2">
        <v>2</v>
      </c>
      <c r="F375" t="s">
        <v>32</v>
      </c>
      <c r="G375">
        <v>6.99</v>
      </c>
      <c r="H375">
        <v>6.69</v>
      </c>
      <c r="I375" s="2" t="str">
        <f>_xlfn.XLOOKUP(F375,DeparaIMG!B:B,DeparaIMG!D:D,,0)</f>
        <v>GCAP1,5.png</v>
      </c>
    </row>
    <row r="376" spans="1:9" x14ac:dyDescent="0.25">
      <c r="A376" s="2" t="s">
        <v>101</v>
      </c>
      <c r="B376" s="2" t="s">
        <v>62</v>
      </c>
      <c r="C376" t="s">
        <v>29</v>
      </c>
      <c r="D376" t="s">
        <v>26</v>
      </c>
      <c r="E376" s="2">
        <v>2</v>
      </c>
      <c r="F376" t="s">
        <v>32</v>
      </c>
      <c r="G376">
        <v>6.99</v>
      </c>
      <c r="H376">
        <v>6.69</v>
      </c>
      <c r="I376" s="2" t="str">
        <f>_xlfn.XLOOKUP(F376,DeparaIMG!B:B,DeparaIMG!D:D,,0)</f>
        <v>GCAP1,5.png</v>
      </c>
    </row>
    <row r="377" spans="1:9" x14ac:dyDescent="0.25">
      <c r="A377" s="2" t="s">
        <v>101</v>
      </c>
      <c r="B377" s="2" t="s">
        <v>62</v>
      </c>
      <c r="C377" t="s">
        <v>30</v>
      </c>
      <c r="D377" t="s">
        <v>26</v>
      </c>
      <c r="E377" s="2">
        <v>2</v>
      </c>
      <c r="F377" t="s">
        <v>32</v>
      </c>
      <c r="G377">
        <v>7.49</v>
      </c>
      <c r="H377">
        <v>7.19</v>
      </c>
      <c r="I377" s="2" t="str">
        <f>_xlfn.XLOOKUP(F377,DeparaIMG!B:B,DeparaIMG!D:D,,0)</f>
        <v>GCAP1,5.png</v>
      </c>
    </row>
    <row r="378" spans="1:9" x14ac:dyDescent="0.25">
      <c r="A378" s="2" t="s">
        <v>101</v>
      </c>
      <c r="B378" s="2" t="s">
        <v>62</v>
      </c>
      <c r="C378" t="s">
        <v>4</v>
      </c>
      <c r="D378" t="s">
        <v>26</v>
      </c>
      <c r="E378" s="2">
        <v>2</v>
      </c>
      <c r="F378" t="s">
        <v>33</v>
      </c>
      <c r="G378">
        <v>7.99</v>
      </c>
      <c r="H378">
        <v>7.49</v>
      </c>
      <c r="I378" s="2" t="str">
        <f>_xlfn.XLOOKUP(F378,DeparaIMG!B:B,DeparaIMG!D:D,,0)</f>
        <v>PCP2.png</v>
      </c>
    </row>
    <row r="379" spans="1:9" x14ac:dyDescent="0.25">
      <c r="A379" s="2" t="s">
        <v>101</v>
      </c>
      <c r="B379" s="2" t="s">
        <v>62</v>
      </c>
      <c r="C379" t="s">
        <v>27</v>
      </c>
      <c r="D379" t="s">
        <v>26</v>
      </c>
      <c r="E379" s="2">
        <v>2</v>
      </c>
      <c r="F379" t="s">
        <v>33</v>
      </c>
      <c r="G379">
        <v>8.49</v>
      </c>
      <c r="H379">
        <v>7.99</v>
      </c>
      <c r="I379" s="2" t="str">
        <f>_xlfn.XLOOKUP(F379,DeparaIMG!B:B,DeparaIMG!D:D,,0)</f>
        <v>PCP2.png</v>
      </c>
    </row>
    <row r="380" spans="1:9" x14ac:dyDescent="0.25">
      <c r="A380" s="2" t="s">
        <v>101</v>
      </c>
      <c r="B380" s="2" t="s">
        <v>62</v>
      </c>
      <c r="C380" t="s">
        <v>28</v>
      </c>
      <c r="D380" t="s">
        <v>26</v>
      </c>
      <c r="E380" s="2">
        <v>2</v>
      </c>
      <c r="F380" t="s">
        <v>33</v>
      </c>
      <c r="G380">
        <v>7.99</v>
      </c>
      <c r="H380">
        <v>7.49</v>
      </c>
      <c r="I380" s="2" t="str">
        <f>_xlfn.XLOOKUP(F380,DeparaIMG!B:B,DeparaIMG!D:D,,0)</f>
        <v>PCP2.png</v>
      </c>
    </row>
    <row r="381" spans="1:9" x14ac:dyDescent="0.25">
      <c r="A381" s="2" t="s">
        <v>101</v>
      </c>
      <c r="B381" s="2" t="s">
        <v>62</v>
      </c>
      <c r="C381" t="s">
        <v>29</v>
      </c>
      <c r="D381" t="s">
        <v>26</v>
      </c>
      <c r="E381" s="2">
        <v>2</v>
      </c>
      <c r="F381" t="s">
        <v>33</v>
      </c>
      <c r="G381">
        <v>7.99</v>
      </c>
      <c r="H381">
        <v>7.49</v>
      </c>
      <c r="I381" s="2" t="str">
        <f>_xlfn.XLOOKUP(F381,DeparaIMG!B:B,DeparaIMG!D:D,,0)</f>
        <v>PCP2.png</v>
      </c>
    </row>
    <row r="382" spans="1:9" x14ac:dyDescent="0.25">
      <c r="A382" s="2" t="s">
        <v>101</v>
      </c>
      <c r="B382" s="2" t="s">
        <v>62</v>
      </c>
      <c r="C382" t="s">
        <v>30</v>
      </c>
      <c r="D382" t="s">
        <v>26</v>
      </c>
      <c r="E382" s="2">
        <v>2</v>
      </c>
      <c r="F382" t="s">
        <v>33</v>
      </c>
      <c r="G382">
        <v>8.99</v>
      </c>
      <c r="H382">
        <v>8.49</v>
      </c>
      <c r="I382" s="2" t="str">
        <f>_xlfn.XLOOKUP(F382,DeparaIMG!B:B,DeparaIMG!D:D,,0)</f>
        <v>PCP2.png</v>
      </c>
    </row>
    <row r="383" spans="1:9" x14ac:dyDescent="0.25">
      <c r="A383" s="2" t="s">
        <v>101</v>
      </c>
      <c r="B383" s="2" t="s">
        <v>62</v>
      </c>
      <c r="C383" t="s">
        <v>27</v>
      </c>
      <c r="D383" t="s">
        <v>26</v>
      </c>
      <c r="E383" s="2">
        <v>2</v>
      </c>
      <c r="F383" t="s">
        <v>42</v>
      </c>
      <c r="G383">
        <v>8.49</v>
      </c>
      <c r="H383">
        <v>7.99</v>
      </c>
      <c r="I383" s="2" t="str">
        <f>_xlfn.XLOOKUP(F383,DeparaIMG!B:B,DeparaIMG!D:D,,0)</f>
        <v>H2OHP1,5.png</v>
      </c>
    </row>
    <row r="384" spans="1:9" x14ac:dyDescent="0.25">
      <c r="A384" s="2" t="s">
        <v>101</v>
      </c>
      <c r="B384" s="2" t="s">
        <v>62</v>
      </c>
      <c r="C384" t="s">
        <v>28</v>
      </c>
      <c r="D384" t="s">
        <v>26</v>
      </c>
      <c r="E384" s="2">
        <v>2</v>
      </c>
      <c r="F384" t="s">
        <v>42</v>
      </c>
      <c r="G384">
        <v>7.99</v>
      </c>
      <c r="H384">
        <v>7.49</v>
      </c>
      <c r="I384" s="2" t="str">
        <f>_xlfn.XLOOKUP(F384,DeparaIMG!B:B,DeparaIMG!D:D,,0)</f>
        <v>H2OHP1,5.png</v>
      </c>
    </row>
    <row r="385" spans="1:9" x14ac:dyDescent="0.25">
      <c r="A385" s="2" t="s">
        <v>101</v>
      </c>
      <c r="B385" s="2" t="s">
        <v>62</v>
      </c>
      <c r="C385" t="s">
        <v>29</v>
      </c>
      <c r="D385" t="s">
        <v>26</v>
      </c>
      <c r="E385" s="2">
        <v>2</v>
      </c>
      <c r="F385" t="s">
        <v>42</v>
      </c>
      <c r="G385">
        <v>7.99</v>
      </c>
      <c r="H385">
        <v>7.49</v>
      </c>
      <c r="I385" s="2" t="str">
        <f>_xlfn.XLOOKUP(F385,DeparaIMG!B:B,DeparaIMG!D:D,,0)</f>
        <v>H2OHP1,5.png</v>
      </c>
    </row>
    <row r="386" spans="1:9" x14ac:dyDescent="0.25">
      <c r="A386" s="2" t="s">
        <v>101</v>
      </c>
      <c r="B386" s="2" t="s">
        <v>62</v>
      </c>
      <c r="C386" t="s">
        <v>30</v>
      </c>
      <c r="D386" t="s">
        <v>26</v>
      </c>
      <c r="E386" s="2">
        <v>2</v>
      </c>
      <c r="F386" t="s">
        <v>42</v>
      </c>
      <c r="G386">
        <v>8.49</v>
      </c>
      <c r="H386">
        <v>7.99</v>
      </c>
      <c r="I386" s="2" t="str">
        <f>_xlfn.XLOOKUP(F386,DeparaIMG!B:B,DeparaIMG!D:D,,0)</f>
        <v>H2OHP1,5.png</v>
      </c>
    </row>
    <row r="387" spans="1:9" x14ac:dyDescent="0.25">
      <c r="A387" s="2" t="s">
        <v>106</v>
      </c>
      <c r="B387" s="2" t="s">
        <v>63</v>
      </c>
      <c r="C387" t="s">
        <v>88</v>
      </c>
      <c r="D387" t="s">
        <v>25</v>
      </c>
      <c r="E387" s="2">
        <v>2</v>
      </c>
      <c r="F387" t="s">
        <v>67</v>
      </c>
      <c r="G387">
        <v>3.09</v>
      </c>
      <c r="H387">
        <v>2.89</v>
      </c>
      <c r="I387" s="2" t="str">
        <f>_xlfn.XLOOKUP(F387,DeparaIMG!B:B,DeparaIMG!D:D,,0)</f>
        <v>SK269.png</v>
      </c>
    </row>
    <row r="388" spans="1:9" x14ac:dyDescent="0.25">
      <c r="A388" s="2" t="s">
        <v>106</v>
      </c>
      <c r="B388" s="2" t="s">
        <v>63</v>
      </c>
      <c r="C388" t="s">
        <v>88</v>
      </c>
      <c r="D388" t="s">
        <v>26</v>
      </c>
      <c r="E388" s="2">
        <v>2</v>
      </c>
      <c r="F388" t="s">
        <v>67</v>
      </c>
      <c r="G388">
        <v>3.09</v>
      </c>
      <c r="H388">
        <v>2.89</v>
      </c>
      <c r="I388" s="2" t="str">
        <f>_xlfn.XLOOKUP(F388,DeparaIMG!B:B,DeparaIMG!D:D,,0)</f>
        <v>SK269.png</v>
      </c>
    </row>
    <row r="389" spans="1:9" x14ac:dyDescent="0.25">
      <c r="A389" s="2" t="s">
        <v>106</v>
      </c>
      <c r="B389" s="2" t="s">
        <v>63</v>
      </c>
      <c r="C389" t="s">
        <v>90</v>
      </c>
      <c r="D389" t="s">
        <v>25</v>
      </c>
      <c r="E389" s="2">
        <v>1</v>
      </c>
      <c r="F389" t="s">
        <v>69</v>
      </c>
      <c r="G389">
        <v>3.29</v>
      </c>
      <c r="H389">
        <v>2.99</v>
      </c>
      <c r="I389" s="2" t="str">
        <f>_xlfn.XLOOKUP(F389,DeparaIMG!B:B,DeparaIMG!D:D,,0)</f>
        <v>BC269.png</v>
      </c>
    </row>
    <row r="390" spans="1:9" x14ac:dyDescent="0.25">
      <c r="A390" s="2" t="s">
        <v>106</v>
      </c>
      <c r="B390" s="2" t="s">
        <v>63</v>
      </c>
      <c r="C390" t="s">
        <v>90</v>
      </c>
      <c r="D390" t="s">
        <v>26</v>
      </c>
      <c r="E390" s="2">
        <v>1</v>
      </c>
      <c r="F390" t="s">
        <v>69</v>
      </c>
      <c r="G390">
        <v>3.29</v>
      </c>
      <c r="H390">
        <v>2.99</v>
      </c>
      <c r="I390" s="2" t="str">
        <f>_xlfn.XLOOKUP(F390,DeparaIMG!B:B,DeparaIMG!D:D,,0)</f>
        <v>BC269.png</v>
      </c>
    </row>
    <row r="391" spans="1:9" x14ac:dyDescent="0.25">
      <c r="A391" s="2" t="s">
        <v>106</v>
      </c>
      <c r="B391" s="2" t="s">
        <v>63</v>
      </c>
      <c r="C391" t="s">
        <v>28</v>
      </c>
      <c r="D391" t="s">
        <v>25</v>
      </c>
      <c r="E391" s="2">
        <v>2</v>
      </c>
      <c r="F391" t="s">
        <v>68</v>
      </c>
      <c r="G391">
        <v>3.19</v>
      </c>
      <c r="H391">
        <v>2.99</v>
      </c>
      <c r="I391" s="2" t="str">
        <f>_xlfn.XLOOKUP(F391,DeparaIMG!B:B,DeparaIMG!D:D,,0)</f>
        <v>AP269.png</v>
      </c>
    </row>
    <row r="392" spans="1:9" x14ac:dyDescent="0.25">
      <c r="A392" s="2" t="s">
        <v>106</v>
      </c>
      <c r="B392" s="2" t="s">
        <v>63</v>
      </c>
      <c r="C392" t="s">
        <v>29</v>
      </c>
      <c r="D392" t="s">
        <v>25</v>
      </c>
      <c r="E392" s="2">
        <v>2</v>
      </c>
      <c r="F392" t="s">
        <v>68</v>
      </c>
      <c r="G392">
        <v>3.19</v>
      </c>
      <c r="H392">
        <v>2.99</v>
      </c>
      <c r="I392" s="2" t="str">
        <f>_xlfn.XLOOKUP(F392,DeparaIMG!B:B,DeparaIMG!D:D,,0)</f>
        <v>AP269.png</v>
      </c>
    </row>
    <row r="393" spans="1:9" x14ac:dyDescent="0.25">
      <c r="A393" s="2" t="s">
        <v>106</v>
      </c>
      <c r="B393" s="2" t="s">
        <v>63</v>
      </c>
      <c r="C393" t="s">
        <v>29</v>
      </c>
      <c r="D393" t="s">
        <v>25</v>
      </c>
      <c r="E393" s="2">
        <v>1</v>
      </c>
      <c r="F393" t="s">
        <v>69</v>
      </c>
      <c r="G393">
        <v>3.19</v>
      </c>
      <c r="H393">
        <v>2.99</v>
      </c>
      <c r="I393" s="2" t="str">
        <f>_xlfn.XLOOKUP(F393,DeparaIMG!B:B,DeparaIMG!D:D,,0)</f>
        <v>BC269.png</v>
      </c>
    </row>
    <row r="394" spans="1:9" x14ac:dyDescent="0.25">
      <c r="A394" s="2" t="s">
        <v>106</v>
      </c>
      <c r="B394" s="2" t="s">
        <v>63</v>
      </c>
      <c r="C394" t="s">
        <v>28</v>
      </c>
      <c r="D394" t="s">
        <v>25</v>
      </c>
      <c r="E394" s="2">
        <v>1</v>
      </c>
      <c r="F394" t="s">
        <v>69</v>
      </c>
      <c r="G394">
        <v>3.19</v>
      </c>
      <c r="H394">
        <v>2.99</v>
      </c>
      <c r="I394" s="2" t="str">
        <f>_xlfn.XLOOKUP(F394,DeparaIMG!B:B,DeparaIMG!D:D,,0)</f>
        <v>BC269.png</v>
      </c>
    </row>
    <row r="395" spans="1:9" x14ac:dyDescent="0.25">
      <c r="A395" s="2" t="s">
        <v>106</v>
      </c>
      <c r="B395" s="2" t="s">
        <v>63</v>
      </c>
      <c r="C395" t="s">
        <v>28</v>
      </c>
      <c r="D395" t="s">
        <v>26</v>
      </c>
      <c r="E395" s="2">
        <v>1</v>
      </c>
      <c r="F395" t="s">
        <v>69</v>
      </c>
      <c r="G395">
        <v>3.19</v>
      </c>
      <c r="H395">
        <v>2.99</v>
      </c>
      <c r="I395" s="2" t="str">
        <f>_xlfn.XLOOKUP(F395,DeparaIMG!B:B,DeparaIMG!D:D,,0)</f>
        <v>BC269.png</v>
      </c>
    </row>
    <row r="396" spans="1:9" x14ac:dyDescent="0.25">
      <c r="A396" s="2" t="s">
        <v>106</v>
      </c>
      <c r="B396" s="2" t="s">
        <v>63</v>
      </c>
      <c r="C396" t="s">
        <v>88</v>
      </c>
      <c r="D396" t="s">
        <v>25</v>
      </c>
      <c r="E396" s="2">
        <v>1</v>
      </c>
      <c r="F396" t="s">
        <v>69</v>
      </c>
      <c r="G396">
        <v>3.19</v>
      </c>
      <c r="H396">
        <v>2.99</v>
      </c>
      <c r="I396" s="2" t="str">
        <f>_xlfn.XLOOKUP(F396,DeparaIMG!B:B,DeparaIMG!D:D,,0)</f>
        <v>BC269.png</v>
      </c>
    </row>
    <row r="397" spans="1:9" x14ac:dyDescent="0.25">
      <c r="A397" s="2" t="s">
        <v>106</v>
      </c>
      <c r="B397" s="2" t="s">
        <v>63</v>
      </c>
      <c r="C397" t="s">
        <v>88</v>
      </c>
      <c r="D397" t="s">
        <v>26</v>
      </c>
      <c r="E397" s="2">
        <v>1</v>
      </c>
      <c r="F397" t="s">
        <v>69</v>
      </c>
      <c r="G397">
        <v>3.19</v>
      </c>
      <c r="H397">
        <v>2.99</v>
      </c>
      <c r="I397" s="2" t="str">
        <f>_xlfn.XLOOKUP(F397,DeparaIMG!B:B,DeparaIMG!D:D,,0)</f>
        <v>BC269.png</v>
      </c>
    </row>
    <row r="398" spans="1:9" x14ac:dyDescent="0.25">
      <c r="A398" s="2" t="s">
        <v>106</v>
      </c>
      <c r="B398" s="2" t="s">
        <v>63</v>
      </c>
      <c r="C398" t="s">
        <v>4</v>
      </c>
      <c r="D398" t="s">
        <v>25</v>
      </c>
      <c r="E398" s="2">
        <v>1</v>
      </c>
      <c r="F398" t="s">
        <v>69</v>
      </c>
      <c r="G398">
        <v>3.19</v>
      </c>
      <c r="H398">
        <v>2.99</v>
      </c>
      <c r="I398" s="2" t="str">
        <f>_xlfn.XLOOKUP(F398,DeparaIMG!B:B,DeparaIMG!D:D,,0)</f>
        <v>BC269.png</v>
      </c>
    </row>
    <row r="399" spans="1:9" x14ac:dyDescent="0.25">
      <c r="A399" s="2" t="s">
        <v>106</v>
      </c>
      <c r="B399" s="2" t="s">
        <v>63</v>
      </c>
      <c r="C399" t="s">
        <v>4</v>
      </c>
      <c r="D399" t="s">
        <v>25</v>
      </c>
      <c r="E399" s="2">
        <v>2</v>
      </c>
      <c r="F399" t="s">
        <v>67</v>
      </c>
      <c r="G399">
        <v>3.29</v>
      </c>
      <c r="H399">
        <v>3.09</v>
      </c>
      <c r="I399" s="2" t="str">
        <f>_xlfn.XLOOKUP(F399,DeparaIMG!B:B,DeparaIMG!D:D,,0)</f>
        <v>SK269.png</v>
      </c>
    </row>
    <row r="400" spans="1:9" x14ac:dyDescent="0.25">
      <c r="A400" s="2" t="s">
        <v>106</v>
      </c>
      <c r="B400" s="2" t="s">
        <v>63</v>
      </c>
      <c r="C400" t="s">
        <v>4</v>
      </c>
      <c r="D400" t="s">
        <v>26</v>
      </c>
      <c r="E400" s="2">
        <v>2</v>
      </c>
      <c r="F400" t="s">
        <v>67</v>
      </c>
      <c r="G400">
        <v>3.29</v>
      </c>
      <c r="H400">
        <v>3.09</v>
      </c>
      <c r="I400" s="2" t="str">
        <f>_xlfn.XLOOKUP(F400,DeparaIMG!B:B,DeparaIMG!D:D,,0)</f>
        <v>SK269.png</v>
      </c>
    </row>
    <row r="401" spans="1:9" x14ac:dyDescent="0.25">
      <c r="A401" s="2" t="s">
        <v>106</v>
      </c>
      <c r="B401" s="2" t="s">
        <v>63</v>
      </c>
      <c r="C401" t="s">
        <v>89</v>
      </c>
      <c r="D401" t="s">
        <v>25</v>
      </c>
      <c r="E401" s="2">
        <v>1</v>
      </c>
      <c r="F401" t="s">
        <v>69</v>
      </c>
      <c r="G401">
        <v>3.29</v>
      </c>
      <c r="H401">
        <v>2.99</v>
      </c>
      <c r="I401" s="2" t="str">
        <f>_xlfn.XLOOKUP(F401,DeparaIMG!B:B,DeparaIMG!D:D,,0)</f>
        <v>BC269.png</v>
      </c>
    </row>
    <row r="402" spans="1:9" x14ac:dyDescent="0.25">
      <c r="A402" s="2" t="s">
        <v>106</v>
      </c>
      <c r="B402" s="2" t="s">
        <v>63</v>
      </c>
      <c r="C402" t="s">
        <v>89</v>
      </c>
      <c r="D402" t="s">
        <v>26</v>
      </c>
      <c r="E402" s="2">
        <v>1</v>
      </c>
      <c r="F402" t="s">
        <v>69</v>
      </c>
      <c r="G402">
        <v>3.29</v>
      </c>
      <c r="H402">
        <v>2.99</v>
      </c>
      <c r="I402" s="2" t="str">
        <f>_xlfn.XLOOKUP(F402,DeparaIMG!B:B,DeparaIMG!D:D,,0)</f>
        <v>BC269.png</v>
      </c>
    </row>
    <row r="403" spans="1:9" x14ac:dyDescent="0.25">
      <c r="A403" s="2" t="s">
        <v>106</v>
      </c>
      <c r="B403" s="2" t="s">
        <v>63</v>
      </c>
      <c r="C403" t="s">
        <v>89</v>
      </c>
      <c r="D403" t="s">
        <v>25</v>
      </c>
      <c r="E403" s="2">
        <v>2</v>
      </c>
      <c r="F403" t="s">
        <v>67</v>
      </c>
      <c r="G403">
        <v>3.29</v>
      </c>
      <c r="H403">
        <v>3.09</v>
      </c>
      <c r="I403" s="2" t="str">
        <f>_xlfn.XLOOKUP(F403,DeparaIMG!B:B,DeparaIMG!D:D,,0)</f>
        <v>SK269.png</v>
      </c>
    </row>
    <row r="404" spans="1:9" x14ac:dyDescent="0.25">
      <c r="A404" s="2" t="s">
        <v>106</v>
      </c>
      <c r="B404" s="2" t="s">
        <v>63</v>
      </c>
      <c r="C404" t="s">
        <v>89</v>
      </c>
      <c r="D404" t="s">
        <v>26</v>
      </c>
      <c r="E404" s="2">
        <v>2</v>
      </c>
      <c r="F404" t="s">
        <v>67</v>
      </c>
      <c r="G404">
        <v>3.29</v>
      </c>
      <c r="H404">
        <v>3.09</v>
      </c>
      <c r="I404" s="2" t="str">
        <f>_xlfn.XLOOKUP(F404,DeparaIMG!B:B,DeparaIMG!D:D,,0)</f>
        <v>SK269.png</v>
      </c>
    </row>
    <row r="405" spans="1:9" x14ac:dyDescent="0.25">
      <c r="A405" s="2" t="s">
        <v>106</v>
      </c>
      <c r="B405" s="2" t="s">
        <v>63</v>
      </c>
      <c r="C405" t="s">
        <v>90</v>
      </c>
      <c r="D405" t="s">
        <v>25</v>
      </c>
      <c r="E405" s="2">
        <v>2</v>
      </c>
      <c r="F405" t="s">
        <v>67</v>
      </c>
      <c r="G405">
        <v>3.29</v>
      </c>
      <c r="H405">
        <v>3.19</v>
      </c>
      <c r="I405" s="2" t="str">
        <f>_xlfn.XLOOKUP(F405,DeparaIMG!B:B,DeparaIMG!D:D,,0)</f>
        <v>SK269.png</v>
      </c>
    </row>
    <row r="406" spans="1:9" x14ac:dyDescent="0.25">
      <c r="A406" s="2" t="s">
        <v>106</v>
      </c>
      <c r="B406" s="2" t="s">
        <v>63</v>
      </c>
      <c r="C406" t="s">
        <v>91</v>
      </c>
      <c r="D406" t="s">
        <v>25</v>
      </c>
      <c r="E406" s="2">
        <v>1</v>
      </c>
      <c r="F406" t="s">
        <v>69</v>
      </c>
      <c r="G406">
        <v>3.29</v>
      </c>
      <c r="H406">
        <v>2.99</v>
      </c>
      <c r="I406" s="2" t="str">
        <f>_xlfn.XLOOKUP(F406,DeparaIMG!B:B,DeparaIMG!D:D,,0)</f>
        <v>BC269.png</v>
      </c>
    </row>
    <row r="407" spans="1:9" x14ac:dyDescent="0.25">
      <c r="A407" s="2" t="s">
        <v>106</v>
      </c>
      <c r="B407" s="2" t="s">
        <v>63</v>
      </c>
      <c r="C407" t="s">
        <v>91</v>
      </c>
      <c r="D407" t="s">
        <v>25</v>
      </c>
      <c r="E407" s="2">
        <v>2</v>
      </c>
      <c r="F407" t="s">
        <v>68</v>
      </c>
      <c r="G407">
        <v>3.29</v>
      </c>
      <c r="H407">
        <v>3.19</v>
      </c>
      <c r="I407" s="2" t="str">
        <f>_xlfn.XLOOKUP(F407,DeparaIMG!B:B,DeparaIMG!D:D,,0)</f>
        <v>AP269.png</v>
      </c>
    </row>
    <row r="408" spans="1:9" x14ac:dyDescent="0.25">
      <c r="A408" s="2" t="s">
        <v>106</v>
      </c>
      <c r="B408" s="2" t="s">
        <v>63</v>
      </c>
      <c r="C408" t="s">
        <v>91</v>
      </c>
      <c r="D408" t="s">
        <v>26</v>
      </c>
      <c r="E408" s="2">
        <v>2</v>
      </c>
      <c r="F408" t="s">
        <v>68</v>
      </c>
      <c r="G408">
        <v>3.29</v>
      </c>
      <c r="H408">
        <v>3.19</v>
      </c>
      <c r="I408" s="2" t="str">
        <f>_xlfn.XLOOKUP(F408,DeparaIMG!B:B,DeparaIMG!D:D,,0)</f>
        <v>AP269.png</v>
      </c>
    </row>
    <row r="409" spans="1:9" x14ac:dyDescent="0.25">
      <c r="A409" s="2" t="s">
        <v>106</v>
      </c>
      <c r="B409" s="2" t="s">
        <v>63</v>
      </c>
      <c r="C409" t="s">
        <v>90</v>
      </c>
      <c r="D409" t="s">
        <v>26</v>
      </c>
      <c r="E409" s="2">
        <v>2</v>
      </c>
      <c r="F409" t="s">
        <v>67</v>
      </c>
      <c r="G409">
        <v>3.29</v>
      </c>
      <c r="H409">
        <v>3.19</v>
      </c>
      <c r="I409" s="2" t="str">
        <f>_xlfn.XLOOKUP(F409,DeparaIMG!B:B,DeparaIMG!D:D,,0)</f>
        <v>SK269.png</v>
      </c>
    </row>
    <row r="410" spans="1:9" x14ac:dyDescent="0.25">
      <c r="A410" s="2" t="s">
        <v>106</v>
      </c>
      <c r="B410" s="2" t="s">
        <v>63</v>
      </c>
      <c r="C410" t="s">
        <v>91</v>
      </c>
      <c r="D410" t="s">
        <v>26</v>
      </c>
      <c r="E410" s="2">
        <v>1</v>
      </c>
      <c r="F410" t="s">
        <v>69</v>
      </c>
      <c r="G410">
        <v>3.29</v>
      </c>
      <c r="H410">
        <v>2.99</v>
      </c>
      <c r="I410" s="2" t="str">
        <f>_xlfn.XLOOKUP(F410,DeparaIMG!B:B,DeparaIMG!D:D,,0)</f>
        <v>BC269.png</v>
      </c>
    </row>
    <row r="411" spans="1:9" x14ac:dyDescent="0.25">
      <c r="A411" s="2" t="s">
        <v>106</v>
      </c>
      <c r="B411" s="2" t="s">
        <v>63</v>
      </c>
      <c r="C411" t="s">
        <v>28</v>
      </c>
      <c r="D411" t="s">
        <v>25</v>
      </c>
      <c r="E411" s="2">
        <v>1</v>
      </c>
      <c r="F411" t="s">
        <v>70</v>
      </c>
      <c r="G411">
        <v>3.49</v>
      </c>
      <c r="H411">
        <v>3.09</v>
      </c>
      <c r="I411" s="2" t="str">
        <f>_xlfn.XLOOKUP(F411,DeparaIMG!B:B,DeparaIMG!D:D,,0)</f>
        <v>BUD269.png</v>
      </c>
    </row>
    <row r="412" spans="1:9" x14ac:dyDescent="0.25">
      <c r="A412" s="2" t="s">
        <v>106</v>
      </c>
      <c r="B412" s="2" t="s">
        <v>63</v>
      </c>
      <c r="C412" t="s">
        <v>29</v>
      </c>
      <c r="D412" t="s">
        <v>25</v>
      </c>
      <c r="E412" s="2">
        <v>1</v>
      </c>
      <c r="F412" t="s">
        <v>70</v>
      </c>
      <c r="G412">
        <v>3.49</v>
      </c>
      <c r="H412">
        <v>3.09</v>
      </c>
      <c r="I412" s="2" t="str">
        <f>_xlfn.XLOOKUP(F412,DeparaIMG!B:B,DeparaIMG!D:D,,0)</f>
        <v>BUD269.png</v>
      </c>
    </row>
    <row r="413" spans="1:9" x14ac:dyDescent="0.25">
      <c r="A413" s="2" t="s">
        <v>106</v>
      </c>
      <c r="B413" s="2" t="s">
        <v>63</v>
      </c>
      <c r="C413" t="s">
        <v>88</v>
      </c>
      <c r="D413" t="s">
        <v>25</v>
      </c>
      <c r="E413" s="2">
        <v>1</v>
      </c>
      <c r="F413" t="s">
        <v>70</v>
      </c>
      <c r="G413">
        <v>3.09</v>
      </c>
      <c r="H413">
        <v>3.09</v>
      </c>
      <c r="I413" s="2" t="str">
        <f>_xlfn.XLOOKUP(F413,DeparaIMG!B:B,DeparaIMG!D:D,,0)</f>
        <v>BUD269.png</v>
      </c>
    </row>
    <row r="414" spans="1:9" x14ac:dyDescent="0.25">
      <c r="A414" s="2" t="s">
        <v>106</v>
      </c>
      <c r="B414" s="2" t="s">
        <v>63</v>
      </c>
      <c r="C414" t="s">
        <v>88</v>
      </c>
      <c r="D414" t="s">
        <v>26</v>
      </c>
      <c r="E414" s="2">
        <v>1</v>
      </c>
      <c r="F414" t="s">
        <v>70</v>
      </c>
      <c r="G414">
        <v>3.49</v>
      </c>
      <c r="H414">
        <v>3.09</v>
      </c>
      <c r="I414" s="2" t="str">
        <f>_xlfn.XLOOKUP(F414,DeparaIMG!B:B,DeparaIMG!D:D,,0)</f>
        <v>BUD269.png</v>
      </c>
    </row>
    <row r="415" spans="1:9" x14ac:dyDescent="0.25">
      <c r="A415" s="2" t="s">
        <v>106</v>
      </c>
      <c r="B415" s="2" t="s">
        <v>63</v>
      </c>
      <c r="C415" t="s">
        <v>4</v>
      </c>
      <c r="D415" t="s">
        <v>25</v>
      </c>
      <c r="E415" s="2">
        <v>1</v>
      </c>
      <c r="F415" t="s">
        <v>70</v>
      </c>
      <c r="G415">
        <v>3.39</v>
      </c>
      <c r="H415">
        <v>2.99</v>
      </c>
      <c r="I415" s="2" t="str">
        <f>_xlfn.XLOOKUP(F415,DeparaIMG!B:B,DeparaIMG!D:D,,0)</f>
        <v>BUD269.png</v>
      </c>
    </row>
    <row r="416" spans="1:9" x14ac:dyDescent="0.25">
      <c r="A416" s="2" t="s">
        <v>106</v>
      </c>
      <c r="B416" s="2" t="s">
        <v>63</v>
      </c>
      <c r="C416" t="s">
        <v>89</v>
      </c>
      <c r="D416" t="s">
        <v>25</v>
      </c>
      <c r="E416" s="2">
        <v>1</v>
      </c>
      <c r="F416" t="s">
        <v>70</v>
      </c>
      <c r="G416">
        <v>2.99</v>
      </c>
      <c r="H416">
        <v>2.99</v>
      </c>
      <c r="I416" s="2" t="str">
        <f>_xlfn.XLOOKUP(F416,DeparaIMG!B:B,DeparaIMG!D:D,,0)</f>
        <v>BUD269.png</v>
      </c>
    </row>
    <row r="417" spans="1:9" x14ac:dyDescent="0.25">
      <c r="A417" s="2" t="s">
        <v>106</v>
      </c>
      <c r="B417" s="2" t="s">
        <v>63</v>
      </c>
      <c r="C417" t="s">
        <v>89</v>
      </c>
      <c r="D417" t="s">
        <v>26</v>
      </c>
      <c r="E417" s="2">
        <v>1</v>
      </c>
      <c r="F417" t="s">
        <v>70</v>
      </c>
      <c r="G417">
        <v>3.49</v>
      </c>
      <c r="H417">
        <v>3.09</v>
      </c>
      <c r="I417" s="2" t="str">
        <f>_xlfn.XLOOKUP(F417,DeparaIMG!B:B,DeparaIMG!D:D,,0)</f>
        <v>BUD269.png</v>
      </c>
    </row>
    <row r="418" spans="1:9" x14ac:dyDescent="0.25">
      <c r="A418" s="2" t="s">
        <v>106</v>
      </c>
      <c r="B418" s="2" t="s">
        <v>63</v>
      </c>
      <c r="C418" t="s">
        <v>90</v>
      </c>
      <c r="D418" t="s">
        <v>25</v>
      </c>
      <c r="E418" s="2">
        <v>1</v>
      </c>
      <c r="F418" t="s">
        <v>70</v>
      </c>
      <c r="G418">
        <v>3.49</v>
      </c>
      <c r="H418">
        <v>3.09</v>
      </c>
      <c r="I418" s="2" t="str">
        <f>_xlfn.XLOOKUP(F418,DeparaIMG!B:B,DeparaIMG!D:D,,0)</f>
        <v>BUD269.png</v>
      </c>
    </row>
    <row r="419" spans="1:9" x14ac:dyDescent="0.25">
      <c r="A419" s="2" t="s">
        <v>106</v>
      </c>
      <c r="B419" s="2" t="s">
        <v>63</v>
      </c>
      <c r="C419" t="s">
        <v>90</v>
      </c>
      <c r="D419" t="s">
        <v>26</v>
      </c>
      <c r="E419" s="2">
        <v>1</v>
      </c>
      <c r="F419" t="s">
        <v>70</v>
      </c>
      <c r="G419">
        <v>3.49</v>
      </c>
      <c r="H419">
        <v>3.09</v>
      </c>
      <c r="I419" s="2" t="str">
        <f>_xlfn.XLOOKUP(F419,DeparaIMG!B:B,DeparaIMG!D:D,,0)</f>
        <v>BUD269.png</v>
      </c>
    </row>
    <row r="420" spans="1:9" x14ac:dyDescent="0.25">
      <c r="A420" s="2" t="s">
        <v>106</v>
      </c>
      <c r="B420" s="2" t="s">
        <v>63</v>
      </c>
      <c r="C420" t="s">
        <v>91</v>
      </c>
      <c r="D420" t="s">
        <v>26</v>
      </c>
      <c r="E420" s="2">
        <v>1</v>
      </c>
      <c r="F420" t="s">
        <v>70</v>
      </c>
      <c r="G420">
        <v>3.49</v>
      </c>
      <c r="H420">
        <v>3.09</v>
      </c>
      <c r="I420" s="2" t="str">
        <f>_xlfn.XLOOKUP(F420,DeparaIMG!B:B,DeparaIMG!D:D,,0)</f>
        <v>BUD269.png</v>
      </c>
    </row>
    <row r="421" spans="1:9" x14ac:dyDescent="0.25">
      <c r="A421" s="2" t="s">
        <v>106</v>
      </c>
      <c r="B421" s="2" t="s">
        <v>63</v>
      </c>
      <c r="C421" t="s">
        <v>91</v>
      </c>
      <c r="D421" t="s">
        <v>25</v>
      </c>
      <c r="E421" s="2">
        <v>1</v>
      </c>
      <c r="F421" t="s">
        <v>70</v>
      </c>
      <c r="G421">
        <v>3.49</v>
      </c>
      <c r="H421">
        <v>3.09</v>
      </c>
      <c r="I421" s="2" t="str">
        <f>_xlfn.XLOOKUP(F421,DeparaIMG!B:B,DeparaIMG!D:D,,0)</f>
        <v>BUD269.png</v>
      </c>
    </row>
    <row r="422" spans="1:9" x14ac:dyDescent="0.25">
      <c r="A422" s="2" t="s">
        <v>106</v>
      </c>
      <c r="B422" s="2" t="s">
        <v>63</v>
      </c>
      <c r="C422" t="s">
        <v>4</v>
      </c>
      <c r="D422" t="s">
        <v>26</v>
      </c>
      <c r="E422" s="2">
        <v>1</v>
      </c>
      <c r="F422" t="s">
        <v>72</v>
      </c>
      <c r="G422">
        <v>3.79</v>
      </c>
      <c r="H422">
        <v>3.49</v>
      </c>
      <c r="I422" s="2" t="str">
        <f>_xlfn.XLOOKUP(F422,DeparaIMG!B:B,DeparaIMG!D:D,,0)</f>
        <v>BC350.png</v>
      </c>
    </row>
    <row r="423" spans="1:9" x14ac:dyDescent="0.25">
      <c r="A423" s="2" t="s">
        <v>106</v>
      </c>
      <c r="B423" s="2" t="s">
        <v>63</v>
      </c>
      <c r="C423" t="s">
        <v>28</v>
      </c>
      <c r="D423" t="s">
        <v>25</v>
      </c>
      <c r="E423" s="2">
        <v>1</v>
      </c>
      <c r="F423" t="s">
        <v>71</v>
      </c>
      <c r="G423">
        <v>3.69</v>
      </c>
      <c r="H423">
        <v>3.19</v>
      </c>
      <c r="I423" s="2" t="str">
        <f>_xlfn.XLOOKUP(F423,DeparaIMG!B:B,DeparaIMG!D:D,,0)</f>
        <v>BC0350.png</v>
      </c>
    </row>
    <row r="424" spans="1:9" x14ac:dyDescent="0.25">
      <c r="A424" s="2" t="s">
        <v>106</v>
      </c>
      <c r="B424" s="2" t="s">
        <v>63</v>
      </c>
      <c r="C424" t="s">
        <v>28</v>
      </c>
      <c r="D424" t="s">
        <v>25</v>
      </c>
      <c r="E424" s="2">
        <v>2</v>
      </c>
      <c r="F424" t="s">
        <v>71</v>
      </c>
      <c r="G424">
        <v>3.69</v>
      </c>
      <c r="H424">
        <v>3.19</v>
      </c>
      <c r="I424" s="2" t="str">
        <f>_xlfn.XLOOKUP(F424,DeparaIMG!B:B,DeparaIMG!D:D,,0)</f>
        <v>BC0350.png</v>
      </c>
    </row>
    <row r="425" spans="1:9" x14ac:dyDescent="0.25">
      <c r="A425" s="2" t="s">
        <v>106</v>
      </c>
      <c r="B425" s="2" t="s">
        <v>63</v>
      </c>
      <c r="C425" t="s">
        <v>29</v>
      </c>
      <c r="D425" t="s">
        <v>25</v>
      </c>
      <c r="E425" s="2">
        <v>1</v>
      </c>
      <c r="F425" t="s">
        <v>71</v>
      </c>
      <c r="G425">
        <v>3.69</v>
      </c>
      <c r="H425">
        <v>3.19</v>
      </c>
      <c r="I425" s="2" t="str">
        <f>_xlfn.XLOOKUP(F425,DeparaIMG!B:B,DeparaIMG!D:D,,0)</f>
        <v>BC0350.png</v>
      </c>
    </row>
    <row r="426" spans="1:9" x14ac:dyDescent="0.25">
      <c r="A426" s="2" t="s">
        <v>106</v>
      </c>
      <c r="B426" s="2" t="s">
        <v>63</v>
      </c>
      <c r="C426" t="s">
        <v>29</v>
      </c>
      <c r="D426" t="s">
        <v>25</v>
      </c>
      <c r="E426" s="2">
        <v>2</v>
      </c>
      <c r="F426" t="s">
        <v>71</v>
      </c>
      <c r="G426">
        <v>3.69</v>
      </c>
      <c r="H426">
        <v>3.19</v>
      </c>
      <c r="I426" s="2" t="str">
        <f>_xlfn.XLOOKUP(F426,DeparaIMG!B:B,DeparaIMG!D:D,,0)</f>
        <v>BC0350.png</v>
      </c>
    </row>
    <row r="427" spans="1:9" x14ac:dyDescent="0.25">
      <c r="A427" s="2" t="s">
        <v>106</v>
      </c>
      <c r="B427" s="2" t="s">
        <v>63</v>
      </c>
      <c r="C427" t="s">
        <v>89</v>
      </c>
      <c r="D427" t="s">
        <v>25</v>
      </c>
      <c r="E427" s="2">
        <v>1</v>
      </c>
      <c r="F427" t="s">
        <v>71</v>
      </c>
      <c r="G427">
        <v>3.69</v>
      </c>
      <c r="H427">
        <v>3.19</v>
      </c>
      <c r="I427" s="2" t="str">
        <f>_xlfn.XLOOKUP(F427,DeparaIMG!B:B,DeparaIMG!D:D,,0)</f>
        <v>BC0350.png</v>
      </c>
    </row>
    <row r="428" spans="1:9" x14ac:dyDescent="0.25">
      <c r="A428" s="2" t="s">
        <v>106</v>
      </c>
      <c r="B428" s="2" t="s">
        <v>63</v>
      </c>
      <c r="C428" t="s">
        <v>89</v>
      </c>
      <c r="D428" t="s">
        <v>25</v>
      </c>
      <c r="E428" s="2">
        <v>2</v>
      </c>
      <c r="F428" t="s">
        <v>71</v>
      </c>
      <c r="G428">
        <v>3.69</v>
      </c>
      <c r="H428">
        <v>3.19</v>
      </c>
      <c r="I428" s="2" t="str">
        <f>_xlfn.XLOOKUP(F428,DeparaIMG!B:B,DeparaIMG!D:D,,0)</f>
        <v>BC0350.png</v>
      </c>
    </row>
    <row r="429" spans="1:9" x14ac:dyDescent="0.25">
      <c r="A429" s="2" t="s">
        <v>106</v>
      </c>
      <c r="B429" s="2" t="s">
        <v>63</v>
      </c>
      <c r="C429" t="s">
        <v>4</v>
      </c>
      <c r="D429" t="s">
        <v>25</v>
      </c>
      <c r="E429" s="2">
        <v>1</v>
      </c>
      <c r="F429" t="s">
        <v>71</v>
      </c>
      <c r="G429">
        <v>3.69</v>
      </c>
      <c r="H429">
        <v>3.19</v>
      </c>
      <c r="I429" s="2" t="str">
        <f>_xlfn.XLOOKUP(F429,DeparaIMG!B:B,DeparaIMG!D:D,,0)</f>
        <v>BC0350.png</v>
      </c>
    </row>
    <row r="430" spans="1:9" x14ac:dyDescent="0.25">
      <c r="A430" s="2" t="s">
        <v>106</v>
      </c>
      <c r="B430" s="2" t="s">
        <v>63</v>
      </c>
      <c r="C430" t="s">
        <v>4</v>
      </c>
      <c r="D430" t="s">
        <v>25</v>
      </c>
      <c r="E430" s="2">
        <v>2</v>
      </c>
      <c r="F430" t="s">
        <v>71</v>
      </c>
      <c r="G430">
        <v>3.69</v>
      </c>
      <c r="H430">
        <v>3.19</v>
      </c>
      <c r="I430" s="2" t="str">
        <f>_xlfn.XLOOKUP(F430,DeparaIMG!B:B,DeparaIMG!D:D,,0)</f>
        <v>BC0350.png</v>
      </c>
    </row>
    <row r="431" spans="1:9" x14ac:dyDescent="0.25">
      <c r="A431" s="2" t="s">
        <v>106</v>
      </c>
      <c r="B431" s="2" t="s">
        <v>63</v>
      </c>
      <c r="C431" t="s">
        <v>90</v>
      </c>
      <c r="D431" t="s">
        <v>25</v>
      </c>
      <c r="E431" s="2">
        <v>1</v>
      </c>
      <c r="F431" t="s">
        <v>71</v>
      </c>
      <c r="G431">
        <v>3.69</v>
      </c>
      <c r="H431">
        <v>3.19</v>
      </c>
      <c r="I431" s="2" t="str">
        <f>_xlfn.XLOOKUP(F431,DeparaIMG!B:B,DeparaIMG!D:D,,0)</f>
        <v>BC0350.png</v>
      </c>
    </row>
    <row r="432" spans="1:9" x14ac:dyDescent="0.25">
      <c r="A432" s="2" t="s">
        <v>106</v>
      </c>
      <c r="B432" s="2" t="s">
        <v>63</v>
      </c>
      <c r="C432" t="s">
        <v>90</v>
      </c>
      <c r="D432" t="s">
        <v>25</v>
      </c>
      <c r="E432" s="2">
        <v>2</v>
      </c>
      <c r="F432" t="s">
        <v>71</v>
      </c>
      <c r="G432">
        <v>3.69</v>
      </c>
      <c r="H432">
        <v>3.19</v>
      </c>
      <c r="I432" s="2" t="str">
        <f>_xlfn.XLOOKUP(F432,DeparaIMG!B:B,DeparaIMG!D:D,,0)</f>
        <v>BC0350.png</v>
      </c>
    </row>
    <row r="433" spans="1:9" x14ac:dyDescent="0.25">
      <c r="A433" s="2" t="s">
        <v>106</v>
      </c>
      <c r="B433" s="2" t="s">
        <v>63</v>
      </c>
      <c r="C433" t="s">
        <v>91</v>
      </c>
      <c r="D433" t="s">
        <v>25</v>
      </c>
      <c r="E433" s="2">
        <v>1</v>
      </c>
      <c r="F433" t="s">
        <v>71</v>
      </c>
      <c r="G433">
        <v>3.69</v>
      </c>
      <c r="H433">
        <v>3.19</v>
      </c>
      <c r="I433" s="2" t="str">
        <f>_xlfn.XLOOKUP(F433,DeparaIMG!B:B,DeparaIMG!D:D,,0)</f>
        <v>BC0350.png</v>
      </c>
    </row>
    <row r="434" spans="1:9" x14ac:dyDescent="0.25">
      <c r="A434" s="2" t="s">
        <v>106</v>
      </c>
      <c r="B434" s="2" t="s">
        <v>63</v>
      </c>
      <c r="C434" t="s">
        <v>91</v>
      </c>
      <c r="D434" t="s">
        <v>25</v>
      </c>
      <c r="E434" s="2">
        <v>2</v>
      </c>
      <c r="F434" t="s">
        <v>71</v>
      </c>
      <c r="G434">
        <v>3.69</v>
      </c>
      <c r="H434">
        <v>3.19</v>
      </c>
      <c r="I434" s="2" t="str">
        <f>_xlfn.XLOOKUP(F434,DeparaIMG!B:B,DeparaIMG!D:D,,0)</f>
        <v>BC0350.png</v>
      </c>
    </row>
    <row r="435" spans="1:9" x14ac:dyDescent="0.25">
      <c r="A435" s="2" t="s">
        <v>106</v>
      </c>
      <c r="B435" s="2" t="s">
        <v>63</v>
      </c>
      <c r="C435" t="s">
        <v>88</v>
      </c>
      <c r="D435" t="s">
        <v>25</v>
      </c>
      <c r="E435" s="2">
        <v>1</v>
      </c>
      <c r="F435" t="s">
        <v>71</v>
      </c>
      <c r="G435">
        <v>3.69</v>
      </c>
      <c r="H435">
        <v>3.19</v>
      </c>
      <c r="I435" s="2" t="str">
        <f>_xlfn.XLOOKUP(F435,DeparaIMG!B:B,DeparaIMG!D:D,,0)</f>
        <v>BC0350.png</v>
      </c>
    </row>
    <row r="436" spans="1:9" x14ac:dyDescent="0.25">
      <c r="A436" s="2" t="s">
        <v>106</v>
      </c>
      <c r="B436" s="2" t="s">
        <v>63</v>
      </c>
      <c r="C436" t="s">
        <v>88</v>
      </c>
      <c r="D436" t="s">
        <v>25</v>
      </c>
      <c r="E436" s="2">
        <v>2</v>
      </c>
      <c r="F436" t="s">
        <v>71</v>
      </c>
      <c r="G436">
        <v>3.69</v>
      </c>
      <c r="H436">
        <v>3.19</v>
      </c>
      <c r="I436" s="2" t="str">
        <f>_xlfn.XLOOKUP(F436,DeparaIMG!B:B,DeparaIMG!D:D,,0)</f>
        <v>BC0350.png</v>
      </c>
    </row>
    <row r="437" spans="1:9" x14ac:dyDescent="0.25">
      <c r="A437" s="2" t="s">
        <v>106</v>
      </c>
      <c r="B437" s="2" t="s">
        <v>63</v>
      </c>
      <c r="C437" t="s">
        <v>29</v>
      </c>
      <c r="D437" t="s">
        <v>26</v>
      </c>
      <c r="E437" s="2">
        <v>1</v>
      </c>
      <c r="F437" t="s">
        <v>72</v>
      </c>
      <c r="G437">
        <v>3.79</v>
      </c>
      <c r="H437">
        <v>3.49</v>
      </c>
      <c r="I437" s="2" t="str">
        <f>_xlfn.XLOOKUP(F437,DeparaIMG!B:B,DeparaIMG!D:D,,0)</f>
        <v>BC350.png</v>
      </c>
    </row>
    <row r="438" spans="1:9" x14ac:dyDescent="0.25">
      <c r="A438" s="2" t="s">
        <v>106</v>
      </c>
      <c r="B438" s="2" t="s">
        <v>63</v>
      </c>
      <c r="C438" t="s">
        <v>28</v>
      </c>
      <c r="D438" t="s">
        <v>26</v>
      </c>
      <c r="E438" s="2">
        <v>2</v>
      </c>
      <c r="F438" t="s">
        <v>74</v>
      </c>
      <c r="G438">
        <v>3.99</v>
      </c>
      <c r="H438">
        <v>3.69</v>
      </c>
      <c r="I438" s="2" t="str">
        <f>_xlfn.XLOOKUP(F438,DeparaIMG!B:B,DeparaIMG!D:D,,0)</f>
        <v>AP350.png</v>
      </c>
    </row>
    <row r="439" spans="1:9" x14ac:dyDescent="0.25">
      <c r="A439" s="2" t="s">
        <v>106</v>
      </c>
      <c r="B439" s="2" t="s">
        <v>63</v>
      </c>
      <c r="C439" t="s">
        <v>29</v>
      </c>
      <c r="D439" t="s">
        <v>26</v>
      </c>
      <c r="E439" s="2">
        <v>2</v>
      </c>
      <c r="F439" t="s">
        <v>74</v>
      </c>
      <c r="G439">
        <v>3.99</v>
      </c>
      <c r="H439">
        <v>3.69</v>
      </c>
      <c r="I439" s="2" t="str">
        <f>_xlfn.XLOOKUP(F439,DeparaIMG!B:B,DeparaIMG!D:D,,0)</f>
        <v>AP350.png</v>
      </c>
    </row>
    <row r="440" spans="1:9" x14ac:dyDescent="0.25">
      <c r="A440" s="2" t="s">
        <v>106</v>
      </c>
      <c r="B440" s="2" t="s">
        <v>63</v>
      </c>
      <c r="C440" t="s">
        <v>89</v>
      </c>
      <c r="D440" t="s">
        <v>25</v>
      </c>
      <c r="E440" s="2">
        <v>2</v>
      </c>
      <c r="F440" t="s">
        <v>73</v>
      </c>
      <c r="G440">
        <v>3.89</v>
      </c>
      <c r="H440">
        <v>3.59</v>
      </c>
      <c r="I440" s="2" t="str">
        <f>_xlfn.XLOOKUP(F440,DeparaIMG!B:B,DeparaIMG!D:D,,0)</f>
        <v>ORI269.png</v>
      </c>
    </row>
    <row r="441" spans="1:9" x14ac:dyDescent="0.25">
      <c r="A441" s="2" t="s">
        <v>106</v>
      </c>
      <c r="B441" s="2" t="s">
        <v>63</v>
      </c>
      <c r="C441" t="s">
        <v>89</v>
      </c>
      <c r="D441" t="s">
        <v>26</v>
      </c>
      <c r="E441" s="2">
        <v>2</v>
      </c>
      <c r="F441" t="s">
        <v>73</v>
      </c>
      <c r="G441">
        <v>3.89</v>
      </c>
      <c r="H441">
        <v>3.59</v>
      </c>
      <c r="I441" s="2" t="str">
        <f>_xlfn.XLOOKUP(F441,DeparaIMG!B:B,DeparaIMG!D:D,,0)</f>
        <v>ORI269.png</v>
      </c>
    </row>
    <row r="442" spans="1:9" x14ac:dyDescent="0.25">
      <c r="A442" s="2" t="s">
        <v>106</v>
      </c>
      <c r="B442" s="2" t="s">
        <v>63</v>
      </c>
      <c r="C442" t="s">
        <v>90</v>
      </c>
      <c r="D442" t="s">
        <v>25</v>
      </c>
      <c r="E442" s="2">
        <v>2</v>
      </c>
      <c r="F442" t="s">
        <v>73</v>
      </c>
      <c r="G442">
        <v>3.89</v>
      </c>
      <c r="H442">
        <v>3.59</v>
      </c>
      <c r="I442" s="2" t="str">
        <f>_xlfn.XLOOKUP(F442,DeparaIMG!B:B,DeparaIMG!D:D,,0)</f>
        <v>ORI269.png</v>
      </c>
    </row>
    <row r="443" spans="1:9" x14ac:dyDescent="0.25">
      <c r="A443" s="2" t="s">
        <v>106</v>
      </c>
      <c r="B443" s="2" t="s">
        <v>63</v>
      </c>
      <c r="C443" t="s">
        <v>91</v>
      </c>
      <c r="D443" t="s">
        <v>25</v>
      </c>
      <c r="E443" s="2">
        <v>2</v>
      </c>
      <c r="F443" t="s">
        <v>73</v>
      </c>
      <c r="G443">
        <v>3.89</v>
      </c>
      <c r="H443">
        <v>3.59</v>
      </c>
      <c r="I443" s="2" t="str">
        <f>_xlfn.XLOOKUP(F443,DeparaIMG!B:B,DeparaIMG!D:D,,0)</f>
        <v>ORI269.png</v>
      </c>
    </row>
    <row r="444" spans="1:9" x14ac:dyDescent="0.25">
      <c r="A444" s="2" t="s">
        <v>106</v>
      </c>
      <c r="B444" s="2" t="s">
        <v>63</v>
      </c>
      <c r="C444" t="s">
        <v>90</v>
      </c>
      <c r="D444" t="s">
        <v>26</v>
      </c>
      <c r="E444" s="2">
        <v>2</v>
      </c>
      <c r="F444" t="s">
        <v>73</v>
      </c>
      <c r="G444">
        <v>3.89</v>
      </c>
      <c r="H444">
        <v>3.59</v>
      </c>
      <c r="I444" s="2" t="str">
        <f>_xlfn.XLOOKUP(F444,DeparaIMG!B:B,DeparaIMG!D:D,,0)</f>
        <v>ORI269.png</v>
      </c>
    </row>
    <row r="445" spans="1:9" x14ac:dyDescent="0.25">
      <c r="A445" s="2" t="s">
        <v>106</v>
      </c>
      <c r="B445" s="2" t="s">
        <v>63</v>
      </c>
      <c r="C445" t="s">
        <v>91</v>
      </c>
      <c r="D445" t="s">
        <v>26</v>
      </c>
      <c r="E445" s="2">
        <v>2</v>
      </c>
      <c r="F445" t="s">
        <v>73</v>
      </c>
      <c r="G445">
        <v>3.89</v>
      </c>
      <c r="H445">
        <v>3.59</v>
      </c>
      <c r="I445" s="2" t="str">
        <f>_xlfn.XLOOKUP(F445,DeparaIMG!B:B,DeparaIMG!D:D,,0)</f>
        <v>ORI269.png</v>
      </c>
    </row>
    <row r="446" spans="1:9" x14ac:dyDescent="0.25">
      <c r="A446" s="2" t="s">
        <v>106</v>
      </c>
      <c r="B446" s="2" t="s">
        <v>63</v>
      </c>
      <c r="C446" t="s">
        <v>28</v>
      </c>
      <c r="D446" t="s">
        <v>25</v>
      </c>
      <c r="E446" s="2">
        <v>2</v>
      </c>
      <c r="F446" t="s">
        <v>73</v>
      </c>
      <c r="G446">
        <v>3.89</v>
      </c>
      <c r="H446">
        <v>3.59</v>
      </c>
      <c r="I446" s="2" t="str">
        <f>_xlfn.XLOOKUP(F446,DeparaIMG!B:B,DeparaIMG!D:D,,0)</f>
        <v>ORI269.png</v>
      </c>
    </row>
    <row r="447" spans="1:9" x14ac:dyDescent="0.25">
      <c r="A447" s="2" t="s">
        <v>106</v>
      </c>
      <c r="B447" s="2" t="s">
        <v>63</v>
      </c>
      <c r="C447" t="s">
        <v>28</v>
      </c>
      <c r="D447" t="s">
        <v>26</v>
      </c>
      <c r="E447" s="2">
        <v>2</v>
      </c>
      <c r="F447" t="s">
        <v>73</v>
      </c>
      <c r="G447">
        <v>3.89</v>
      </c>
      <c r="H447">
        <v>3.59</v>
      </c>
      <c r="I447" s="2" t="str">
        <f>_xlfn.XLOOKUP(F447,DeparaIMG!B:B,DeparaIMG!D:D,,0)</f>
        <v>ORI269.png</v>
      </c>
    </row>
    <row r="448" spans="1:9" x14ac:dyDescent="0.25">
      <c r="A448" s="2" t="s">
        <v>106</v>
      </c>
      <c r="B448" s="2" t="s">
        <v>63</v>
      </c>
      <c r="C448" t="s">
        <v>29</v>
      </c>
      <c r="D448" t="s">
        <v>25</v>
      </c>
      <c r="E448" s="2">
        <v>2</v>
      </c>
      <c r="F448" t="s">
        <v>73</v>
      </c>
      <c r="G448">
        <v>3.89</v>
      </c>
      <c r="H448">
        <v>3.59</v>
      </c>
      <c r="I448" s="2" t="str">
        <f>_xlfn.XLOOKUP(F448,DeparaIMG!B:B,DeparaIMG!D:D,,0)</f>
        <v>ORI269.png</v>
      </c>
    </row>
    <row r="449" spans="1:9" x14ac:dyDescent="0.25">
      <c r="A449" s="2" t="s">
        <v>106</v>
      </c>
      <c r="B449" s="2" t="s">
        <v>63</v>
      </c>
      <c r="C449" t="s">
        <v>29</v>
      </c>
      <c r="D449" t="s">
        <v>26</v>
      </c>
      <c r="E449" s="2">
        <v>2</v>
      </c>
      <c r="F449" t="s">
        <v>73</v>
      </c>
      <c r="G449">
        <v>3.89</v>
      </c>
      <c r="H449">
        <v>3.59</v>
      </c>
      <c r="I449" s="2" t="str">
        <f>_xlfn.XLOOKUP(F449,DeparaIMG!B:B,DeparaIMG!D:D,,0)</f>
        <v>ORI269.png</v>
      </c>
    </row>
    <row r="450" spans="1:9" x14ac:dyDescent="0.25">
      <c r="A450" s="2" t="s">
        <v>106</v>
      </c>
      <c r="B450" s="2" t="s">
        <v>63</v>
      </c>
      <c r="C450" t="s">
        <v>88</v>
      </c>
      <c r="D450" t="s">
        <v>25</v>
      </c>
      <c r="E450" s="2">
        <v>2</v>
      </c>
      <c r="F450" t="s">
        <v>73</v>
      </c>
      <c r="G450">
        <v>3.89</v>
      </c>
      <c r="H450">
        <v>3.59</v>
      </c>
      <c r="I450" s="2" t="str">
        <f>_xlfn.XLOOKUP(F450,DeparaIMG!B:B,DeparaIMG!D:D,,0)</f>
        <v>ORI269.png</v>
      </c>
    </row>
    <row r="451" spans="1:9" x14ac:dyDescent="0.25">
      <c r="A451" s="2" t="s">
        <v>106</v>
      </c>
      <c r="B451" s="2" t="s">
        <v>63</v>
      </c>
      <c r="C451" t="s">
        <v>88</v>
      </c>
      <c r="D451" t="s">
        <v>26</v>
      </c>
      <c r="E451" s="2">
        <v>2</v>
      </c>
      <c r="F451" t="s">
        <v>73</v>
      </c>
      <c r="G451">
        <v>3.89</v>
      </c>
      <c r="H451">
        <v>3.59</v>
      </c>
      <c r="I451" s="2" t="str">
        <f>_xlfn.XLOOKUP(F451,DeparaIMG!B:B,DeparaIMG!D:D,,0)</f>
        <v>ORI269.png</v>
      </c>
    </row>
    <row r="452" spans="1:9" x14ac:dyDescent="0.25">
      <c r="A452" s="2" t="s">
        <v>106</v>
      </c>
      <c r="B452" s="2" t="s">
        <v>63</v>
      </c>
      <c r="C452" t="s">
        <v>4</v>
      </c>
      <c r="D452" t="s">
        <v>25</v>
      </c>
      <c r="E452" s="2">
        <v>2</v>
      </c>
      <c r="F452" t="s">
        <v>73</v>
      </c>
      <c r="G452">
        <v>3.89</v>
      </c>
      <c r="H452">
        <v>3.59</v>
      </c>
      <c r="I452" s="2" t="str">
        <f>_xlfn.XLOOKUP(F452,DeparaIMG!B:B,DeparaIMG!D:D,,0)</f>
        <v>ORI269.png</v>
      </c>
    </row>
    <row r="453" spans="1:9" x14ac:dyDescent="0.25">
      <c r="A453" s="2" t="s">
        <v>106</v>
      </c>
      <c r="B453" s="2" t="s">
        <v>63</v>
      </c>
      <c r="C453" t="s">
        <v>4</v>
      </c>
      <c r="D453" t="s">
        <v>26</v>
      </c>
      <c r="E453" s="2">
        <v>2</v>
      </c>
      <c r="F453" t="s">
        <v>73</v>
      </c>
      <c r="G453">
        <v>3.89</v>
      </c>
      <c r="H453">
        <v>3.59</v>
      </c>
      <c r="I453" s="2" t="str">
        <f>_xlfn.XLOOKUP(F453,DeparaIMG!B:B,DeparaIMG!D:D,,0)</f>
        <v>ORI269.png</v>
      </c>
    </row>
    <row r="454" spans="1:9" x14ac:dyDescent="0.25">
      <c r="A454" s="2" t="s">
        <v>106</v>
      </c>
      <c r="B454" s="2" t="s">
        <v>63</v>
      </c>
      <c r="C454" t="s">
        <v>88</v>
      </c>
      <c r="D454" t="s">
        <v>26</v>
      </c>
      <c r="E454" s="2">
        <v>2</v>
      </c>
      <c r="F454" t="s">
        <v>103</v>
      </c>
      <c r="G454">
        <v>3.99</v>
      </c>
      <c r="H454">
        <v>3.69</v>
      </c>
      <c r="I454" s="2" t="str">
        <f>_xlfn.XLOOKUP(F454,DeparaIMG!B:B,DeparaIMG!D:D,,0)</f>
        <v>SPT269.png</v>
      </c>
    </row>
    <row r="455" spans="1:9" x14ac:dyDescent="0.25">
      <c r="A455" s="2" t="s">
        <v>106</v>
      </c>
      <c r="B455" s="2" t="s">
        <v>63</v>
      </c>
      <c r="C455" t="s">
        <v>28</v>
      </c>
      <c r="D455" t="s">
        <v>26</v>
      </c>
      <c r="E455" s="2">
        <v>1</v>
      </c>
      <c r="F455" t="s">
        <v>71</v>
      </c>
      <c r="G455">
        <v>3.99</v>
      </c>
      <c r="H455">
        <v>3.49</v>
      </c>
      <c r="I455" s="2" t="str">
        <f>_xlfn.XLOOKUP(F455,DeparaIMG!B:B,DeparaIMG!D:D,,0)</f>
        <v>BC0350.png</v>
      </c>
    </row>
    <row r="456" spans="1:9" x14ac:dyDescent="0.25">
      <c r="A456" s="2" t="s">
        <v>106</v>
      </c>
      <c r="B456" s="2" t="s">
        <v>63</v>
      </c>
      <c r="C456" t="s">
        <v>28</v>
      </c>
      <c r="D456" t="s">
        <v>26</v>
      </c>
      <c r="E456" s="2">
        <v>2</v>
      </c>
      <c r="F456" t="s">
        <v>71</v>
      </c>
      <c r="G456">
        <v>3.99</v>
      </c>
      <c r="H456">
        <v>3.49</v>
      </c>
      <c r="I456" s="2" t="str">
        <f>_xlfn.XLOOKUP(F456,DeparaIMG!B:B,DeparaIMG!D:D,,0)</f>
        <v>BC0350.png</v>
      </c>
    </row>
    <row r="457" spans="1:9" x14ac:dyDescent="0.25">
      <c r="A457" s="2" t="s">
        <v>106</v>
      </c>
      <c r="B457" s="2" t="s">
        <v>63</v>
      </c>
      <c r="C457" t="s">
        <v>88</v>
      </c>
      <c r="D457" t="s">
        <v>26</v>
      </c>
      <c r="E457" s="2">
        <v>1</v>
      </c>
      <c r="F457" t="s">
        <v>71</v>
      </c>
      <c r="G457">
        <v>3.99</v>
      </c>
      <c r="H457">
        <v>3.49</v>
      </c>
      <c r="I457" s="2" t="str">
        <f>_xlfn.XLOOKUP(F457,DeparaIMG!B:B,DeparaIMG!D:D,,0)</f>
        <v>BC0350.png</v>
      </c>
    </row>
    <row r="458" spans="1:9" x14ac:dyDescent="0.25">
      <c r="A458" s="2" t="s">
        <v>106</v>
      </c>
      <c r="B458" s="2" t="s">
        <v>63</v>
      </c>
      <c r="C458" t="s">
        <v>88</v>
      </c>
      <c r="D458" t="s">
        <v>26</v>
      </c>
      <c r="E458" s="2">
        <v>2</v>
      </c>
      <c r="F458" t="s">
        <v>71</v>
      </c>
      <c r="G458">
        <v>3.99</v>
      </c>
      <c r="H458">
        <v>3.49</v>
      </c>
      <c r="I458" s="2" t="str">
        <f>_xlfn.XLOOKUP(F458,DeparaIMG!B:B,DeparaIMG!D:D,,0)</f>
        <v>BC0350.png</v>
      </c>
    </row>
    <row r="459" spans="1:9" x14ac:dyDescent="0.25">
      <c r="A459" s="2" t="s">
        <v>106</v>
      </c>
      <c r="B459" s="2" t="s">
        <v>63</v>
      </c>
      <c r="C459" t="s">
        <v>29</v>
      </c>
      <c r="D459" t="s">
        <v>26</v>
      </c>
      <c r="E459" s="2">
        <v>1</v>
      </c>
      <c r="F459" t="s">
        <v>71</v>
      </c>
      <c r="G459">
        <v>3.99</v>
      </c>
      <c r="H459">
        <v>3.49</v>
      </c>
      <c r="I459" s="2" t="str">
        <f>_xlfn.XLOOKUP(F459,DeparaIMG!B:B,DeparaIMG!D:D,,0)</f>
        <v>BC0350.png</v>
      </c>
    </row>
    <row r="460" spans="1:9" x14ac:dyDescent="0.25">
      <c r="A460" s="2" t="s">
        <v>106</v>
      </c>
      <c r="B460" s="2" t="s">
        <v>63</v>
      </c>
      <c r="C460" t="s">
        <v>29</v>
      </c>
      <c r="D460" t="s">
        <v>26</v>
      </c>
      <c r="E460" s="2">
        <v>2</v>
      </c>
      <c r="F460" t="s">
        <v>71</v>
      </c>
      <c r="G460">
        <v>3.99</v>
      </c>
      <c r="H460">
        <v>3.49</v>
      </c>
      <c r="I460" s="2" t="str">
        <f>_xlfn.XLOOKUP(F460,DeparaIMG!B:B,DeparaIMG!D:D,,0)</f>
        <v>BC0350.png</v>
      </c>
    </row>
    <row r="461" spans="1:9" x14ac:dyDescent="0.25">
      <c r="A461" s="2" t="s">
        <v>106</v>
      </c>
      <c r="B461" s="2" t="s">
        <v>63</v>
      </c>
      <c r="C461" t="s">
        <v>89</v>
      </c>
      <c r="D461" t="s">
        <v>26</v>
      </c>
      <c r="E461" s="2">
        <v>1</v>
      </c>
      <c r="F461" t="s">
        <v>71</v>
      </c>
      <c r="G461">
        <v>3.99</v>
      </c>
      <c r="H461">
        <v>3.49</v>
      </c>
      <c r="I461" s="2" t="str">
        <f>_xlfn.XLOOKUP(F461,DeparaIMG!B:B,DeparaIMG!D:D,,0)</f>
        <v>BC0350.png</v>
      </c>
    </row>
    <row r="462" spans="1:9" x14ac:dyDescent="0.25">
      <c r="A462" s="2" t="s">
        <v>106</v>
      </c>
      <c r="B462" s="2" t="s">
        <v>63</v>
      </c>
      <c r="C462" t="s">
        <v>89</v>
      </c>
      <c r="D462" t="s">
        <v>26</v>
      </c>
      <c r="E462" s="2">
        <v>2</v>
      </c>
      <c r="F462" t="s">
        <v>71</v>
      </c>
      <c r="G462">
        <v>3.99</v>
      </c>
      <c r="H462">
        <v>3.49</v>
      </c>
      <c r="I462" s="2" t="str">
        <f>_xlfn.XLOOKUP(F462,DeparaIMG!B:B,DeparaIMG!D:D,,0)</f>
        <v>BC0350.png</v>
      </c>
    </row>
    <row r="463" spans="1:9" x14ac:dyDescent="0.25">
      <c r="A463" s="2" t="s">
        <v>106</v>
      </c>
      <c r="B463" s="2" t="s">
        <v>63</v>
      </c>
      <c r="C463" t="s">
        <v>4</v>
      </c>
      <c r="D463" t="s">
        <v>26</v>
      </c>
      <c r="E463" s="2">
        <v>1</v>
      </c>
      <c r="F463" t="s">
        <v>71</v>
      </c>
      <c r="G463">
        <v>3.99</v>
      </c>
      <c r="H463">
        <v>3.49</v>
      </c>
      <c r="I463" s="2" t="str">
        <f>_xlfn.XLOOKUP(F463,DeparaIMG!B:B,DeparaIMG!D:D,,0)</f>
        <v>BC0350.png</v>
      </c>
    </row>
    <row r="464" spans="1:9" x14ac:dyDescent="0.25">
      <c r="A464" s="2" t="s">
        <v>106</v>
      </c>
      <c r="B464" s="2" t="s">
        <v>63</v>
      </c>
      <c r="C464" t="s">
        <v>4</v>
      </c>
      <c r="D464" t="s">
        <v>26</v>
      </c>
      <c r="E464" s="2">
        <v>2</v>
      </c>
      <c r="F464" t="s">
        <v>71</v>
      </c>
      <c r="G464">
        <v>3.99</v>
      </c>
      <c r="H464">
        <v>3.49</v>
      </c>
      <c r="I464" s="2" t="str">
        <f>_xlfn.XLOOKUP(F464,DeparaIMG!B:B,DeparaIMG!D:D,,0)</f>
        <v>BC0350.png</v>
      </c>
    </row>
    <row r="465" spans="1:9" x14ac:dyDescent="0.25">
      <c r="A465" s="2" t="s">
        <v>106</v>
      </c>
      <c r="B465" s="2" t="s">
        <v>63</v>
      </c>
      <c r="C465" t="s">
        <v>91</v>
      </c>
      <c r="D465" t="s">
        <v>26</v>
      </c>
      <c r="E465" s="2">
        <v>1</v>
      </c>
      <c r="F465" t="s">
        <v>71</v>
      </c>
      <c r="G465">
        <v>3.99</v>
      </c>
      <c r="H465">
        <v>3.49</v>
      </c>
      <c r="I465" s="2" t="str">
        <f>_xlfn.XLOOKUP(F465,DeparaIMG!B:B,DeparaIMG!D:D,,0)</f>
        <v>BC0350.png</v>
      </c>
    </row>
    <row r="466" spans="1:9" x14ac:dyDescent="0.25">
      <c r="A466" s="2" t="s">
        <v>106</v>
      </c>
      <c r="B466" s="2" t="s">
        <v>63</v>
      </c>
      <c r="C466" t="s">
        <v>91</v>
      </c>
      <c r="D466" t="s">
        <v>26</v>
      </c>
      <c r="E466" s="2">
        <v>2</v>
      </c>
      <c r="F466" t="s">
        <v>71</v>
      </c>
      <c r="G466">
        <v>3.99</v>
      </c>
      <c r="H466">
        <v>3.49</v>
      </c>
      <c r="I466" s="2" t="str">
        <f>_xlfn.XLOOKUP(F466,DeparaIMG!B:B,DeparaIMG!D:D,,0)</f>
        <v>BC0350.png</v>
      </c>
    </row>
    <row r="467" spans="1:9" x14ac:dyDescent="0.25">
      <c r="A467" s="2" t="s">
        <v>106</v>
      </c>
      <c r="B467" s="2" t="s">
        <v>63</v>
      </c>
      <c r="C467" t="s">
        <v>90</v>
      </c>
      <c r="D467" t="s">
        <v>26</v>
      </c>
      <c r="E467" s="2">
        <v>1</v>
      </c>
      <c r="F467" t="s">
        <v>71</v>
      </c>
      <c r="G467">
        <v>3.99</v>
      </c>
      <c r="H467">
        <v>3.49</v>
      </c>
      <c r="I467" s="2" t="str">
        <f>_xlfn.XLOOKUP(F467,DeparaIMG!B:B,DeparaIMG!D:D,,0)</f>
        <v>BC0350.png</v>
      </c>
    </row>
    <row r="468" spans="1:9" x14ac:dyDescent="0.25">
      <c r="A468" s="2" t="s">
        <v>106</v>
      </c>
      <c r="B468" s="2" t="s">
        <v>63</v>
      </c>
      <c r="C468" t="s">
        <v>90</v>
      </c>
      <c r="D468" t="s">
        <v>26</v>
      </c>
      <c r="E468" s="2">
        <v>2</v>
      </c>
      <c r="F468" t="s">
        <v>71</v>
      </c>
      <c r="G468">
        <v>3.99</v>
      </c>
      <c r="H468">
        <v>3.49</v>
      </c>
      <c r="I468" s="2" t="str">
        <f>_xlfn.XLOOKUP(F468,DeparaIMG!B:B,DeparaIMG!D:D,,0)</f>
        <v>BC0350.png</v>
      </c>
    </row>
    <row r="469" spans="1:9" x14ac:dyDescent="0.25">
      <c r="A469" s="2" t="s">
        <v>106</v>
      </c>
      <c r="B469" s="2" t="s">
        <v>63</v>
      </c>
      <c r="C469" t="s">
        <v>89</v>
      </c>
      <c r="D469" t="s">
        <v>26</v>
      </c>
      <c r="E469" s="2">
        <v>2</v>
      </c>
      <c r="F469" t="s">
        <v>103</v>
      </c>
      <c r="G469">
        <v>3.99</v>
      </c>
      <c r="H469">
        <v>3.69</v>
      </c>
      <c r="I469" s="2" t="str">
        <f>_xlfn.XLOOKUP(F469,DeparaIMG!B:B,DeparaIMG!D:D,,0)</f>
        <v>SPT269.png</v>
      </c>
    </row>
    <row r="470" spans="1:9" x14ac:dyDescent="0.25">
      <c r="A470" s="2" t="s">
        <v>106</v>
      </c>
      <c r="B470" s="2" t="s">
        <v>63</v>
      </c>
      <c r="C470" t="s">
        <v>91</v>
      </c>
      <c r="D470" t="s">
        <v>26</v>
      </c>
      <c r="E470" s="2">
        <v>2</v>
      </c>
      <c r="F470" t="s">
        <v>103</v>
      </c>
      <c r="G470">
        <v>3.99</v>
      </c>
      <c r="H470">
        <v>3.69</v>
      </c>
      <c r="I470" s="2" t="str">
        <f>_xlfn.XLOOKUP(F470,DeparaIMG!B:B,DeparaIMG!D:D,,0)</f>
        <v>SPT269.png</v>
      </c>
    </row>
    <row r="471" spans="1:9" x14ac:dyDescent="0.25">
      <c r="A471" s="2" t="s">
        <v>106</v>
      </c>
      <c r="B471" s="2" t="s">
        <v>63</v>
      </c>
      <c r="C471" t="s">
        <v>90</v>
      </c>
      <c r="D471" t="s">
        <v>26</v>
      </c>
      <c r="E471" s="2">
        <v>2</v>
      </c>
      <c r="F471" t="s">
        <v>103</v>
      </c>
      <c r="G471">
        <v>3.99</v>
      </c>
      <c r="H471">
        <v>3.69</v>
      </c>
      <c r="I471" s="2" t="str">
        <f>_xlfn.XLOOKUP(F471,DeparaIMG!B:B,DeparaIMG!D:D,,0)</f>
        <v>SPT269.png</v>
      </c>
    </row>
    <row r="472" spans="1:9" x14ac:dyDescent="0.25">
      <c r="A472" s="2" t="s">
        <v>106</v>
      </c>
      <c r="B472" s="2" t="s">
        <v>63</v>
      </c>
      <c r="C472" t="s">
        <v>4</v>
      </c>
      <c r="D472" t="s">
        <v>25</v>
      </c>
      <c r="E472" s="2">
        <v>1</v>
      </c>
      <c r="F472" t="s">
        <v>75</v>
      </c>
      <c r="G472">
        <v>4.1900000000000004</v>
      </c>
      <c r="H472">
        <v>3.59</v>
      </c>
      <c r="I472" s="2" t="str">
        <f>_xlfn.XLOOKUP(F472,DeparaIMG!B:B,DeparaIMG!D:D,,0)</f>
        <v>BUDZERO350.png</v>
      </c>
    </row>
    <row r="473" spans="1:9" x14ac:dyDescent="0.25">
      <c r="A473" s="2" t="s">
        <v>106</v>
      </c>
      <c r="B473" s="2" t="s">
        <v>63</v>
      </c>
      <c r="C473" t="s">
        <v>4</v>
      </c>
      <c r="D473" t="s">
        <v>26</v>
      </c>
      <c r="E473" s="2">
        <v>1</v>
      </c>
      <c r="F473" t="s">
        <v>75</v>
      </c>
      <c r="G473">
        <v>4.1900000000000004</v>
      </c>
      <c r="H473">
        <v>3.59</v>
      </c>
      <c r="I473" s="2" t="str">
        <f>_xlfn.XLOOKUP(F473,DeparaIMG!B:B,DeparaIMG!D:D,,0)</f>
        <v>BUDZERO350.png</v>
      </c>
    </row>
    <row r="474" spans="1:9" x14ac:dyDescent="0.25">
      <c r="A474" s="2" t="s">
        <v>106</v>
      </c>
      <c r="B474" s="2" t="s">
        <v>63</v>
      </c>
      <c r="C474" t="s">
        <v>28</v>
      </c>
      <c r="D474" t="s">
        <v>25</v>
      </c>
      <c r="E474" s="2">
        <v>1</v>
      </c>
      <c r="F474" t="s">
        <v>75</v>
      </c>
      <c r="G474">
        <v>4.49</v>
      </c>
      <c r="H474">
        <v>3.89</v>
      </c>
      <c r="I474" s="2" t="str">
        <f>_xlfn.XLOOKUP(F474,DeparaIMG!B:B,DeparaIMG!D:D,,0)</f>
        <v>BUDZERO350.png</v>
      </c>
    </row>
    <row r="475" spans="1:9" x14ac:dyDescent="0.25">
      <c r="A475" s="2" t="s">
        <v>106</v>
      </c>
      <c r="B475" s="2" t="s">
        <v>63</v>
      </c>
      <c r="C475" t="s">
        <v>28</v>
      </c>
      <c r="D475" t="s">
        <v>26</v>
      </c>
      <c r="E475" s="2">
        <v>1</v>
      </c>
      <c r="F475" t="s">
        <v>77</v>
      </c>
      <c r="G475">
        <v>4.49</v>
      </c>
      <c r="H475">
        <v>3.89</v>
      </c>
      <c r="I475" s="2" t="str">
        <f>_xlfn.XLOOKUP(F475,DeparaIMG!B:B,DeparaIMG!D:D,,0)</f>
        <v>BUD350.png</v>
      </c>
    </row>
    <row r="476" spans="1:9" x14ac:dyDescent="0.25">
      <c r="A476" s="2" t="s">
        <v>106</v>
      </c>
      <c r="B476" s="2" t="s">
        <v>63</v>
      </c>
      <c r="C476" t="s">
        <v>28</v>
      </c>
      <c r="D476" t="s">
        <v>26</v>
      </c>
      <c r="E476" s="2">
        <v>1</v>
      </c>
      <c r="F476" t="s">
        <v>75</v>
      </c>
      <c r="G476">
        <v>4.49</v>
      </c>
      <c r="H476">
        <v>3.89</v>
      </c>
      <c r="I476" s="2" t="str">
        <f>_xlfn.XLOOKUP(F476,DeparaIMG!B:B,DeparaIMG!D:D,,0)</f>
        <v>BUDZERO350.png</v>
      </c>
    </row>
    <row r="477" spans="1:9" x14ac:dyDescent="0.25">
      <c r="A477" s="2" t="s">
        <v>106</v>
      </c>
      <c r="B477" s="2" t="s">
        <v>63</v>
      </c>
      <c r="C477" t="s">
        <v>29</v>
      </c>
      <c r="D477" t="s">
        <v>25</v>
      </c>
      <c r="E477" s="2">
        <v>1</v>
      </c>
      <c r="F477" t="s">
        <v>75</v>
      </c>
      <c r="G477">
        <v>4.49</v>
      </c>
      <c r="H477">
        <v>3.89</v>
      </c>
      <c r="I477" s="2" t="str">
        <f>_xlfn.XLOOKUP(F477,DeparaIMG!B:B,DeparaIMG!D:D,,0)</f>
        <v>BUDZERO350.png</v>
      </c>
    </row>
    <row r="478" spans="1:9" x14ac:dyDescent="0.25">
      <c r="A478" s="2" t="s">
        <v>106</v>
      </c>
      <c r="B478" s="2" t="s">
        <v>63</v>
      </c>
      <c r="C478" t="s">
        <v>29</v>
      </c>
      <c r="D478" t="s">
        <v>26</v>
      </c>
      <c r="E478" s="2">
        <v>1</v>
      </c>
      <c r="F478" t="s">
        <v>77</v>
      </c>
      <c r="G478">
        <v>4.49</v>
      </c>
      <c r="H478">
        <v>3.89</v>
      </c>
      <c r="I478" s="2" t="str">
        <f>_xlfn.XLOOKUP(F478,DeparaIMG!B:B,DeparaIMG!D:D,,0)</f>
        <v>BUD350.png</v>
      </c>
    </row>
    <row r="479" spans="1:9" x14ac:dyDescent="0.25">
      <c r="A479" s="2" t="s">
        <v>106</v>
      </c>
      <c r="B479" s="2" t="s">
        <v>63</v>
      </c>
      <c r="C479" t="s">
        <v>29</v>
      </c>
      <c r="D479" t="s">
        <v>26</v>
      </c>
      <c r="E479" s="2">
        <v>1</v>
      </c>
      <c r="F479" t="s">
        <v>75</v>
      </c>
      <c r="G479">
        <v>4.49</v>
      </c>
      <c r="H479">
        <v>3.89</v>
      </c>
      <c r="I479" s="2" t="str">
        <f>_xlfn.XLOOKUP(F479,DeparaIMG!B:B,DeparaIMG!D:D,,0)</f>
        <v>BUDZERO350.png</v>
      </c>
    </row>
    <row r="480" spans="1:9" x14ac:dyDescent="0.25">
      <c r="A480" s="2" t="s">
        <v>106</v>
      </c>
      <c r="B480" s="2" t="s">
        <v>63</v>
      </c>
      <c r="C480" t="s">
        <v>88</v>
      </c>
      <c r="D480" t="s">
        <v>25</v>
      </c>
      <c r="E480" s="2">
        <v>1</v>
      </c>
      <c r="F480" t="s">
        <v>75</v>
      </c>
      <c r="G480">
        <v>4.49</v>
      </c>
      <c r="H480">
        <v>3.89</v>
      </c>
      <c r="I480" s="2" t="str">
        <f>_xlfn.XLOOKUP(F480,DeparaIMG!B:B,DeparaIMG!D:D,,0)</f>
        <v>BUDZERO350.png</v>
      </c>
    </row>
    <row r="481" spans="1:9" x14ac:dyDescent="0.25">
      <c r="A481" s="2" t="s">
        <v>106</v>
      </c>
      <c r="B481" s="2" t="s">
        <v>63</v>
      </c>
      <c r="C481" t="s">
        <v>88</v>
      </c>
      <c r="D481" t="s">
        <v>26</v>
      </c>
      <c r="E481" s="2">
        <v>1</v>
      </c>
      <c r="F481" t="s">
        <v>75</v>
      </c>
      <c r="G481">
        <v>4.49</v>
      </c>
      <c r="H481">
        <v>3.89</v>
      </c>
      <c r="I481" s="2" t="str">
        <f>_xlfn.XLOOKUP(F481,DeparaIMG!B:B,DeparaIMG!D:D,,0)</f>
        <v>BUDZERO350.png</v>
      </c>
    </row>
    <row r="482" spans="1:9" x14ac:dyDescent="0.25">
      <c r="A482" s="2" t="s">
        <v>106</v>
      </c>
      <c r="B482" s="2" t="s">
        <v>63</v>
      </c>
      <c r="C482" t="s">
        <v>89</v>
      </c>
      <c r="D482" t="s">
        <v>25</v>
      </c>
      <c r="E482" s="2">
        <v>1</v>
      </c>
      <c r="F482" t="s">
        <v>75</v>
      </c>
      <c r="G482">
        <v>4.49</v>
      </c>
      <c r="H482">
        <v>3.89</v>
      </c>
      <c r="I482" s="2" t="str">
        <f>_xlfn.XLOOKUP(F482,DeparaIMG!B:B,DeparaIMG!D:D,,0)</f>
        <v>BUDZERO350.png</v>
      </c>
    </row>
    <row r="483" spans="1:9" x14ac:dyDescent="0.25">
      <c r="A483" s="2" t="s">
        <v>106</v>
      </c>
      <c r="B483" s="2" t="s">
        <v>63</v>
      </c>
      <c r="C483" t="s">
        <v>89</v>
      </c>
      <c r="D483" t="s">
        <v>26</v>
      </c>
      <c r="E483" s="2">
        <v>1</v>
      </c>
      <c r="F483" t="s">
        <v>75</v>
      </c>
      <c r="G483">
        <v>4.49</v>
      </c>
      <c r="H483">
        <v>3.89</v>
      </c>
      <c r="I483" s="2" t="str">
        <f>_xlfn.XLOOKUP(F483,DeparaIMG!B:B,DeparaIMG!D:D,,0)</f>
        <v>BUDZERO350.png</v>
      </c>
    </row>
    <row r="484" spans="1:9" x14ac:dyDescent="0.25">
      <c r="A484" s="2" t="s">
        <v>106</v>
      </c>
      <c r="B484" s="2" t="s">
        <v>63</v>
      </c>
      <c r="C484" t="s">
        <v>90</v>
      </c>
      <c r="D484" t="s">
        <v>26</v>
      </c>
      <c r="E484" s="2">
        <v>1</v>
      </c>
      <c r="F484" t="s">
        <v>75</v>
      </c>
      <c r="G484">
        <v>4.49</v>
      </c>
      <c r="H484">
        <v>3.89</v>
      </c>
      <c r="I484" s="2" t="str">
        <f>_xlfn.XLOOKUP(F484,DeparaIMG!B:B,DeparaIMG!D:D,,0)</f>
        <v>BUDZERO350.png</v>
      </c>
    </row>
    <row r="485" spans="1:9" x14ac:dyDescent="0.25">
      <c r="A485" s="2" t="s">
        <v>106</v>
      </c>
      <c r="B485" s="2" t="s">
        <v>63</v>
      </c>
      <c r="C485" t="s">
        <v>90</v>
      </c>
      <c r="D485" t="s">
        <v>25</v>
      </c>
      <c r="E485" s="2">
        <v>1</v>
      </c>
      <c r="F485" t="s">
        <v>75</v>
      </c>
      <c r="G485">
        <v>4.49</v>
      </c>
      <c r="H485">
        <v>3.89</v>
      </c>
      <c r="I485" s="2" t="str">
        <f>_xlfn.XLOOKUP(F485,DeparaIMG!B:B,DeparaIMG!D:D,,0)</f>
        <v>BUDZERO350.png</v>
      </c>
    </row>
    <row r="486" spans="1:9" x14ac:dyDescent="0.25">
      <c r="A486" s="2" t="s">
        <v>106</v>
      </c>
      <c r="B486" s="2" t="s">
        <v>63</v>
      </c>
      <c r="C486" t="s">
        <v>91</v>
      </c>
      <c r="D486" t="s">
        <v>25</v>
      </c>
      <c r="E486" s="2">
        <v>1</v>
      </c>
      <c r="F486" t="s">
        <v>75</v>
      </c>
      <c r="G486">
        <v>4.49</v>
      </c>
      <c r="H486">
        <v>3.89</v>
      </c>
      <c r="I486" s="2" t="str">
        <f>_xlfn.XLOOKUP(F486,DeparaIMG!B:B,DeparaIMG!D:D,,0)</f>
        <v>BUDZERO350.png</v>
      </c>
    </row>
    <row r="487" spans="1:9" x14ac:dyDescent="0.25">
      <c r="A487" s="2" t="s">
        <v>106</v>
      </c>
      <c r="B487" s="2" t="s">
        <v>63</v>
      </c>
      <c r="C487" t="s">
        <v>91</v>
      </c>
      <c r="D487" t="s">
        <v>26</v>
      </c>
      <c r="E487" s="2">
        <v>1</v>
      </c>
      <c r="F487" t="s">
        <v>75</v>
      </c>
      <c r="G487">
        <v>4.49</v>
      </c>
      <c r="H487">
        <v>3.89</v>
      </c>
      <c r="I487" s="2" t="str">
        <f>_xlfn.XLOOKUP(F487,DeparaIMG!B:B,DeparaIMG!D:D,,0)</f>
        <v>BUDZERO350.png</v>
      </c>
    </row>
    <row r="488" spans="1:9" x14ac:dyDescent="0.25">
      <c r="A488" s="2" t="s">
        <v>106</v>
      </c>
      <c r="B488" s="2" t="s">
        <v>63</v>
      </c>
      <c r="C488" t="s">
        <v>4</v>
      </c>
      <c r="D488" t="s">
        <v>26</v>
      </c>
      <c r="E488" s="2">
        <v>1</v>
      </c>
      <c r="F488" t="s">
        <v>77</v>
      </c>
      <c r="G488">
        <v>4.29</v>
      </c>
      <c r="H488">
        <v>3.69</v>
      </c>
      <c r="I488" s="2" t="str">
        <f>_xlfn.XLOOKUP(F488,DeparaIMG!B:B,DeparaIMG!D:D,,0)</f>
        <v>BUD350.png</v>
      </c>
    </row>
    <row r="489" spans="1:9" x14ac:dyDescent="0.25">
      <c r="A489" s="2" t="s">
        <v>106</v>
      </c>
      <c r="B489" s="2" t="s">
        <v>63</v>
      </c>
      <c r="C489" t="s">
        <v>88</v>
      </c>
      <c r="D489" t="s">
        <v>26</v>
      </c>
      <c r="E489" s="2">
        <v>2</v>
      </c>
      <c r="F489" t="s">
        <v>78</v>
      </c>
      <c r="G489">
        <v>4.6900000000000004</v>
      </c>
      <c r="H489">
        <v>4.1900000000000004</v>
      </c>
      <c r="I489" s="2" t="str">
        <f>_xlfn.XLOOKUP(F489,DeparaIMG!B:B,DeparaIMG!D:D,,0)</f>
        <v>COR269.png</v>
      </c>
    </row>
    <row r="490" spans="1:9" x14ac:dyDescent="0.25">
      <c r="A490" s="2" t="s">
        <v>106</v>
      </c>
      <c r="B490" s="2" t="s">
        <v>63</v>
      </c>
      <c r="C490" t="s">
        <v>89</v>
      </c>
      <c r="D490" t="s">
        <v>26</v>
      </c>
      <c r="E490" s="2">
        <v>2</v>
      </c>
      <c r="F490" t="s">
        <v>78</v>
      </c>
      <c r="G490">
        <v>4.6900000000000004</v>
      </c>
      <c r="H490">
        <v>4.1900000000000004</v>
      </c>
      <c r="I490" s="2" t="str">
        <f>_xlfn.XLOOKUP(F490,DeparaIMG!B:B,DeparaIMG!D:D,,0)</f>
        <v>COR269.png</v>
      </c>
    </row>
    <row r="491" spans="1:9" x14ac:dyDescent="0.25">
      <c r="A491" s="2" t="s">
        <v>106</v>
      </c>
      <c r="B491" s="2" t="s">
        <v>63</v>
      </c>
      <c r="C491" t="s">
        <v>91</v>
      </c>
      <c r="D491" t="s">
        <v>26</v>
      </c>
      <c r="E491" s="2">
        <v>2</v>
      </c>
      <c r="F491" t="s">
        <v>78</v>
      </c>
      <c r="G491">
        <v>4.6900000000000004</v>
      </c>
      <c r="H491">
        <v>4.1900000000000004</v>
      </c>
      <c r="I491" s="2" t="str">
        <f>_xlfn.XLOOKUP(F491,DeparaIMG!B:B,DeparaIMG!D:D,,0)</f>
        <v>COR269.png</v>
      </c>
    </row>
    <row r="492" spans="1:9" x14ac:dyDescent="0.25">
      <c r="A492" s="2" t="s">
        <v>106</v>
      </c>
      <c r="B492" s="2" t="s">
        <v>63</v>
      </c>
      <c r="C492" t="s">
        <v>90</v>
      </c>
      <c r="D492" t="s">
        <v>26</v>
      </c>
      <c r="E492" s="2">
        <v>2</v>
      </c>
      <c r="F492" t="s">
        <v>78</v>
      </c>
      <c r="G492">
        <v>4.6900000000000004</v>
      </c>
      <c r="H492">
        <v>4.1900000000000004</v>
      </c>
      <c r="I492" s="2" t="str">
        <f>_xlfn.XLOOKUP(F492,DeparaIMG!B:B,DeparaIMG!D:D,,0)</f>
        <v>COR269.png</v>
      </c>
    </row>
    <row r="493" spans="1:9" x14ac:dyDescent="0.25">
      <c r="A493" s="2" t="s">
        <v>106</v>
      </c>
      <c r="B493" s="2" t="s">
        <v>63</v>
      </c>
      <c r="C493" t="s">
        <v>28</v>
      </c>
      <c r="D493" t="s">
        <v>26</v>
      </c>
      <c r="E493" s="2">
        <v>2</v>
      </c>
      <c r="F493" t="s">
        <v>104</v>
      </c>
      <c r="G493">
        <v>4.6900000000000004</v>
      </c>
      <c r="H493">
        <v>4.6900000000000004</v>
      </c>
      <c r="I493" s="2" t="str">
        <f>_xlfn.XLOOKUP(F493,DeparaIMG!B:B,DeparaIMG!D:D,,0)</f>
        <v>SPT350.png</v>
      </c>
    </row>
    <row r="494" spans="1:9" x14ac:dyDescent="0.25">
      <c r="A494" s="2" t="s">
        <v>106</v>
      </c>
      <c r="B494" s="2" t="s">
        <v>63</v>
      </c>
      <c r="C494" t="s">
        <v>29</v>
      </c>
      <c r="D494" t="s">
        <v>26</v>
      </c>
      <c r="E494" s="2">
        <v>2</v>
      </c>
      <c r="F494" t="s">
        <v>104</v>
      </c>
      <c r="G494">
        <v>5.19</v>
      </c>
      <c r="H494">
        <v>4.79</v>
      </c>
      <c r="I494" s="2" t="str">
        <f>_xlfn.XLOOKUP(F494,DeparaIMG!B:B,DeparaIMG!D:D,,0)</f>
        <v>SPT350.png</v>
      </c>
    </row>
    <row r="495" spans="1:9" x14ac:dyDescent="0.25">
      <c r="A495" s="2" t="s">
        <v>106</v>
      </c>
      <c r="B495" s="2" t="s">
        <v>63</v>
      </c>
      <c r="C495" t="s">
        <v>4</v>
      </c>
      <c r="D495" t="s">
        <v>26</v>
      </c>
      <c r="E495" s="2">
        <v>2</v>
      </c>
      <c r="F495" t="s">
        <v>104</v>
      </c>
      <c r="G495">
        <v>5.19</v>
      </c>
      <c r="H495">
        <v>4.79</v>
      </c>
      <c r="I495" s="2" t="str">
        <f>_xlfn.XLOOKUP(F495,DeparaIMG!B:B,DeparaIMG!D:D,,0)</f>
        <v>SPT350.png</v>
      </c>
    </row>
    <row r="496" spans="1:9" x14ac:dyDescent="0.25">
      <c r="A496" s="2" t="s">
        <v>106</v>
      </c>
      <c r="B496" s="2" t="s">
        <v>63</v>
      </c>
      <c r="C496" t="s">
        <v>28</v>
      </c>
      <c r="D496" t="s">
        <v>25</v>
      </c>
      <c r="E496" s="2">
        <v>1</v>
      </c>
      <c r="F496" t="s">
        <v>79</v>
      </c>
      <c r="G496">
        <v>5.49</v>
      </c>
      <c r="H496">
        <v>4.99</v>
      </c>
      <c r="I496" s="2" t="str">
        <f>_xlfn.XLOOKUP(F496,DeparaIMG!B:B,DeparaIMG!D:D,,0)</f>
        <v>MIC350.png</v>
      </c>
    </row>
    <row r="497" spans="1:9" x14ac:dyDescent="0.25">
      <c r="A497" s="2" t="s">
        <v>106</v>
      </c>
      <c r="B497" s="2" t="s">
        <v>63</v>
      </c>
      <c r="C497" t="s">
        <v>28</v>
      </c>
      <c r="D497" t="s">
        <v>26</v>
      </c>
      <c r="E497" s="2">
        <v>1</v>
      </c>
      <c r="F497" t="s">
        <v>79</v>
      </c>
      <c r="G497">
        <v>5.49</v>
      </c>
      <c r="H497">
        <v>4.99</v>
      </c>
      <c r="I497" s="2" t="str">
        <f>_xlfn.XLOOKUP(F497,DeparaIMG!B:B,DeparaIMG!D:D,,0)</f>
        <v>MIC350.png</v>
      </c>
    </row>
    <row r="498" spans="1:9" x14ac:dyDescent="0.25">
      <c r="A498" s="2" t="s">
        <v>106</v>
      </c>
      <c r="B498" s="2" t="s">
        <v>63</v>
      </c>
      <c r="C498" t="s">
        <v>29</v>
      </c>
      <c r="D498" t="s">
        <v>25</v>
      </c>
      <c r="E498" s="2">
        <v>1</v>
      </c>
      <c r="F498" t="s">
        <v>79</v>
      </c>
      <c r="G498">
        <v>5.49</v>
      </c>
      <c r="H498">
        <v>4.99</v>
      </c>
      <c r="I498" s="2" t="str">
        <f>_xlfn.XLOOKUP(F498,DeparaIMG!B:B,DeparaIMG!D:D,,0)</f>
        <v>MIC350.png</v>
      </c>
    </row>
    <row r="499" spans="1:9" x14ac:dyDescent="0.25">
      <c r="A499" s="2" t="s">
        <v>106</v>
      </c>
      <c r="B499" s="2" t="s">
        <v>63</v>
      </c>
      <c r="C499" t="s">
        <v>29</v>
      </c>
      <c r="D499" t="s">
        <v>26</v>
      </c>
      <c r="E499" s="2">
        <v>1</v>
      </c>
      <c r="F499" t="s">
        <v>79</v>
      </c>
      <c r="G499">
        <v>5.49</v>
      </c>
      <c r="H499">
        <v>4.99</v>
      </c>
      <c r="I499" s="2" t="str">
        <f>_xlfn.XLOOKUP(F499,DeparaIMG!B:B,DeparaIMG!D:D,,0)</f>
        <v>MIC350.png</v>
      </c>
    </row>
    <row r="500" spans="1:9" x14ac:dyDescent="0.25">
      <c r="A500" s="2" t="s">
        <v>106</v>
      </c>
      <c r="B500" s="2" t="s">
        <v>63</v>
      </c>
      <c r="C500" t="s">
        <v>88</v>
      </c>
      <c r="D500" t="s">
        <v>25</v>
      </c>
      <c r="E500" s="2">
        <v>1</v>
      </c>
      <c r="F500" t="s">
        <v>79</v>
      </c>
      <c r="G500">
        <v>5.49</v>
      </c>
      <c r="H500">
        <v>4.99</v>
      </c>
      <c r="I500" s="2" t="str">
        <f>_xlfn.XLOOKUP(F500,DeparaIMG!B:B,DeparaIMG!D:D,,0)</f>
        <v>MIC350.png</v>
      </c>
    </row>
    <row r="501" spans="1:9" x14ac:dyDescent="0.25">
      <c r="A501" s="2" t="s">
        <v>106</v>
      </c>
      <c r="B501" s="2" t="s">
        <v>63</v>
      </c>
      <c r="C501" t="s">
        <v>88</v>
      </c>
      <c r="D501" t="s">
        <v>26</v>
      </c>
      <c r="E501" s="2">
        <v>1</v>
      </c>
      <c r="F501" t="s">
        <v>79</v>
      </c>
      <c r="G501">
        <v>5.49</v>
      </c>
      <c r="H501">
        <v>4.99</v>
      </c>
      <c r="I501" s="2" t="str">
        <f>_xlfn.XLOOKUP(F501,DeparaIMG!B:B,DeparaIMG!D:D,,0)</f>
        <v>MIC350.png</v>
      </c>
    </row>
    <row r="502" spans="1:9" x14ac:dyDescent="0.25">
      <c r="A502" s="2" t="s">
        <v>106</v>
      </c>
      <c r="B502" s="2" t="s">
        <v>63</v>
      </c>
      <c r="C502" t="s">
        <v>4</v>
      </c>
      <c r="D502" t="s">
        <v>25</v>
      </c>
      <c r="E502" s="2">
        <v>1</v>
      </c>
      <c r="F502" t="s">
        <v>79</v>
      </c>
      <c r="G502">
        <v>5.49</v>
      </c>
      <c r="H502">
        <v>4.99</v>
      </c>
      <c r="I502" s="2" t="str">
        <f>_xlfn.XLOOKUP(F502,DeparaIMG!B:B,DeparaIMG!D:D,,0)</f>
        <v>MIC350.png</v>
      </c>
    </row>
    <row r="503" spans="1:9" x14ac:dyDescent="0.25">
      <c r="A503" s="2" t="s">
        <v>106</v>
      </c>
      <c r="B503" s="2" t="s">
        <v>63</v>
      </c>
      <c r="C503" t="s">
        <v>4</v>
      </c>
      <c r="D503" t="s">
        <v>26</v>
      </c>
      <c r="E503" s="2">
        <v>1</v>
      </c>
      <c r="F503" t="s">
        <v>79</v>
      </c>
      <c r="G503">
        <v>5.49</v>
      </c>
      <c r="H503">
        <v>4.99</v>
      </c>
      <c r="I503" s="2" t="str">
        <f>_xlfn.XLOOKUP(F503,DeparaIMG!B:B,DeparaIMG!D:D,,0)</f>
        <v>MIC350.png</v>
      </c>
    </row>
    <row r="504" spans="1:9" x14ac:dyDescent="0.25">
      <c r="A504" s="2" t="s">
        <v>106</v>
      </c>
      <c r="B504" s="2" t="s">
        <v>63</v>
      </c>
      <c r="C504" t="s">
        <v>89</v>
      </c>
      <c r="D504" t="s">
        <v>25</v>
      </c>
      <c r="E504" s="2">
        <v>1</v>
      </c>
      <c r="F504" t="s">
        <v>79</v>
      </c>
      <c r="G504">
        <v>5.49</v>
      </c>
      <c r="H504">
        <v>4.99</v>
      </c>
      <c r="I504" s="2" t="str">
        <f>_xlfn.XLOOKUP(F504,DeparaIMG!B:B,DeparaIMG!D:D,,0)</f>
        <v>MIC350.png</v>
      </c>
    </row>
    <row r="505" spans="1:9" x14ac:dyDescent="0.25">
      <c r="A505" s="2" t="s">
        <v>106</v>
      </c>
      <c r="B505" s="2" t="s">
        <v>63</v>
      </c>
      <c r="C505" t="s">
        <v>89</v>
      </c>
      <c r="D505" t="s">
        <v>26</v>
      </c>
      <c r="E505" s="2">
        <v>1</v>
      </c>
      <c r="F505" t="s">
        <v>79</v>
      </c>
      <c r="G505">
        <v>5.49</v>
      </c>
      <c r="H505">
        <v>4.99</v>
      </c>
      <c r="I505" s="2" t="str">
        <f>_xlfn.XLOOKUP(F505,DeparaIMG!B:B,DeparaIMG!D:D,,0)</f>
        <v>MIC350.png</v>
      </c>
    </row>
    <row r="506" spans="1:9" x14ac:dyDescent="0.25">
      <c r="A506" s="2" t="s">
        <v>106</v>
      </c>
      <c r="B506" s="2" t="s">
        <v>63</v>
      </c>
      <c r="C506" t="s">
        <v>90</v>
      </c>
      <c r="D506" t="s">
        <v>25</v>
      </c>
      <c r="E506" s="2">
        <v>1</v>
      </c>
      <c r="F506" t="s">
        <v>79</v>
      </c>
      <c r="G506">
        <v>5.49</v>
      </c>
      <c r="H506">
        <v>4.99</v>
      </c>
      <c r="I506" s="2" t="str">
        <f>_xlfn.XLOOKUP(F506,DeparaIMG!B:B,DeparaIMG!D:D,,0)</f>
        <v>MIC350.png</v>
      </c>
    </row>
    <row r="507" spans="1:9" x14ac:dyDescent="0.25">
      <c r="A507" s="2" t="s">
        <v>106</v>
      </c>
      <c r="B507" s="2" t="s">
        <v>63</v>
      </c>
      <c r="C507" t="s">
        <v>91</v>
      </c>
      <c r="D507" t="s">
        <v>25</v>
      </c>
      <c r="E507" s="2">
        <v>1</v>
      </c>
      <c r="F507" t="s">
        <v>79</v>
      </c>
      <c r="G507">
        <v>5.49</v>
      </c>
      <c r="H507">
        <v>4.99</v>
      </c>
      <c r="I507" s="2" t="str">
        <f>_xlfn.XLOOKUP(F507,DeparaIMG!B:B,DeparaIMG!D:D,,0)</f>
        <v>MIC350.png</v>
      </c>
    </row>
    <row r="508" spans="1:9" x14ac:dyDescent="0.25">
      <c r="A508" s="2" t="s">
        <v>106</v>
      </c>
      <c r="B508" s="2" t="s">
        <v>63</v>
      </c>
      <c r="C508" t="s">
        <v>90</v>
      </c>
      <c r="D508" t="s">
        <v>26</v>
      </c>
      <c r="E508" s="2">
        <v>1</v>
      </c>
      <c r="F508" t="s">
        <v>79</v>
      </c>
      <c r="G508">
        <v>5.49</v>
      </c>
      <c r="H508">
        <v>4.99</v>
      </c>
      <c r="I508" s="2" t="str">
        <f>_xlfn.XLOOKUP(F508,DeparaIMG!B:B,DeparaIMG!D:D,,0)</f>
        <v>MIC350.png</v>
      </c>
    </row>
    <row r="509" spans="1:9" x14ac:dyDescent="0.25">
      <c r="A509" s="2" t="s">
        <v>106</v>
      </c>
      <c r="B509" s="2" t="s">
        <v>63</v>
      </c>
      <c r="C509" t="s">
        <v>91</v>
      </c>
      <c r="D509" t="s">
        <v>26</v>
      </c>
      <c r="E509" s="2">
        <v>1</v>
      </c>
      <c r="F509" t="s">
        <v>79</v>
      </c>
      <c r="G509">
        <v>5.49</v>
      </c>
      <c r="H509">
        <v>4.99</v>
      </c>
      <c r="I509" s="2" t="str">
        <f>_xlfn.XLOOKUP(F509,DeparaIMG!B:B,DeparaIMG!D:D,,0)</f>
        <v>MIC350.png</v>
      </c>
    </row>
    <row r="510" spans="1:9" x14ac:dyDescent="0.25">
      <c r="A510" s="2" t="s">
        <v>106</v>
      </c>
      <c r="B510" s="2" t="s">
        <v>63</v>
      </c>
      <c r="C510" t="s">
        <v>28</v>
      </c>
      <c r="D510" t="s">
        <v>26</v>
      </c>
      <c r="E510" s="2">
        <v>2</v>
      </c>
      <c r="F510" t="s">
        <v>80</v>
      </c>
      <c r="G510">
        <v>6.19</v>
      </c>
      <c r="H510">
        <v>5.39</v>
      </c>
      <c r="I510" s="2" t="str">
        <f>_xlfn.XLOOKUP(F510,DeparaIMG!B:B,DeparaIMG!D:D,,0)</f>
        <v>COR350.png</v>
      </c>
    </row>
    <row r="511" spans="1:9" x14ac:dyDescent="0.25">
      <c r="A511" s="2" t="s">
        <v>106</v>
      </c>
      <c r="B511" s="2" t="s">
        <v>63</v>
      </c>
      <c r="C511" t="s">
        <v>28</v>
      </c>
      <c r="D511" t="s">
        <v>26</v>
      </c>
      <c r="E511" s="2">
        <v>2</v>
      </c>
      <c r="F511" t="s">
        <v>81</v>
      </c>
      <c r="G511">
        <v>6.19</v>
      </c>
      <c r="H511">
        <v>5.39</v>
      </c>
      <c r="I511" s="2" t="str">
        <f>_xlfn.XLOOKUP(F511,DeparaIMG!B:B,DeparaIMG!D:D,,0)</f>
        <v>CORCERO350.png</v>
      </c>
    </row>
    <row r="512" spans="1:9" x14ac:dyDescent="0.25">
      <c r="A512" s="2" t="s">
        <v>106</v>
      </c>
      <c r="B512" s="2" t="s">
        <v>63</v>
      </c>
      <c r="C512" t="s">
        <v>28</v>
      </c>
      <c r="D512" t="s">
        <v>25</v>
      </c>
      <c r="E512" s="2">
        <v>2</v>
      </c>
      <c r="F512" t="s">
        <v>81</v>
      </c>
      <c r="G512">
        <v>6.19</v>
      </c>
      <c r="H512">
        <v>5.39</v>
      </c>
      <c r="I512" s="2" t="str">
        <f>_xlfn.XLOOKUP(F512,DeparaIMG!B:B,DeparaIMG!D:D,,0)</f>
        <v>CORCERO350.png</v>
      </c>
    </row>
    <row r="513" spans="1:9" x14ac:dyDescent="0.25">
      <c r="A513" s="2" t="s">
        <v>106</v>
      </c>
      <c r="B513" s="2" t="s">
        <v>63</v>
      </c>
      <c r="C513" t="s">
        <v>28</v>
      </c>
      <c r="D513" t="s">
        <v>26</v>
      </c>
      <c r="E513" s="2">
        <v>1</v>
      </c>
      <c r="F513" t="s">
        <v>83</v>
      </c>
      <c r="G513">
        <v>6.39</v>
      </c>
      <c r="H513">
        <v>5.39</v>
      </c>
      <c r="I513" s="2" t="str">
        <f>_xlfn.XLOOKUP(F513,DeparaIMG!B:B,DeparaIMG!D:D,,0)</f>
        <v>BUDLN.png</v>
      </c>
    </row>
    <row r="514" spans="1:9" x14ac:dyDescent="0.25">
      <c r="A514" s="2" t="s">
        <v>106</v>
      </c>
      <c r="B514" s="2" t="s">
        <v>63</v>
      </c>
      <c r="C514" t="s">
        <v>28</v>
      </c>
      <c r="D514" t="s">
        <v>26</v>
      </c>
      <c r="E514" s="2">
        <v>1</v>
      </c>
      <c r="F514" t="s">
        <v>82</v>
      </c>
      <c r="G514">
        <v>6.39</v>
      </c>
      <c r="H514">
        <v>5.39</v>
      </c>
      <c r="I514" s="2" t="str">
        <f>_xlfn.XLOOKUP(F514,DeparaIMG!B:B,DeparaIMG!D:D,,0)</f>
        <v>BUDZEROLN.png</v>
      </c>
    </row>
    <row r="515" spans="1:9" x14ac:dyDescent="0.25">
      <c r="A515" s="2" t="s">
        <v>106</v>
      </c>
      <c r="B515" s="2" t="s">
        <v>63</v>
      </c>
      <c r="C515" t="s">
        <v>29</v>
      </c>
      <c r="D515" t="s">
        <v>26</v>
      </c>
      <c r="E515" s="2">
        <v>1</v>
      </c>
      <c r="F515" t="s">
        <v>83</v>
      </c>
      <c r="G515">
        <v>6.39</v>
      </c>
      <c r="H515">
        <v>5.39</v>
      </c>
      <c r="I515" s="2" t="str">
        <f>_xlfn.XLOOKUP(F515,DeparaIMG!B:B,DeparaIMG!D:D,,0)</f>
        <v>BUDLN.png</v>
      </c>
    </row>
    <row r="516" spans="1:9" x14ac:dyDescent="0.25">
      <c r="A516" s="2" t="s">
        <v>106</v>
      </c>
      <c r="B516" s="2" t="s">
        <v>63</v>
      </c>
      <c r="C516" t="s">
        <v>29</v>
      </c>
      <c r="D516" t="s">
        <v>26</v>
      </c>
      <c r="E516" s="2">
        <v>1</v>
      </c>
      <c r="F516" t="s">
        <v>82</v>
      </c>
      <c r="G516">
        <v>6.39</v>
      </c>
      <c r="H516">
        <v>5.39</v>
      </c>
      <c r="I516" s="2" t="str">
        <f>_xlfn.XLOOKUP(F516,DeparaIMG!B:B,DeparaIMG!D:D,,0)</f>
        <v>BUDZEROLN.png</v>
      </c>
    </row>
    <row r="517" spans="1:9" x14ac:dyDescent="0.25">
      <c r="A517" s="2" t="s">
        <v>106</v>
      </c>
      <c r="B517" s="2" t="s">
        <v>63</v>
      </c>
      <c r="C517" t="s">
        <v>88</v>
      </c>
      <c r="D517" t="s">
        <v>26</v>
      </c>
      <c r="E517" s="2">
        <v>1</v>
      </c>
      <c r="F517" t="s">
        <v>83</v>
      </c>
      <c r="G517">
        <v>6.39</v>
      </c>
      <c r="H517">
        <v>5.39</v>
      </c>
      <c r="I517" s="2" t="str">
        <f>_xlfn.XLOOKUP(F517,DeparaIMG!B:B,DeparaIMG!D:D,,0)</f>
        <v>BUDLN.png</v>
      </c>
    </row>
    <row r="518" spans="1:9" x14ac:dyDescent="0.25">
      <c r="A518" s="2" t="s">
        <v>106</v>
      </c>
      <c r="B518" s="2" t="s">
        <v>63</v>
      </c>
      <c r="C518" t="s">
        <v>88</v>
      </c>
      <c r="D518" t="s">
        <v>26</v>
      </c>
      <c r="E518" s="2">
        <v>1</v>
      </c>
      <c r="F518" t="s">
        <v>82</v>
      </c>
      <c r="G518">
        <v>6.39</v>
      </c>
      <c r="H518">
        <v>5.39</v>
      </c>
      <c r="I518" s="2" t="str">
        <f>_xlfn.XLOOKUP(F518,DeparaIMG!B:B,DeparaIMG!D:D,,0)</f>
        <v>BUDZEROLN.png</v>
      </c>
    </row>
    <row r="519" spans="1:9" x14ac:dyDescent="0.25">
      <c r="A519" s="2" t="s">
        <v>106</v>
      </c>
      <c r="B519" s="2" t="s">
        <v>63</v>
      </c>
      <c r="C519" t="s">
        <v>89</v>
      </c>
      <c r="D519" t="s">
        <v>26</v>
      </c>
      <c r="E519" s="2">
        <v>1</v>
      </c>
      <c r="F519" t="s">
        <v>83</v>
      </c>
      <c r="G519">
        <v>6.39</v>
      </c>
      <c r="H519">
        <v>5.39</v>
      </c>
      <c r="I519" s="2" t="str">
        <f>_xlfn.XLOOKUP(F519,DeparaIMG!B:B,DeparaIMG!D:D,,0)</f>
        <v>BUDLN.png</v>
      </c>
    </row>
    <row r="520" spans="1:9" x14ac:dyDescent="0.25">
      <c r="A520" s="2" t="s">
        <v>106</v>
      </c>
      <c r="B520" s="2" t="s">
        <v>63</v>
      </c>
      <c r="C520" t="s">
        <v>89</v>
      </c>
      <c r="D520" t="s">
        <v>26</v>
      </c>
      <c r="E520" s="2">
        <v>1</v>
      </c>
      <c r="F520" t="s">
        <v>82</v>
      </c>
      <c r="G520">
        <v>6.39</v>
      </c>
      <c r="H520">
        <v>5.39</v>
      </c>
      <c r="I520" s="2" t="str">
        <f>_xlfn.XLOOKUP(F520,DeparaIMG!B:B,DeparaIMG!D:D,,0)</f>
        <v>BUDZEROLN.png</v>
      </c>
    </row>
    <row r="521" spans="1:9" x14ac:dyDescent="0.25">
      <c r="A521" s="2" t="s">
        <v>106</v>
      </c>
      <c r="B521" s="2" t="s">
        <v>63</v>
      </c>
      <c r="C521" t="s">
        <v>4</v>
      </c>
      <c r="D521" t="s">
        <v>25</v>
      </c>
      <c r="E521" s="2">
        <v>1</v>
      </c>
      <c r="F521" t="s">
        <v>83</v>
      </c>
      <c r="G521">
        <v>6.39</v>
      </c>
      <c r="H521">
        <v>5.39</v>
      </c>
      <c r="I521" s="2" t="str">
        <f>_xlfn.XLOOKUP(F521,DeparaIMG!B:B,DeparaIMG!D:D,,0)</f>
        <v>BUDLN.png</v>
      </c>
    </row>
    <row r="522" spans="1:9" x14ac:dyDescent="0.25">
      <c r="A522" s="2" t="s">
        <v>106</v>
      </c>
      <c r="B522" s="2" t="s">
        <v>63</v>
      </c>
      <c r="C522" t="s">
        <v>4</v>
      </c>
      <c r="D522" t="s">
        <v>26</v>
      </c>
      <c r="E522" s="2">
        <v>1</v>
      </c>
      <c r="F522" t="s">
        <v>83</v>
      </c>
      <c r="G522">
        <v>6.39</v>
      </c>
      <c r="H522">
        <v>5.39</v>
      </c>
      <c r="I522" s="2" t="str">
        <f>_xlfn.XLOOKUP(F522,DeparaIMG!B:B,DeparaIMG!D:D,,0)</f>
        <v>BUDLN.png</v>
      </c>
    </row>
    <row r="523" spans="1:9" x14ac:dyDescent="0.25">
      <c r="A523" s="2" t="s">
        <v>106</v>
      </c>
      <c r="B523" s="2" t="s">
        <v>63</v>
      </c>
      <c r="C523" t="s">
        <v>4</v>
      </c>
      <c r="D523" t="s">
        <v>25</v>
      </c>
      <c r="E523" s="2">
        <v>1</v>
      </c>
      <c r="F523" t="s">
        <v>82</v>
      </c>
      <c r="G523">
        <v>6.39</v>
      </c>
      <c r="H523">
        <v>5.39</v>
      </c>
      <c r="I523" s="2" t="str">
        <f>_xlfn.XLOOKUP(F523,DeparaIMG!B:B,DeparaIMG!D:D,,0)</f>
        <v>BUDZEROLN.png</v>
      </c>
    </row>
    <row r="524" spans="1:9" x14ac:dyDescent="0.25">
      <c r="A524" s="2" t="s">
        <v>106</v>
      </c>
      <c r="B524" s="2" t="s">
        <v>63</v>
      </c>
      <c r="C524" t="s">
        <v>4</v>
      </c>
      <c r="D524" t="s">
        <v>26</v>
      </c>
      <c r="E524" s="2">
        <v>1</v>
      </c>
      <c r="F524" t="s">
        <v>82</v>
      </c>
      <c r="G524">
        <v>6.39</v>
      </c>
      <c r="H524">
        <v>5.39</v>
      </c>
      <c r="I524" s="2" t="str">
        <f>_xlfn.XLOOKUP(F524,DeparaIMG!B:B,DeparaIMG!D:D,,0)</f>
        <v>BUDZEROLN.png</v>
      </c>
    </row>
    <row r="525" spans="1:9" x14ac:dyDescent="0.25">
      <c r="A525" s="2" t="s">
        <v>106</v>
      </c>
      <c r="B525" s="2" t="s">
        <v>63</v>
      </c>
      <c r="C525" t="s">
        <v>90</v>
      </c>
      <c r="D525" t="s">
        <v>26</v>
      </c>
      <c r="E525" s="2">
        <v>1</v>
      </c>
      <c r="F525" t="s">
        <v>83</v>
      </c>
      <c r="G525">
        <v>6.39</v>
      </c>
      <c r="H525">
        <v>5.39</v>
      </c>
      <c r="I525" s="2" t="str">
        <f>_xlfn.XLOOKUP(F525,DeparaIMG!B:B,DeparaIMG!D:D,,0)</f>
        <v>BUDLN.png</v>
      </c>
    </row>
    <row r="526" spans="1:9" x14ac:dyDescent="0.25">
      <c r="A526" s="2" t="s">
        <v>106</v>
      </c>
      <c r="B526" s="2" t="s">
        <v>63</v>
      </c>
      <c r="C526" t="s">
        <v>90</v>
      </c>
      <c r="D526" t="s">
        <v>26</v>
      </c>
      <c r="E526" s="2">
        <v>1</v>
      </c>
      <c r="F526" t="s">
        <v>82</v>
      </c>
      <c r="G526">
        <v>6.39</v>
      </c>
      <c r="H526">
        <v>5.39</v>
      </c>
      <c r="I526" s="2" t="str">
        <f>_xlfn.XLOOKUP(F526,DeparaIMG!B:B,DeparaIMG!D:D,,0)</f>
        <v>BUDZEROLN.png</v>
      </c>
    </row>
    <row r="527" spans="1:9" x14ac:dyDescent="0.25">
      <c r="A527" s="2" t="s">
        <v>106</v>
      </c>
      <c r="B527" s="2" t="s">
        <v>63</v>
      </c>
      <c r="C527" t="s">
        <v>91</v>
      </c>
      <c r="D527" t="s">
        <v>26</v>
      </c>
      <c r="E527" s="2">
        <v>1</v>
      </c>
      <c r="F527" t="s">
        <v>83</v>
      </c>
      <c r="G527">
        <v>6.39</v>
      </c>
      <c r="H527">
        <v>5.39</v>
      </c>
      <c r="I527" s="2" t="str">
        <f>_xlfn.XLOOKUP(F527,DeparaIMG!B:B,DeparaIMG!D:D,,0)</f>
        <v>BUDLN.png</v>
      </c>
    </row>
    <row r="528" spans="1:9" x14ac:dyDescent="0.25">
      <c r="A528" s="2" t="s">
        <v>106</v>
      </c>
      <c r="B528" s="2" t="s">
        <v>63</v>
      </c>
      <c r="C528" t="s">
        <v>91</v>
      </c>
      <c r="D528" t="s">
        <v>26</v>
      </c>
      <c r="E528" s="2">
        <v>1</v>
      </c>
      <c r="F528" t="s">
        <v>82</v>
      </c>
      <c r="G528">
        <v>6.39</v>
      </c>
      <c r="H528">
        <v>5.39</v>
      </c>
      <c r="I528" s="2" t="str">
        <f>_xlfn.XLOOKUP(F528,DeparaIMG!B:B,DeparaIMG!D:D,,0)</f>
        <v>BUDZEROLN.png</v>
      </c>
    </row>
    <row r="529" spans="1:9" x14ac:dyDescent="0.25">
      <c r="A529" s="2" t="s">
        <v>106</v>
      </c>
      <c r="B529" s="2" t="s">
        <v>63</v>
      </c>
      <c r="C529" t="s">
        <v>29</v>
      </c>
      <c r="D529" t="s">
        <v>26</v>
      </c>
      <c r="E529" s="2">
        <v>2</v>
      </c>
      <c r="F529" t="s">
        <v>80</v>
      </c>
      <c r="G529">
        <v>6.29</v>
      </c>
      <c r="H529">
        <v>5.49</v>
      </c>
      <c r="I529" s="2" t="str">
        <f>_xlfn.XLOOKUP(F529,DeparaIMG!B:B,DeparaIMG!D:D,,0)</f>
        <v>COR350.png</v>
      </c>
    </row>
    <row r="530" spans="1:9" x14ac:dyDescent="0.25">
      <c r="A530" s="2" t="s">
        <v>106</v>
      </c>
      <c r="B530" s="2" t="s">
        <v>63</v>
      </c>
      <c r="C530" t="s">
        <v>4</v>
      </c>
      <c r="D530" t="s">
        <v>26</v>
      </c>
      <c r="E530" s="2">
        <v>2</v>
      </c>
      <c r="F530" t="s">
        <v>80</v>
      </c>
      <c r="G530">
        <v>6.29</v>
      </c>
      <c r="H530">
        <v>5.49</v>
      </c>
      <c r="I530" s="2" t="str">
        <f>_xlfn.XLOOKUP(F530,DeparaIMG!B:B,DeparaIMG!D:D,,0)</f>
        <v>COR350.png</v>
      </c>
    </row>
    <row r="531" spans="1:9" x14ac:dyDescent="0.25">
      <c r="A531" s="2" t="s">
        <v>106</v>
      </c>
      <c r="B531" s="2" t="s">
        <v>63</v>
      </c>
      <c r="C531" t="s">
        <v>29</v>
      </c>
      <c r="D531" t="s">
        <v>26</v>
      </c>
      <c r="E531" s="2">
        <v>2</v>
      </c>
      <c r="F531" t="s">
        <v>81</v>
      </c>
      <c r="G531">
        <v>6.29</v>
      </c>
      <c r="H531">
        <v>5.49</v>
      </c>
      <c r="I531" s="2" t="str">
        <f>_xlfn.XLOOKUP(F531,DeparaIMG!B:B,DeparaIMG!D:D,,0)</f>
        <v>CORCERO350.png</v>
      </c>
    </row>
    <row r="532" spans="1:9" x14ac:dyDescent="0.25">
      <c r="A532" s="2" t="s">
        <v>106</v>
      </c>
      <c r="B532" s="2" t="s">
        <v>63</v>
      </c>
      <c r="C532" t="s">
        <v>88</v>
      </c>
      <c r="D532" t="s">
        <v>26</v>
      </c>
      <c r="E532" s="2">
        <v>2</v>
      </c>
      <c r="F532" t="s">
        <v>81</v>
      </c>
      <c r="G532">
        <v>6.29</v>
      </c>
      <c r="H532">
        <v>5.49</v>
      </c>
      <c r="I532" s="2" t="str">
        <f>_xlfn.XLOOKUP(F532,DeparaIMG!B:B,DeparaIMG!D:D,,0)</f>
        <v>CORCERO350.png</v>
      </c>
    </row>
    <row r="533" spans="1:9" x14ac:dyDescent="0.25">
      <c r="A533" s="2" t="s">
        <v>106</v>
      </c>
      <c r="B533" s="2" t="s">
        <v>63</v>
      </c>
      <c r="C533" t="s">
        <v>89</v>
      </c>
      <c r="D533" t="s">
        <v>26</v>
      </c>
      <c r="E533" s="2">
        <v>2</v>
      </c>
      <c r="F533" t="s">
        <v>81</v>
      </c>
      <c r="G533">
        <v>6.29</v>
      </c>
      <c r="H533">
        <v>5.49</v>
      </c>
      <c r="I533" s="2" t="str">
        <f>_xlfn.XLOOKUP(F533,DeparaIMG!B:B,DeparaIMG!D:D,,0)</f>
        <v>CORCERO350.png</v>
      </c>
    </row>
    <row r="534" spans="1:9" x14ac:dyDescent="0.25">
      <c r="A534" s="2" t="s">
        <v>106</v>
      </c>
      <c r="B534" s="2" t="s">
        <v>63</v>
      </c>
      <c r="C534" t="s">
        <v>4</v>
      </c>
      <c r="D534" t="s">
        <v>26</v>
      </c>
      <c r="E534" s="2">
        <v>2</v>
      </c>
      <c r="F534" t="s">
        <v>81</v>
      </c>
      <c r="G534">
        <v>6.29</v>
      </c>
      <c r="H534">
        <v>5.49</v>
      </c>
      <c r="I534" s="2" t="str">
        <f>_xlfn.XLOOKUP(F534,DeparaIMG!B:B,DeparaIMG!D:D,,0)</f>
        <v>CORCERO350.png</v>
      </c>
    </row>
    <row r="535" spans="1:9" x14ac:dyDescent="0.25">
      <c r="A535" s="2" t="s">
        <v>106</v>
      </c>
      <c r="B535" s="2" t="s">
        <v>63</v>
      </c>
      <c r="C535" t="s">
        <v>91</v>
      </c>
      <c r="D535" t="s">
        <v>26</v>
      </c>
      <c r="E535" s="2">
        <v>2</v>
      </c>
      <c r="F535" t="s">
        <v>81</v>
      </c>
      <c r="G535">
        <v>6.29</v>
      </c>
      <c r="H535">
        <v>5.49</v>
      </c>
      <c r="I535" s="2" t="str">
        <f>_xlfn.XLOOKUP(F535,DeparaIMG!B:B,DeparaIMG!D:D,,0)</f>
        <v>CORCERO350.png</v>
      </c>
    </row>
    <row r="536" spans="1:9" x14ac:dyDescent="0.25">
      <c r="A536" s="2" t="s">
        <v>106</v>
      </c>
      <c r="B536" s="2" t="s">
        <v>63</v>
      </c>
      <c r="C536" t="s">
        <v>90</v>
      </c>
      <c r="D536" t="s">
        <v>26</v>
      </c>
      <c r="E536" s="2">
        <v>2</v>
      </c>
      <c r="F536" t="s">
        <v>81</v>
      </c>
      <c r="G536">
        <v>6.29</v>
      </c>
      <c r="H536">
        <v>5.49</v>
      </c>
      <c r="I536" s="2" t="str">
        <f>_xlfn.XLOOKUP(F536,DeparaIMG!B:B,DeparaIMG!D:D,,0)</f>
        <v>CORCERO350.png</v>
      </c>
    </row>
    <row r="537" spans="1:9" x14ac:dyDescent="0.25">
      <c r="A537" s="2" t="s">
        <v>106</v>
      </c>
      <c r="B537" s="2" t="s">
        <v>63</v>
      </c>
      <c r="C537" t="s">
        <v>29</v>
      </c>
      <c r="D537" t="s">
        <v>25</v>
      </c>
      <c r="E537" s="2">
        <v>2</v>
      </c>
      <c r="F537" t="s">
        <v>81</v>
      </c>
      <c r="G537">
        <v>6.29</v>
      </c>
      <c r="H537">
        <v>5.49</v>
      </c>
      <c r="I537" s="2" t="str">
        <f>_xlfn.XLOOKUP(F537,DeparaIMG!B:B,DeparaIMG!D:D,,0)</f>
        <v>CORCERO350.png</v>
      </c>
    </row>
    <row r="538" spans="1:9" x14ac:dyDescent="0.25">
      <c r="A538" s="2" t="s">
        <v>106</v>
      </c>
      <c r="B538" s="2" t="s">
        <v>63</v>
      </c>
      <c r="C538" t="s">
        <v>88</v>
      </c>
      <c r="D538" t="s">
        <v>25</v>
      </c>
      <c r="E538" s="2">
        <v>2</v>
      </c>
      <c r="F538" t="s">
        <v>81</v>
      </c>
      <c r="G538">
        <v>6.29</v>
      </c>
      <c r="H538">
        <v>5.49</v>
      </c>
      <c r="I538" s="2" t="str">
        <f>_xlfn.XLOOKUP(F538,DeparaIMG!B:B,DeparaIMG!D:D,,0)</f>
        <v>CORCERO350.png</v>
      </c>
    </row>
    <row r="539" spans="1:9" x14ac:dyDescent="0.25">
      <c r="A539" s="2" t="s">
        <v>106</v>
      </c>
      <c r="B539" s="2" t="s">
        <v>63</v>
      </c>
      <c r="C539" t="s">
        <v>89</v>
      </c>
      <c r="D539" t="s">
        <v>25</v>
      </c>
      <c r="E539" s="2">
        <v>2</v>
      </c>
      <c r="F539" t="s">
        <v>81</v>
      </c>
      <c r="G539">
        <v>6.29</v>
      </c>
      <c r="H539">
        <v>5.49</v>
      </c>
      <c r="I539" s="2" t="str">
        <f>_xlfn.XLOOKUP(F539,DeparaIMG!B:B,DeparaIMG!D:D,,0)</f>
        <v>CORCERO350.png</v>
      </c>
    </row>
    <row r="540" spans="1:9" x14ac:dyDescent="0.25">
      <c r="A540" s="2" t="s">
        <v>106</v>
      </c>
      <c r="B540" s="2" t="s">
        <v>63</v>
      </c>
      <c r="C540" t="s">
        <v>4</v>
      </c>
      <c r="D540" t="s">
        <v>25</v>
      </c>
      <c r="E540" s="2">
        <v>2</v>
      </c>
      <c r="F540" t="s">
        <v>81</v>
      </c>
      <c r="G540">
        <v>6.29</v>
      </c>
      <c r="H540">
        <v>5.49</v>
      </c>
      <c r="I540" s="2" t="str">
        <f>_xlfn.XLOOKUP(F540,DeparaIMG!B:B,DeparaIMG!D:D,,0)</f>
        <v>CORCERO350.png</v>
      </c>
    </row>
    <row r="541" spans="1:9" x14ac:dyDescent="0.25">
      <c r="A541" s="2" t="s">
        <v>106</v>
      </c>
      <c r="B541" s="2" t="s">
        <v>63</v>
      </c>
      <c r="C541" t="s">
        <v>91</v>
      </c>
      <c r="D541" t="s">
        <v>25</v>
      </c>
      <c r="E541" s="2">
        <v>2</v>
      </c>
      <c r="F541" t="s">
        <v>81</v>
      </c>
      <c r="G541">
        <v>6.29</v>
      </c>
      <c r="H541">
        <v>5.49</v>
      </c>
      <c r="I541" s="2" t="str">
        <f>_xlfn.XLOOKUP(F541,DeparaIMG!B:B,DeparaIMG!D:D,,0)</f>
        <v>CORCERO350.png</v>
      </c>
    </row>
    <row r="542" spans="1:9" x14ac:dyDescent="0.25">
      <c r="A542" s="2" t="s">
        <v>106</v>
      </c>
      <c r="B542" s="2" t="s">
        <v>63</v>
      </c>
      <c r="C542" t="s">
        <v>90</v>
      </c>
      <c r="D542" t="s">
        <v>25</v>
      </c>
      <c r="E542" s="2">
        <v>2</v>
      </c>
      <c r="F542" t="s">
        <v>81</v>
      </c>
      <c r="G542">
        <v>6.29</v>
      </c>
      <c r="H542">
        <v>5.49</v>
      </c>
      <c r="I542" s="2" t="str">
        <f>_xlfn.XLOOKUP(F542,DeparaIMG!B:B,DeparaIMG!D:D,,0)</f>
        <v>CORCERO350.png</v>
      </c>
    </row>
    <row r="543" spans="1:9" x14ac:dyDescent="0.25">
      <c r="A543" s="2" t="s">
        <v>106</v>
      </c>
      <c r="B543" s="2" t="s">
        <v>63</v>
      </c>
      <c r="C543" t="s">
        <v>28</v>
      </c>
      <c r="D543" t="s">
        <v>25</v>
      </c>
      <c r="E543" s="2">
        <v>2</v>
      </c>
      <c r="F543" t="s">
        <v>84</v>
      </c>
      <c r="G543">
        <v>6.69</v>
      </c>
      <c r="H543">
        <v>5.99</v>
      </c>
      <c r="I543" s="2" t="str">
        <f>_xlfn.XLOOKUP(F543,DeparaIMG!B:B,DeparaIMG!D:D,,0)</f>
        <v>MICLN.png</v>
      </c>
    </row>
    <row r="544" spans="1:9" x14ac:dyDescent="0.25">
      <c r="A544" s="2" t="s">
        <v>106</v>
      </c>
      <c r="B544" s="2" t="s">
        <v>63</v>
      </c>
      <c r="C544" t="s">
        <v>28</v>
      </c>
      <c r="D544" t="s">
        <v>26</v>
      </c>
      <c r="E544" s="2">
        <v>2</v>
      </c>
      <c r="F544" t="s">
        <v>84</v>
      </c>
      <c r="G544">
        <v>6.69</v>
      </c>
      <c r="H544">
        <v>5.99</v>
      </c>
      <c r="I544" s="2" t="str">
        <f>_xlfn.XLOOKUP(F544,DeparaIMG!B:B,DeparaIMG!D:D,,0)</f>
        <v>MICLN.png</v>
      </c>
    </row>
    <row r="545" spans="1:9" x14ac:dyDescent="0.25">
      <c r="A545" s="2" t="s">
        <v>106</v>
      </c>
      <c r="B545" s="2" t="s">
        <v>63</v>
      </c>
      <c r="C545" t="s">
        <v>29</v>
      </c>
      <c r="D545" t="s">
        <v>25</v>
      </c>
      <c r="E545" s="2">
        <v>2</v>
      </c>
      <c r="F545" t="s">
        <v>84</v>
      </c>
      <c r="G545">
        <v>6.69</v>
      </c>
      <c r="H545">
        <v>5.99</v>
      </c>
      <c r="I545" s="2" t="str">
        <f>_xlfn.XLOOKUP(F545,DeparaIMG!B:B,DeparaIMG!D:D,,0)</f>
        <v>MICLN.png</v>
      </c>
    </row>
    <row r="546" spans="1:9" x14ac:dyDescent="0.25">
      <c r="A546" s="2" t="s">
        <v>106</v>
      </c>
      <c r="B546" s="2" t="s">
        <v>63</v>
      </c>
      <c r="C546" t="s">
        <v>29</v>
      </c>
      <c r="D546" t="s">
        <v>26</v>
      </c>
      <c r="E546" s="2">
        <v>2</v>
      </c>
      <c r="F546" t="s">
        <v>84</v>
      </c>
      <c r="G546">
        <v>6.69</v>
      </c>
      <c r="H546">
        <v>5.99</v>
      </c>
      <c r="I546" s="2" t="str">
        <f>_xlfn.XLOOKUP(F546,DeparaIMG!B:B,DeparaIMG!D:D,,0)</f>
        <v>MICLN.png</v>
      </c>
    </row>
    <row r="547" spans="1:9" x14ac:dyDescent="0.25">
      <c r="A547" s="2" t="s">
        <v>106</v>
      </c>
      <c r="B547" s="2" t="s">
        <v>63</v>
      </c>
      <c r="C547" t="s">
        <v>88</v>
      </c>
      <c r="D547" t="s">
        <v>25</v>
      </c>
      <c r="E547" s="2">
        <v>2</v>
      </c>
      <c r="F547" t="s">
        <v>84</v>
      </c>
      <c r="G547">
        <v>6.69</v>
      </c>
      <c r="H547">
        <v>5.99</v>
      </c>
      <c r="I547" s="2" t="str">
        <f>_xlfn.XLOOKUP(F547,DeparaIMG!B:B,DeparaIMG!D:D,,0)</f>
        <v>MICLN.png</v>
      </c>
    </row>
    <row r="548" spans="1:9" x14ac:dyDescent="0.25">
      <c r="A548" s="2" t="s">
        <v>106</v>
      </c>
      <c r="B548" s="2" t="s">
        <v>63</v>
      </c>
      <c r="C548" t="s">
        <v>88</v>
      </c>
      <c r="D548" t="s">
        <v>26</v>
      </c>
      <c r="E548" s="2">
        <v>2</v>
      </c>
      <c r="F548" t="s">
        <v>84</v>
      </c>
      <c r="G548">
        <v>6.69</v>
      </c>
      <c r="H548">
        <v>5.99</v>
      </c>
      <c r="I548" s="2" t="str">
        <f>_xlfn.XLOOKUP(F548,DeparaIMG!B:B,DeparaIMG!D:D,,0)</f>
        <v>MICLN.png</v>
      </c>
    </row>
    <row r="549" spans="1:9" x14ac:dyDescent="0.25">
      <c r="A549" s="2" t="s">
        <v>106</v>
      </c>
      <c r="B549" s="2" t="s">
        <v>63</v>
      </c>
      <c r="C549" t="s">
        <v>89</v>
      </c>
      <c r="D549" t="s">
        <v>25</v>
      </c>
      <c r="E549" s="2">
        <v>2</v>
      </c>
      <c r="F549" t="s">
        <v>84</v>
      </c>
      <c r="G549">
        <v>6.69</v>
      </c>
      <c r="H549">
        <v>5.99</v>
      </c>
      <c r="I549" s="2" t="str">
        <f>_xlfn.XLOOKUP(F549,DeparaIMG!B:B,DeparaIMG!D:D,,0)</f>
        <v>MICLN.png</v>
      </c>
    </row>
    <row r="550" spans="1:9" x14ac:dyDescent="0.25">
      <c r="A550" s="2" t="s">
        <v>106</v>
      </c>
      <c r="B550" s="2" t="s">
        <v>63</v>
      </c>
      <c r="C550" t="s">
        <v>89</v>
      </c>
      <c r="D550" t="s">
        <v>26</v>
      </c>
      <c r="E550" s="2">
        <v>2</v>
      </c>
      <c r="F550" t="s">
        <v>84</v>
      </c>
      <c r="G550">
        <v>6.69</v>
      </c>
      <c r="H550">
        <v>5.99</v>
      </c>
      <c r="I550" s="2" t="str">
        <f>_xlfn.XLOOKUP(F550,DeparaIMG!B:B,DeparaIMG!D:D,,0)</f>
        <v>MICLN.png</v>
      </c>
    </row>
    <row r="551" spans="1:9" x14ac:dyDescent="0.25">
      <c r="A551" s="2" t="s">
        <v>106</v>
      </c>
      <c r="B551" s="2" t="s">
        <v>63</v>
      </c>
      <c r="C551" t="s">
        <v>4</v>
      </c>
      <c r="D551" t="s">
        <v>25</v>
      </c>
      <c r="E551" s="2">
        <v>2</v>
      </c>
      <c r="F551" t="s">
        <v>84</v>
      </c>
      <c r="G551">
        <v>6.69</v>
      </c>
      <c r="H551">
        <v>5.99</v>
      </c>
      <c r="I551" s="2" t="str">
        <f>_xlfn.XLOOKUP(F551,DeparaIMG!B:B,DeparaIMG!D:D,,0)</f>
        <v>MICLN.png</v>
      </c>
    </row>
    <row r="552" spans="1:9" x14ac:dyDescent="0.25">
      <c r="A552" s="2" t="s">
        <v>106</v>
      </c>
      <c r="B552" s="2" t="s">
        <v>63</v>
      </c>
      <c r="C552" t="s">
        <v>4</v>
      </c>
      <c r="D552" t="s">
        <v>26</v>
      </c>
      <c r="E552" s="2">
        <v>2</v>
      </c>
      <c r="F552" t="s">
        <v>84</v>
      </c>
      <c r="G552">
        <v>6.69</v>
      </c>
      <c r="H552">
        <v>5.99</v>
      </c>
      <c r="I552" s="2" t="str">
        <f>_xlfn.XLOOKUP(F552,DeparaIMG!B:B,DeparaIMG!D:D,,0)</f>
        <v>MICLN.png</v>
      </c>
    </row>
    <row r="553" spans="1:9" x14ac:dyDescent="0.25">
      <c r="A553" s="2" t="s">
        <v>106</v>
      </c>
      <c r="B553" s="2" t="s">
        <v>63</v>
      </c>
      <c r="C553" t="s">
        <v>91</v>
      </c>
      <c r="D553" t="s">
        <v>26</v>
      </c>
      <c r="E553" s="2">
        <v>2</v>
      </c>
      <c r="F553" t="s">
        <v>84</v>
      </c>
      <c r="G553">
        <v>6.69</v>
      </c>
      <c r="H553">
        <v>5.99</v>
      </c>
      <c r="I553" s="2" t="str">
        <f>_xlfn.XLOOKUP(F553,DeparaIMG!B:B,DeparaIMG!D:D,,0)</f>
        <v>MICLN.png</v>
      </c>
    </row>
    <row r="554" spans="1:9" x14ac:dyDescent="0.25">
      <c r="A554" s="2" t="s">
        <v>106</v>
      </c>
      <c r="B554" s="2" t="s">
        <v>63</v>
      </c>
      <c r="C554" t="s">
        <v>90</v>
      </c>
      <c r="D554" t="s">
        <v>26</v>
      </c>
      <c r="E554" s="2">
        <v>2</v>
      </c>
      <c r="F554" t="s">
        <v>84</v>
      </c>
      <c r="G554">
        <v>6.69</v>
      </c>
      <c r="H554">
        <v>5.99</v>
      </c>
      <c r="I554" s="2" t="str">
        <f>_xlfn.XLOOKUP(F554,DeparaIMG!B:B,DeparaIMG!D:D,,0)</f>
        <v>MICLN.png</v>
      </c>
    </row>
    <row r="555" spans="1:9" x14ac:dyDescent="0.25">
      <c r="A555" s="2" t="s">
        <v>106</v>
      </c>
      <c r="B555" s="2" t="s">
        <v>63</v>
      </c>
      <c r="C555" t="s">
        <v>90</v>
      </c>
      <c r="D555" t="s">
        <v>25</v>
      </c>
      <c r="E555" s="2">
        <v>2</v>
      </c>
      <c r="F555" t="s">
        <v>84</v>
      </c>
      <c r="G555">
        <v>6.69</v>
      </c>
      <c r="H555">
        <v>5.99</v>
      </c>
      <c r="I555" s="2" t="str">
        <f>_xlfn.XLOOKUP(F555,DeparaIMG!B:B,DeparaIMG!D:D,,0)</f>
        <v>MICLN.png</v>
      </c>
    </row>
    <row r="556" spans="1:9" x14ac:dyDescent="0.25">
      <c r="A556" s="2" t="s">
        <v>106</v>
      </c>
      <c r="B556" s="2" t="s">
        <v>63</v>
      </c>
      <c r="C556" t="s">
        <v>91</v>
      </c>
      <c r="D556" t="s">
        <v>25</v>
      </c>
      <c r="E556" s="2">
        <v>2</v>
      </c>
      <c r="F556" t="s">
        <v>84</v>
      </c>
      <c r="G556">
        <v>6.69</v>
      </c>
      <c r="H556">
        <v>5.99</v>
      </c>
      <c r="I556" s="2" t="str">
        <f>_xlfn.XLOOKUP(F556,DeparaIMG!B:B,DeparaIMG!D:D,,0)</f>
        <v>MICLN.png</v>
      </c>
    </row>
    <row r="557" spans="1:9" x14ac:dyDescent="0.25">
      <c r="A557" s="2" t="s">
        <v>106</v>
      </c>
      <c r="B557" s="2" t="s">
        <v>63</v>
      </c>
      <c r="C557" t="s">
        <v>89</v>
      </c>
      <c r="D557" t="s">
        <v>25</v>
      </c>
      <c r="E557" s="2">
        <v>1</v>
      </c>
      <c r="F557" t="s">
        <v>86</v>
      </c>
      <c r="G557">
        <v>7.99</v>
      </c>
      <c r="H557">
        <v>6.99</v>
      </c>
      <c r="I557" s="2" t="str">
        <f>_xlfn.XLOOKUP(F557,DeparaIMG!B:B,DeparaIMG!D:D,,0)</f>
        <v>CORLN.png</v>
      </c>
    </row>
    <row r="558" spans="1:9" x14ac:dyDescent="0.25">
      <c r="A558" s="2" t="s">
        <v>106</v>
      </c>
      <c r="B558" s="2" t="s">
        <v>63</v>
      </c>
      <c r="C558" t="s">
        <v>4</v>
      </c>
      <c r="D558" t="s">
        <v>26</v>
      </c>
      <c r="E558" s="2">
        <v>1</v>
      </c>
      <c r="F558" t="s">
        <v>86</v>
      </c>
      <c r="G558">
        <v>7.99</v>
      </c>
      <c r="H558">
        <v>6.99</v>
      </c>
      <c r="I558" s="2" t="str">
        <f>_xlfn.XLOOKUP(F558,DeparaIMG!B:B,DeparaIMG!D:D,,0)</f>
        <v>CORLN.png</v>
      </c>
    </row>
    <row r="559" spans="1:9" x14ac:dyDescent="0.25">
      <c r="A559" s="2" t="s">
        <v>106</v>
      </c>
      <c r="B559" s="2" t="s">
        <v>63</v>
      </c>
      <c r="C559" t="s">
        <v>90</v>
      </c>
      <c r="D559" t="s">
        <v>26</v>
      </c>
      <c r="E559" s="2">
        <v>1</v>
      </c>
      <c r="F559" t="s">
        <v>86</v>
      </c>
      <c r="G559">
        <v>7.99</v>
      </c>
      <c r="H559">
        <v>6.99</v>
      </c>
      <c r="I559" s="2" t="str">
        <f>_xlfn.XLOOKUP(F559,DeparaIMG!B:B,DeparaIMG!D:D,,0)</f>
        <v>CORLN.png</v>
      </c>
    </row>
    <row r="560" spans="1:9" x14ac:dyDescent="0.25">
      <c r="A560" s="2" t="s">
        <v>106</v>
      </c>
      <c r="B560" s="2" t="s">
        <v>63</v>
      </c>
      <c r="C560" t="s">
        <v>91</v>
      </c>
      <c r="D560" t="s">
        <v>26</v>
      </c>
      <c r="E560" s="2">
        <v>1</v>
      </c>
      <c r="F560" t="s">
        <v>86</v>
      </c>
      <c r="G560">
        <v>7.99</v>
      </c>
      <c r="H560">
        <v>6.99</v>
      </c>
      <c r="I560" s="2" t="str">
        <f>_xlfn.XLOOKUP(F560,DeparaIMG!B:B,DeparaIMG!D:D,,0)</f>
        <v>CORLN.png</v>
      </c>
    </row>
    <row r="561" spans="1:9" x14ac:dyDescent="0.25">
      <c r="A561" s="2" t="s">
        <v>106</v>
      </c>
      <c r="B561" s="2" t="s">
        <v>63</v>
      </c>
      <c r="C561" t="s">
        <v>90</v>
      </c>
      <c r="D561" t="s">
        <v>25</v>
      </c>
      <c r="E561" s="2">
        <v>1</v>
      </c>
      <c r="F561" t="s">
        <v>86</v>
      </c>
      <c r="G561">
        <v>7.99</v>
      </c>
      <c r="H561">
        <v>6.99</v>
      </c>
      <c r="I561" s="2" t="str">
        <f>_xlfn.XLOOKUP(F561,DeparaIMG!B:B,DeparaIMG!D:D,,0)</f>
        <v>CORLN.png</v>
      </c>
    </row>
    <row r="562" spans="1:9" x14ac:dyDescent="0.25">
      <c r="A562" s="2" t="s">
        <v>106</v>
      </c>
      <c r="B562" s="2" t="s">
        <v>63</v>
      </c>
      <c r="C562" t="s">
        <v>91</v>
      </c>
      <c r="D562" t="s">
        <v>25</v>
      </c>
      <c r="E562" s="2">
        <v>1</v>
      </c>
      <c r="F562" t="s">
        <v>86</v>
      </c>
      <c r="G562">
        <v>7.99</v>
      </c>
      <c r="H562">
        <v>6.99</v>
      </c>
      <c r="I562" s="2" t="str">
        <f>_xlfn.XLOOKUP(F562,DeparaIMG!B:B,DeparaIMG!D:D,,0)</f>
        <v>CORLN.png</v>
      </c>
    </row>
    <row r="563" spans="1:9" x14ac:dyDescent="0.25">
      <c r="A563" s="2" t="s">
        <v>106</v>
      </c>
      <c r="B563" s="2" t="s">
        <v>63</v>
      </c>
      <c r="C563" t="s">
        <v>89</v>
      </c>
      <c r="D563" t="s">
        <v>25</v>
      </c>
      <c r="E563" s="2">
        <v>1</v>
      </c>
      <c r="F563" t="s">
        <v>87</v>
      </c>
      <c r="G563">
        <v>7.99</v>
      </c>
      <c r="H563">
        <v>6.99</v>
      </c>
      <c r="I563" s="2" t="str">
        <f>_xlfn.XLOOKUP(F563,DeparaIMG!B:B,DeparaIMG!D:D,,0)</f>
        <v>CORCEROLN.png</v>
      </c>
    </row>
    <row r="564" spans="1:9" x14ac:dyDescent="0.25">
      <c r="A564" s="2" t="s">
        <v>106</v>
      </c>
      <c r="B564" s="2" t="s">
        <v>63</v>
      </c>
      <c r="C564" t="s">
        <v>4</v>
      </c>
      <c r="D564" t="s">
        <v>26</v>
      </c>
      <c r="E564" s="2">
        <v>1</v>
      </c>
      <c r="F564" t="s">
        <v>87</v>
      </c>
      <c r="G564">
        <v>7.99</v>
      </c>
      <c r="H564">
        <v>6.99</v>
      </c>
      <c r="I564" s="2" t="str">
        <f>_xlfn.XLOOKUP(F564,DeparaIMG!B:B,DeparaIMG!D:D,,0)</f>
        <v>CORCEROLN.png</v>
      </c>
    </row>
    <row r="565" spans="1:9" x14ac:dyDescent="0.25">
      <c r="A565" s="2" t="s">
        <v>106</v>
      </c>
      <c r="B565" s="2" t="s">
        <v>63</v>
      </c>
      <c r="C565" t="s">
        <v>90</v>
      </c>
      <c r="D565" t="s">
        <v>26</v>
      </c>
      <c r="E565" s="2">
        <v>1</v>
      </c>
      <c r="F565" t="s">
        <v>87</v>
      </c>
      <c r="G565">
        <v>7.99</v>
      </c>
      <c r="H565">
        <v>6.99</v>
      </c>
      <c r="I565" s="2" t="str">
        <f>_xlfn.XLOOKUP(F565,DeparaIMG!B:B,DeparaIMG!D:D,,0)</f>
        <v>CORCEROLN.png</v>
      </c>
    </row>
    <row r="566" spans="1:9" x14ac:dyDescent="0.25">
      <c r="A566" s="2" t="s">
        <v>106</v>
      </c>
      <c r="B566" s="2" t="s">
        <v>63</v>
      </c>
      <c r="C566" t="s">
        <v>91</v>
      </c>
      <c r="D566" t="s">
        <v>26</v>
      </c>
      <c r="E566" s="2">
        <v>1</v>
      </c>
      <c r="F566" t="s">
        <v>87</v>
      </c>
      <c r="G566">
        <v>7.99</v>
      </c>
      <c r="H566">
        <v>6.99</v>
      </c>
      <c r="I566" s="2" t="str">
        <f>_xlfn.XLOOKUP(F566,DeparaIMG!B:B,DeparaIMG!D:D,,0)</f>
        <v>CORCEROLN.png</v>
      </c>
    </row>
    <row r="567" spans="1:9" x14ac:dyDescent="0.25">
      <c r="A567" s="2" t="s">
        <v>106</v>
      </c>
      <c r="B567" s="2" t="s">
        <v>63</v>
      </c>
      <c r="C567" t="s">
        <v>90</v>
      </c>
      <c r="D567" t="s">
        <v>25</v>
      </c>
      <c r="E567" s="2">
        <v>1</v>
      </c>
      <c r="F567" t="s">
        <v>87</v>
      </c>
      <c r="G567">
        <v>7.99</v>
      </c>
      <c r="H567">
        <v>6.99</v>
      </c>
      <c r="I567" s="2" t="str">
        <f>_xlfn.XLOOKUP(F567,DeparaIMG!B:B,DeparaIMG!D:D,,0)</f>
        <v>CORCEROLN.png</v>
      </c>
    </row>
    <row r="568" spans="1:9" x14ac:dyDescent="0.25">
      <c r="A568" s="2" t="s">
        <v>106</v>
      </c>
      <c r="B568" s="2" t="s">
        <v>63</v>
      </c>
      <c r="C568" t="s">
        <v>91</v>
      </c>
      <c r="D568" t="s">
        <v>25</v>
      </c>
      <c r="E568" s="2">
        <v>1</v>
      </c>
      <c r="F568" t="s">
        <v>87</v>
      </c>
      <c r="G568">
        <v>7.99</v>
      </c>
      <c r="H568">
        <v>6.99</v>
      </c>
      <c r="I568" s="2" t="str">
        <f>_xlfn.XLOOKUP(F568,DeparaIMG!B:B,DeparaIMG!D:D,,0)</f>
        <v>CORCEROLN.png</v>
      </c>
    </row>
    <row r="569" spans="1:9" x14ac:dyDescent="0.25">
      <c r="A569" s="2" t="s">
        <v>106</v>
      </c>
      <c r="B569" s="2" t="s">
        <v>63</v>
      </c>
      <c r="C569" t="s">
        <v>28</v>
      </c>
      <c r="D569" t="s">
        <v>25</v>
      </c>
      <c r="E569" s="2">
        <v>1</v>
      </c>
      <c r="F569" t="s">
        <v>86</v>
      </c>
      <c r="G569">
        <v>7.99</v>
      </c>
      <c r="H569">
        <v>6.99</v>
      </c>
      <c r="I569" s="2" t="str">
        <f>_xlfn.XLOOKUP(F569,DeparaIMG!B:B,DeparaIMG!D:D,,0)</f>
        <v>CORLN.png</v>
      </c>
    </row>
    <row r="570" spans="1:9" x14ac:dyDescent="0.25">
      <c r="A570" s="2" t="s">
        <v>106</v>
      </c>
      <c r="B570" s="2" t="s">
        <v>63</v>
      </c>
      <c r="C570" t="s">
        <v>28</v>
      </c>
      <c r="D570" t="s">
        <v>26</v>
      </c>
      <c r="E570" s="2">
        <v>1</v>
      </c>
      <c r="F570" t="s">
        <v>86</v>
      </c>
      <c r="G570">
        <v>7.99</v>
      </c>
      <c r="H570">
        <v>6.99</v>
      </c>
      <c r="I570" s="2" t="str">
        <f>_xlfn.XLOOKUP(F570,DeparaIMG!B:B,DeparaIMG!D:D,,0)</f>
        <v>CORLN.png</v>
      </c>
    </row>
    <row r="571" spans="1:9" x14ac:dyDescent="0.25">
      <c r="A571" s="2" t="s">
        <v>106</v>
      </c>
      <c r="B571" s="2" t="s">
        <v>63</v>
      </c>
      <c r="C571" t="s">
        <v>29</v>
      </c>
      <c r="D571" t="s">
        <v>25</v>
      </c>
      <c r="E571" s="2">
        <v>1</v>
      </c>
      <c r="F571" t="s">
        <v>86</v>
      </c>
      <c r="G571">
        <v>7.99</v>
      </c>
      <c r="H571">
        <v>6.99</v>
      </c>
      <c r="I571" s="2" t="str">
        <f>_xlfn.XLOOKUP(F571,DeparaIMG!B:B,DeparaIMG!D:D,,0)</f>
        <v>CORLN.png</v>
      </c>
    </row>
    <row r="572" spans="1:9" x14ac:dyDescent="0.25">
      <c r="A572" s="2" t="s">
        <v>106</v>
      </c>
      <c r="B572" s="2" t="s">
        <v>63</v>
      </c>
      <c r="C572" t="s">
        <v>29</v>
      </c>
      <c r="D572" t="s">
        <v>26</v>
      </c>
      <c r="E572" s="2">
        <v>1</v>
      </c>
      <c r="F572" t="s">
        <v>86</v>
      </c>
      <c r="G572">
        <v>7.99</v>
      </c>
      <c r="H572">
        <v>6.99</v>
      </c>
      <c r="I572" s="2" t="str">
        <f>_xlfn.XLOOKUP(F572,DeparaIMG!B:B,DeparaIMG!D:D,,0)</f>
        <v>CORLN.png</v>
      </c>
    </row>
    <row r="573" spans="1:9" x14ac:dyDescent="0.25">
      <c r="A573" s="2" t="s">
        <v>106</v>
      </c>
      <c r="B573" s="2" t="s">
        <v>63</v>
      </c>
      <c r="C573" t="s">
        <v>88</v>
      </c>
      <c r="D573" t="s">
        <v>25</v>
      </c>
      <c r="E573" s="2">
        <v>1</v>
      </c>
      <c r="F573" t="s">
        <v>86</v>
      </c>
      <c r="G573">
        <v>7.99</v>
      </c>
      <c r="H573">
        <v>6.99</v>
      </c>
      <c r="I573" s="2" t="str">
        <f>_xlfn.XLOOKUP(F573,DeparaIMG!B:B,DeparaIMG!D:D,,0)</f>
        <v>CORLN.png</v>
      </c>
    </row>
    <row r="574" spans="1:9" x14ac:dyDescent="0.25">
      <c r="A574" s="2" t="s">
        <v>106</v>
      </c>
      <c r="B574" s="2" t="s">
        <v>63</v>
      </c>
      <c r="C574" t="s">
        <v>88</v>
      </c>
      <c r="D574" t="s">
        <v>26</v>
      </c>
      <c r="E574" s="2">
        <v>1</v>
      </c>
      <c r="F574" t="s">
        <v>86</v>
      </c>
      <c r="G574">
        <v>7.99</v>
      </c>
      <c r="H574">
        <v>6.99</v>
      </c>
      <c r="I574" s="2" t="str">
        <f>_xlfn.XLOOKUP(F574,DeparaIMG!B:B,DeparaIMG!D:D,,0)</f>
        <v>CORLN.png</v>
      </c>
    </row>
    <row r="575" spans="1:9" x14ac:dyDescent="0.25">
      <c r="A575" s="2" t="s">
        <v>106</v>
      </c>
      <c r="B575" s="2" t="s">
        <v>63</v>
      </c>
      <c r="C575" t="s">
        <v>89</v>
      </c>
      <c r="D575" t="s">
        <v>26</v>
      </c>
      <c r="E575" s="2">
        <v>1</v>
      </c>
      <c r="F575" t="s">
        <v>86</v>
      </c>
      <c r="G575">
        <v>7.99</v>
      </c>
      <c r="H575">
        <v>6.99</v>
      </c>
      <c r="I575" s="2" t="str">
        <f>_xlfn.XLOOKUP(F575,DeparaIMG!B:B,DeparaIMG!D:D,,0)</f>
        <v>CORLN.png</v>
      </c>
    </row>
    <row r="576" spans="1:9" x14ac:dyDescent="0.25">
      <c r="A576" s="2" t="s">
        <v>106</v>
      </c>
      <c r="B576" s="2" t="s">
        <v>63</v>
      </c>
      <c r="C576" t="s">
        <v>4</v>
      </c>
      <c r="D576" t="s">
        <v>25</v>
      </c>
      <c r="E576" s="2">
        <v>1</v>
      </c>
      <c r="F576" t="s">
        <v>86</v>
      </c>
      <c r="G576">
        <v>7.99</v>
      </c>
      <c r="H576">
        <v>6.99</v>
      </c>
      <c r="I576" s="2" t="str">
        <f>_xlfn.XLOOKUP(F576,DeparaIMG!B:B,DeparaIMG!D:D,,0)</f>
        <v>CORLN.png</v>
      </c>
    </row>
    <row r="577" spans="1:9" x14ac:dyDescent="0.25">
      <c r="A577" s="2" t="s">
        <v>106</v>
      </c>
      <c r="B577" s="2" t="s">
        <v>63</v>
      </c>
      <c r="C577" t="s">
        <v>28</v>
      </c>
      <c r="D577" t="s">
        <v>25</v>
      </c>
      <c r="E577" s="2">
        <v>1</v>
      </c>
      <c r="F577" t="s">
        <v>87</v>
      </c>
      <c r="G577">
        <v>7.99</v>
      </c>
      <c r="H577">
        <v>6.99</v>
      </c>
      <c r="I577" s="2" t="str">
        <f>_xlfn.XLOOKUP(F577,DeparaIMG!B:B,DeparaIMG!D:D,,0)</f>
        <v>CORCEROLN.png</v>
      </c>
    </row>
    <row r="578" spans="1:9" x14ac:dyDescent="0.25">
      <c r="A578" s="2" t="s">
        <v>106</v>
      </c>
      <c r="B578" s="2" t="s">
        <v>63</v>
      </c>
      <c r="C578" t="s">
        <v>28</v>
      </c>
      <c r="D578" t="s">
        <v>26</v>
      </c>
      <c r="E578" s="2">
        <v>1</v>
      </c>
      <c r="F578" t="s">
        <v>87</v>
      </c>
      <c r="G578">
        <v>7.99</v>
      </c>
      <c r="H578">
        <v>6.99</v>
      </c>
      <c r="I578" s="2" t="str">
        <f>_xlfn.XLOOKUP(F578,DeparaIMG!B:B,DeparaIMG!D:D,,0)</f>
        <v>CORCEROLN.png</v>
      </c>
    </row>
    <row r="579" spans="1:9" x14ac:dyDescent="0.25">
      <c r="A579" s="2" t="s">
        <v>106</v>
      </c>
      <c r="B579" s="2" t="s">
        <v>63</v>
      </c>
      <c r="C579" t="s">
        <v>29</v>
      </c>
      <c r="D579" t="s">
        <v>25</v>
      </c>
      <c r="E579" s="2">
        <v>1</v>
      </c>
      <c r="F579" t="s">
        <v>87</v>
      </c>
      <c r="G579">
        <v>7.99</v>
      </c>
      <c r="H579">
        <v>6.99</v>
      </c>
      <c r="I579" s="2" t="str">
        <f>_xlfn.XLOOKUP(F579,DeparaIMG!B:B,DeparaIMG!D:D,,0)</f>
        <v>CORCEROLN.png</v>
      </c>
    </row>
    <row r="580" spans="1:9" x14ac:dyDescent="0.25">
      <c r="A580" s="2" t="s">
        <v>106</v>
      </c>
      <c r="B580" s="2" t="s">
        <v>63</v>
      </c>
      <c r="C580" t="s">
        <v>29</v>
      </c>
      <c r="D580" t="s">
        <v>26</v>
      </c>
      <c r="E580" s="2">
        <v>1</v>
      </c>
      <c r="F580" t="s">
        <v>87</v>
      </c>
      <c r="G580">
        <v>7.99</v>
      </c>
      <c r="H580">
        <v>6.99</v>
      </c>
      <c r="I580" s="2" t="str">
        <f>_xlfn.XLOOKUP(F580,DeparaIMG!B:B,DeparaIMG!D:D,,0)</f>
        <v>CORCEROLN.png</v>
      </c>
    </row>
    <row r="581" spans="1:9" x14ac:dyDescent="0.25">
      <c r="A581" s="2" t="s">
        <v>106</v>
      </c>
      <c r="B581" s="2" t="s">
        <v>63</v>
      </c>
      <c r="C581" t="s">
        <v>88</v>
      </c>
      <c r="D581" t="s">
        <v>25</v>
      </c>
      <c r="E581" s="2">
        <v>1</v>
      </c>
      <c r="F581" t="s">
        <v>87</v>
      </c>
      <c r="G581">
        <v>7.99</v>
      </c>
      <c r="H581">
        <v>6.99</v>
      </c>
      <c r="I581" s="2" t="str">
        <f>_xlfn.XLOOKUP(F581,DeparaIMG!B:B,DeparaIMG!D:D,,0)</f>
        <v>CORCEROLN.png</v>
      </c>
    </row>
    <row r="582" spans="1:9" x14ac:dyDescent="0.25">
      <c r="A582" s="2" t="s">
        <v>106</v>
      </c>
      <c r="B582" s="2" t="s">
        <v>63</v>
      </c>
      <c r="C582" t="s">
        <v>88</v>
      </c>
      <c r="D582" t="s">
        <v>26</v>
      </c>
      <c r="E582" s="2">
        <v>1</v>
      </c>
      <c r="F582" t="s">
        <v>87</v>
      </c>
      <c r="G582">
        <v>7.99</v>
      </c>
      <c r="H582">
        <v>6.99</v>
      </c>
      <c r="I582" s="2" t="str">
        <f>_xlfn.XLOOKUP(F582,DeparaIMG!B:B,DeparaIMG!D:D,,0)</f>
        <v>CORCEROLN.png</v>
      </c>
    </row>
    <row r="583" spans="1:9" x14ac:dyDescent="0.25">
      <c r="A583" s="2" t="s">
        <v>106</v>
      </c>
      <c r="B583" s="2" t="s">
        <v>63</v>
      </c>
      <c r="C583" t="s">
        <v>89</v>
      </c>
      <c r="D583" t="s">
        <v>26</v>
      </c>
      <c r="E583" s="2">
        <v>1</v>
      </c>
      <c r="F583" t="s">
        <v>87</v>
      </c>
      <c r="G583">
        <v>7.99</v>
      </c>
      <c r="H583">
        <v>6.99</v>
      </c>
      <c r="I583" s="2" t="str">
        <f>_xlfn.XLOOKUP(F583,DeparaIMG!B:B,DeparaIMG!D:D,,0)</f>
        <v>CORCEROLN.png</v>
      </c>
    </row>
    <row r="584" spans="1:9" x14ac:dyDescent="0.25">
      <c r="A584" s="2" t="s">
        <v>106</v>
      </c>
      <c r="B584" s="2" t="s">
        <v>63</v>
      </c>
      <c r="C584" t="s">
        <v>4</v>
      </c>
      <c r="D584" t="s">
        <v>25</v>
      </c>
      <c r="E584" s="2">
        <v>1</v>
      </c>
      <c r="F584" t="s">
        <v>87</v>
      </c>
      <c r="G584">
        <v>7.99</v>
      </c>
      <c r="H584">
        <v>6.99</v>
      </c>
      <c r="I584" s="2" t="str">
        <f>_xlfn.XLOOKUP(F584,DeparaIMG!B:B,DeparaIMG!D:D,,0)</f>
        <v>CORCEROLN.png</v>
      </c>
    </row>
    <row r="585" spans="1:9" x14ac:dyDescent="0.25">
      <c r="A585" s="2" t="s">
        <v>102</v>
      </c>
      <c r="B585" s="2" t="s">
        <v>63</v>
      </c>
      <c r="C585" t="s">
        <v>29</v>
      </c>
      <c r="D585" t="s">
        <v>25</v>
      </c>
      <c r="E585" s="2">
        <v>1</v>
      </c>
      <c r="F585" t="s">
        <v>69</v>
      </c>
      <c r="G585">
        <v>3.09</v>
      </c>
      <c r="H585">
        <v>2.79</v>
      </c>
      <c r="I585" s="2" t="str">
        <f>_xlfn.XLOOKUP(F585,DeparaIMG!B:B,DeparaIMG!D:D,,0)</f>
        <v>BC269.png</v>
      </c>
    </row>
    <row r="586" spans="1:9" x14ac:dyDescent="0.25">
      <c r="A586" s="2" t="s">
        <v>102</v>
      </c>
      <c r="B586" s="2" t="s">
        <v>63</v>
      </c>
      <c r="C586" t="s">
        <v>88</v>
      </c>
      <c r="D586" t="s">
        <v>25</v>
      </c>
      <c r="E586" s="2">
        <v>2</v>
      </c>
      <c r="F586" t="s">
        <v>67</v>
      </c>
      <c r="G586">
        <v>2.99</v>
      </c>
      <c r="H586">
        <v>2.69</v>
      </c>
      <c r="I586" s="2" t="str">
        <f>_xlfn.XLOOKUP(F586,DeparaIMG!B:B,DeparaIMG!D:D,,0)</f>
        <v>SK269.png</v>
      </c>
    </row>
    <row r="587" spans="1:9" x14ac:dyDescent="0.25">
      <c r="A587" s="2" t="s">
        <v>102</v>
      </c>
      <c r="B587" s="2" t="s">
        <v>63</v>
      </c>
      <c r="C587" t="s">
        <v>88</v>
      </c>
      <c r="D587" t="s">
        <v>26</v>
      </c>
      <c r="E587" s="2">
        <v>2</v>
      </c>
      <c r="F587" t="s">
        <v>67</v>
      </c>
      <c r="G587">
        <v>2.99</v>
      </c>
      <c r="H587">
        <v>2.69</v>
      </c>
      <c r="I587" s="2" t="str">
        <f>_xlfn.XLOOKUP(F587,DeparaIMG!B:B,DeparaIMG!D:D,,0)</f>
        <v>SK269.png</v>
      </c>
    </row>
    <row r="588" spans="1:9" x14ac:dyDescent="0.25">
      <c r="A588" s="2" t="s">
        <v>102</v>
      </c>
      <c r="B588" s="2" t="s">
        <v>63</v>
      </c>
      <c r="C588" t="s">
        <v>90</v>
      </c>
      <c r="D588" t="s">
        <v>25</v>
      </c>
      <c r="E588" s="2">
        <v>1</v>
      </c>
      <c r="F588" t="s">
        <v>69</v>
      </c>
      <c r="G588">
        <v>3.09</v>
      </c>
      <c r="H588">
        <v>2.79</v>
      </c>
      <c r="I588" s="2" t="str">
        <f>_xlfn.XLOOKUP(F588,DeparaIMG!B:B,DeparaIMG!D:D,,0)</f>
        <v>BC269.png</v>
      </c>
    </row>
    <row r="589" spans="1:9" x14ac:dyDescent="0.25">
      <c r="A589" s="2" t="s">
        <v>102</v>
      </c>
      <c r="B589" s="2" t="s">
        <v>63</v>
      </c>
      <c r="C589" t="s">
        <v>90</v>
      </c>
      <c r="D589" t="s">
        <v>26</v>
      </c>
      <c r="E589" s="2">
        <v>1</v>
      </c>
      <c r="F589" t="s">
        <v>69</v>
      </c>
      <c r="G589">
        <v>3.09</v>
      </c>
      <c r="H589">
        <v>2.79</v>
      </c>
      <c r="I589" s="2" t="str">
        <f>_xlfn.XLOOKUP(F589,DeparaIMG!B:B,DeparaIMG!D:D,,0)</f>
        <v>BC269.png</v>
      </c>
    </row>
    <row r="590" spans="1:9" x14ac:dyDescent="0.25">
      <c r="A590" s="2" t="s">
        <v>102</v>
      </c>
      <c r="B590" s="2" t="s">
        <v>63</v>
      </c>
      <c r="C590" t="s">
        <v>28</v>
      </c>
      <c r="D590" t="s">
        <v>25</v>
      </c>
      <c r="E590" s="2">
        <v>2</v>
      </c>
      <c r="F590" t="s">
        <v>68</v>
      </c>
      <c r="G590">
        <v>3.19</v>
      </c>
      <c r="H590">
        <v>2.89</v>
      </c>
      <c r="I590" s="2" t="str">
        <f>_xlfn.XLOOKUP(F590,DeparaIMG!B:B,DeparaIMG!D:D,,0)</f>
        <v>AP269.png</v>
      </c>
    </row>
    <row r="591" spans="1:9" x14ac:dyDescent="0.25">
      <c r="A591" s="2" t="s">
        <v>102</v>
      </c>
      <c r="B591" s="2" t="s">
        <v>63</v>
      </c>
      <c r="C591" t="s">
        <v>29</v>
      </c>
      <c r="D591" t="s">
        <v>25</v>
      </c>
      <c r="E591" s="2">
        <v>2</v>
      </c>
      <c r="F591" t="s">
        <v>68</v>
      </c>
      <c r="G591">
        <v>3.19</v>
      </c>
      <c r="H591">
        <v>2.89</v>
      </c>
      <c r="I591" s="2" t="str">
        <f>_xlfn.XLOOKUP(F591,DeparaIMG!B:B,DeparaIMG!D:D,,0)</f>
        <v>AP269.png</v>
      </c>
    </row>
    <row r="592" spans="1:9" x14ac:dyDescent="0.25">
      <c r="A592" s="2" t="s">
        <v>102</v>
      </c>
      <c r="B592" s="2" t="s">
        <v>63</v>
      </c>
      <c r="C592" t="s">
        <v>28</v>
      </c>
      <c r="D592" t="s">
        <v>25</v>
      </c>
      <c r="E592" s="2">
        <v>1</v>
      </c>
      <c r="F592" t="s">
        <v>69</v>
      </c>
      <c r="G592">
        <v>3.09</v>
      </c>
      <c r="H592">
        <v>2.79</v>
      </c>
      <c r="I592" s="2" t="str">
        <f>_xlfn.XLOOKUP(F592,DeparaIMG!B:B,DeparaIMG!D:D,,0)</f>
        <v>BC269.png</v>
      </c>
    </row>
    <row r="593" spans="1:9" x14ac:dyDescent="0.25">
      <c r="A593" s="2" t="s">
        <v>102</v>
      </c>
      <c r="B593" s="2" t="s">
        <v>63</v>
      </c>
      <c r="C593" t="s">
        <v>28</v>
      </c>
      <c r="D593" t="s">
        <v>26</v>
      </c>
      <c r="E593" s="2">
        <v>1</v>
      </c>
      <c r="F593" t="s">
        <v>69</v>
      </c>
      <c r="G593">
        <v>3.09</v>
      </c>
      <c r="H593">
        <v>2.79</v>
      </c>
      <c r="I593" s="2" t="str">
        <f>_xlfn.XLOOKUP(F593,DeparaIMG!B:B,DeparaIMG!D:D,,0)</f>
        <v>BC269.png</v>
      </c>
    </row>
    <row r="594" spans="1:9" x14ac:dyDescent="0.25">
      <c r="A594" s="2" t="s">
        <v>102</v>
      </c>
      <c r="B594" s="2" t="s">
        <v>63</v>
      </c>
      <c r="C594" t="s">
        <v>88</v>
      </c>
      <c r="D594" t="s">
        <v>25</v>
      </c>
      <c r="E594" s="2">
        <v>1</v>
      </c>
      <c r="F594" t="s">
        <v>69</v>
      </c>
      <c r="G594">
        <v>3.09</v>
      </c>
      <c r="H594">
        <v>2.79</v>
      </c>
      <c r="I594" s="2" t="str">
        <f>_xlfn.XLOOKUP(F594,DeparaIMG!B:B,DeparaIMG!D:D,,0)</f>
        <v>BC269.png</v>
      </c>
    </row>
    <row r="595" spans="1:9" x14ac:dyDescent="0.25">
      <c r="A595" s="2" t="s">
        <v>102</v>
      </c>
      <c r="B595" s="2" t="s">
        <v>63</v>
      </c>
      <c r="C595" t="s">
        <v>88</v>
      </c>
      <c r="D595" t="s">
        <v>26</v>
      </c>
      <c r="E595" s="2">
        <v>1</v>
      </c>
      <c r="F595" t="s">
        <v>69</v>
      </c>
      <c r="G595">
        <v>3.09</v>
      </c>
      <c r="H595">
        <v>2.79</v>
      </c>
      <c r="I595" s="2" t="str">
        <f>_xlfn.XLOOKUP(F595,DeparaIMG!B:B,DeparaIMG!D:D,,0)</f>
        <v>BC269.png</v>
      </c>
    </row>
    <row r="596" spans="1:9" x14ac:dyDescent="0.25">
      <c r="A596" s="2" t="s">
        <v>102</v>
      </c>
      <c r="B596" s="2" t="s">
        <v>63</v>
      </c>
      <c r="C596" t="s">
        <v>4</v>
      </c>
      <c r="D596" t="s">
        <v>25</v>
      </c>
      <c r="E596" s="2">
        <v>1</v>
      </c>
      <c r="F596" t="s">
        <v>69</v>
      </c>
      <c r="G596">
        <v>3.09</v>
      </c>
      <c r="H596">
        <v>2.79</v>
      </c>
      <c r="I596" s="2" t="str">
        <f>_xlfn.XLOOKUP(F596,DeparaIMG!B:B,DeparaIMG!D:D,,0)</f>
        <v>BC269.png</v>
      </c>
    </row>
    <row r="597" spans="1:9" x14ac:dyDescent="0.25">
      <c r="A597" s="2" t="s">
        <v>102</v>
      </c>
      <c r="B597" s="2" t="s">
        <v>63</v>
      </c>
      <c r="C597" t="s">
        <v>4</v>
      </c>
      <c r="D597" t="s">
        <v>25</v>
      </c>
      <c r="E597" s="2">
        <v>2</v>
      </c>
      <c r="F597" t="s">
        <v>67</v>
      </c>
      <c r="G597">
        <v>3.19</v>
      </c>
      <c r="H597">
        <v>2.89</v>
      </c>
      <c r="I597" s="2" t="str">
        <f>_xlfn.XLOOKUP(F597,DeparaIMG!B:B,DeparaIMG!D:D,,0)</f>
        <v>SK269.png</v>
      </c>
    </row>
    <row r="598" spans="1:9" x14ac:dyDescent="0.25">
      <c r="A598" s="2" t="s">
        <v>102</v>
      </c>
      <c r="B598" s="2" t="s">
        <v>63</v>
      </c>
      <c r="C598" t="s">
        <v>4</v>
      </c>
      <c r="D598" t="s">
        <v>26</v>
      </c>
      <c r="E598" s="2">
        <v>2</v>
      </c>
      <c r="F598" t="s">
        <v>67</v>
      </c>
      <c r="G598">
        <v>3.19</v>
      </c>
      <c r="H598">
        <v>2.89</v>
      </c>
      <c r="I598" s="2" t="str">
        <f>_xlfn.XLOOKUP(F598,DeparaIMG!B:B,DeparaIMG!D:D,,0)</f>
        <v>SK269.png</v>
      </c>
    </row>
    <row r="599" spans="1:9" x14ac:dyDescent="0.25">
      <c r="A599" s="2" t="s">
        <v>102</v>
      </c>
      <c r="B599" s="2" t="s">
        <v>63</v>
      </c>
      <c r="C599" t="s">
        <v>89</v>
      </c>
      <c r="D599" t="s">
        <v>25</v>
      </c>
      <c r="E599" s="2">
        <v>2</v>
      </c>
      <c r="F599" t="s">
        <v>67</v>
      </c>
      <c r="G599">
        <v>3.19</v>
      </c>
      <c r="H599">
        <v>2.89</v>
      </c>
      <c r="I599" s="2" t="str">
        <f>_xlfn.XLOOKUP(F599,DeparaIMG!B:B,DeparaIMG!D:D,,0)</f>
        <v>SK269.png</v>
      </c>
    </row>
    <row r="600" spans="1:9" x14ac:dyDescent="0.25">
      <c r="A600" s="2" t="s">
        <v>102</v>
      </c>
      <c r="B600" s="2" t="s">
        <v>63</v>
      </c>
      <c r="C600" t="s">
        <v>89</v>
      </c>
      <c r="D600" t="s">
        <v>25</v>
      </c>
      <c r="E600" s="2">
        <v>1</v>
      </c>
      <c r="F600" t="s">
        <v>69</v>
      </c>
      <c r="G600">
        <v>3.19</v>
      </c>
      <c r="H600">
        <v>2.89</v>
      </c>
      <c r="I600" s="2" t="str">
        <f>_xlfn.XLOOKUP(F600,DeparaIMG!B:B,DeparaIMG!D:D,,0)</f>
        <v>BC269.png</v>
      </c>
    </row>
    <row r="601" spans="1:9" x14ac:dyDescent="0.25">
      <c r="A601" s="2" t="s">
        <v>102</v>
      </c>
      <c r="B601" s="2" t="s">
        <v>63</v>
      </c>
      <c r="C601" t="s">
        <v>89</v>
      </c>
      <c r="D601" t="s">
        <v>26</v>
      </c>
      <c r="E601" s="2">
        <v>1</v>
      </c>
      <c r="F601" t="s">
        <v>69</v>
      </c>
      <c r="G601">
        <v>3.19</v>
      </c>
      <c r="H601">
        <v>2.89</v>
      </c>
      <c r="I601" s="2" t="str">
        <f>_xlfn.XLOOKUP(F601,DeparaIMG!B:B,DeparaIMG!D:D,,0)</f>
        <v>BC269.png</v>
      </c>
    </row>
    <row r="602" spans="1:9" x14ac:dyDescent="0.25">
      <c r="A602" s="2" t="s">
        <v>102</v>
      </c>
      <c r="B602" s="2" t="s">
        <v>63</v>
      </c>
      <c r="C602" t="s">
        <v>89</v>
      </c>
      <c r="D602" t="s">
        <v>26</v>
      </c>
      <c r="E602" s="2">
        <v>2</v>
      </c>
      <c r="F602" t="s">
        <v>67</v>
      </c>
      <c r="G602">
        <v>3.19</v>
      </c>
      <c r="H602">
        <v>2.89</v>
      </c>
      <c r="I602" s="2" t="str">
        <f>_xlfn.XLOOKUP(F602,DeparaIMG!B:B,DeparaIMG!D:D,,0)</f>
        <v>SK269.png</v>
      </c>
    </row>
    <row r="603" spans="1:9" x14ac:dyDescent="0.25">
      <c r="A603" s="2" t="s">
        <v>102</v>
      </c>
      <c r="B603" s="2" t="s">
        <v>63</v>
      </c>
      <c r="C603" t="s">
        <v>90</v>
      </c>
      <c r="D603" t="s">
        <v>25</v>
      </c>
      <c r="E603" s="2">
        <v>2</v>
      </c>
      <c r="F603" t="s">
        <v>67</v>
      </c>
      <c r="G603">
        <v>3.29</v>
      </c>
      <c r="H603">
        <v>2.99</v>
      </c>
      <c r="I603" s="2" t="str">
        <f>_xlfn.XLOOKUP(F603,DeparaIMG!B:B,DeparaIMG!D:D,,0)</f>
        <v>SK269.png</v>
      </c>
    </row>
    <row r="604" spans="1:9" x14ac:dyDescent="0.25">
      <c r="A604" s="2" t="s">
        <v>102</v>
      </c>
      <c r="B604" s="2" t="s">
        <v>63</v>
      </c>
      <c r="C604" t="s">
        <v>91</v>
      </c>
      <c r="D604" t="s">
        <v>25</v>
      </c>
      <c r="E604" s="2">
        <v>2</v>
      </c>
      <c r="F604" t="s">
        <v>67</v>
      </c>
      <c r="G604">
        <v>3.29</v>
      </c>
      <c r="H604">
        <v>2.99</v>
      </c>
      <c r="I604" s="2" t="str">
        <f>_xlfn.XLOOKUP(F604,DeparaIMG!B:B,DeparaIMG!D:D,,0)</f>
        <v>SK269.png</v>
      </c>
    </row>
    <row r="605" spans="1:9" x14ac:dyDescent="0.25">
      <c r="A605" s="2" t="s">
        <v>102</v>
      </c>
      <c r="B605" s="2" t="s">
        <v>63</v>
      </c>
      <c r="C605" t="s">
        <v>91</v>
      </c>
      <c r="D605" t="s">
        <v>25</v>
      </c>
      <c r="E605" s="2">
        <v>2</v>
      </c>
      <c r="F605" t="s">
        <v>68</v>
      </c>
      <c r="G605">
        <v>3.39</v>
      </c>
      <c r="H605">
        <v>2.99</v>
      </c>
      <c r="I605" s="2" t="str">
        <f>_xlfn.XLOOKUP(F605,DeparaIMG!B:B,DeparaIMG!D:D,,0)</f>
        <v>AP269.png</v>
      </c>
    </row>
    <row r="606" spans="1:9" x14ac:dyDescent="0.25">
      <c r="A606" s="2" t="s">
        <v>102</v>
      </c>
      <c r="B606" s="2" t="s">
        <v>63</v>
      </c>
      <c r="C606" t="s">
        <v>91</v>
      </c>
      <c r="D606" t="s">
        <v>26</v>
      </c>
      <c r="E606" s="2">
        <v>2</v>
      </c>
      <c r="F606" t="s">
        <v>68</v>
      </c>
      <c r="G606">
        <v>3.39</v>
      </c>
      <c r="H606">
        <v>2.99</v>
      </c>
      <c r="I606" s="2" t="str">
        <f>_xlfn.XLOOKUP(F606,DeparaIMG!B:B,DeparaIMG!D:D,,0)</f>
        <v>AP269.png</v>
      </c>
    </row>
    <row r="607" spans="1:9" x14ac:dyDescent="0.25">
      <c r="A607" s="2" t="s">
        <v>102</v>
      </c>
      <c r="B607" s="2" t="s">
        <v>63</v>
      </c>
      <c r="C607" t="s">
        <v>90</v>
      </c>
      <c r="D607" t="s">
        <v>26</v>
      </c>
      <c r="E607" s="2">
        <v>2</v>
      </c>
      <c r="F607" t="s">
        <v>67</v>
      </c>
      <c r="G607">
        <v>3.29</v>
      </c>
      <c r="H607">
        <v>2.99</v>
      </c>
      <c r="I607" s="2" t="str">
        <f>_xlfn.XLOOKUP(F607,DeparaIMG!B:B,DeparaIMG!D:D,,0)</f>
        <v>SK269.png</v>
      </c>
    </row>
    <row r="608" spans="1:9" x14ac:dyDescent="0.25">
      <c r="A608" s="2" t="s">
        <v>102</v>
      </c>
      <c r="B608" s="2" t="s">
        <v>63</v>
      </c>
      <c r="C608" t="s">
        <v>91</v>
      </c>
      <c r="D608" t="s">
        <v>26</v>
      </c>
      <c r="E608" s="2">
        <v>2</v>
      </c>
      <c r="F608" t="s">
        <v>67</v>
      </c>
      <c r="G608">
        <v>3.29</v>
      </c>
      <c r="H608">
        <v>2.99</v>
      </c>
      <c r="I608" s="2" t="str">
        <f>_xlfn.XLOOKUP(F608,DeparaIMG!B:B,DeparaIMG!D:D,,0)</f>
        <v>SK269.png</v>
      </c>
    </row>
    <row r="609" spans="1:9" x14ac:dyDescent="0.25">
      <c r="A609" s="2" t="s">
        <v>102</v>
      </c>
      <c r="B609" s="2" t="s">
        <v>63</v>
      </c>
      <c r="C609" t="s">
        <v>28</v>
      </c>
      <c r="D609" t="s">
        <v>25</v>
      </c>
      <c r="E609" s="2">
        <v>1</v>
      </c>
      <c r="F609" t="s">
        <v>70</v>
      </c>
      <c r="G609">
        <v>3.39</v>
      </c>
      <c r="H609">
        <v>2.99</v>
      </c>
      <c r="I609" s="2" t="str">
        <f>_xlfn.XLOOKUP(F609,DeparaIMG!B:B,DeparaIMG!D:D,,0)</f>
        <v>BUD269.png</v>
      </c>
    </row>
    <row r="610" spans="1:9" x14ac:dyDescent="0.25">
      <c r="A610" s="2" t="s">
        <v>102</v>
      </c>
      <c r="B610" s="2" t="s">
        <v>63</v>
      </c>
      <c r="C610" t="s">
        <v>29</v>
      </c>
      <c r="D610" t="s">
        <v>25</v>
      </c>
      <c r="E610" s="2">
        <v>1</v>
      </c>
      <c r="F610" t="s">
        <v>70</v>
      </c>
      <c r="G610">
        <v>3.39</v>
      </c>
      <c r="H610">
        <v>2.99</v>
      </c>
      <c r="I610" s="2" t="str">
        <f>_xlfn.XLOOKUP(F610,DeparaIMG!B:B,DeparaIMG!D:D,,0)</f>
        <v>BUD269.png</v>
      </c>
    </row>
    <row r="611" spans="1:9" x14ac:dyDescent="0.25">
      <c r="A611" s="2" t="s">
        <v>102</v>
      </c>
      <c r="B611" s="2" t="s">
        <v>63</v>
      </c>
      <c r="C611" t="s">
        <v>88</v>
      </c>
      <c r="D611" t="s">
        <v>25</v>
      </c>
      <c r="E611" s="2">
        <v>1</v>
      </c>
      <c r="F611" t="s">
        <v>70</v>
      </c>
      <c r="G611">
        <v>3.39</v>
      </c>
      <c r="H611">
        <v>2.99</v>
      </c>
      <c r="I611" s="2" t="str">
        <f>_xlfn.XLOOKUP(F611,DeparaIMG!B:B,DeparaIMG!D:D,,0)</f>
        <v>BUD269.png</v>
      </c>
    </row>
    <row r="612" spans="1:9" x14ac:dyDescent="0.25">
      <c r="A612" s="2" t="s">
        <v>102</v>
      </c>
      <c r="B612" s="2" t="s">
        <v>63</v>
      </c>
      <c r="C612" t="s">
        <v>88</v>
      </c>
      <c r="D612" t="s">
        <v>26</v>
      </c>
      <c r="E612" s="2">
        <v>1</v>
      </c>
      <c r="F612" t="s">
        <v>70</v>
      </c>
      <c r="G612">
        <v>3.39</v>
      </c>
      <c r="H612">
        <v>2.99</v>
      </c>
      <c r="I612" s="2" t="str">
        <f>_xlfn.XLOOKUP(F612,DeparaIMG!B:B,DeparaIMG!D:D,,0)</f>
        <v>BUD269.png</v>
      </c>
    </row>
    <row r="613" spans="1:9" x14ac:dyDescent="0.25">
      <c r="A613" s="2" t="s">
        <v>102</v>
      </c>
      <c r="B613" s="2" t="s">
        <v>63</v>
      </c>
      <c r="C613" t="s">
        <v>4</v>
      </c>
      <c r="D613" t="s">
        <v>25</v>
      </c>
      <c r="E613" s="2">
        <v>1</v>
      </c>
      <c r="F613" t="s">
        <v>70</v>
      </c>
      <c r="G613">
        <v>3.39</v>
      </c>
      <c r="H613">
        <v>2.99</v>
      </c>
      <c r="I613" s="2" t="str">
        <f>_xlfn.XLOOKUP(F613,DeparaIMG!B:B,DeparaIMG!D:D,,0)</f>
        <v>BUD269.png</v>
      </c>
    </row>
    <row r="614" spans="1:9" x14ac:dyDescent="0.25">
      <c r="A614" s="2" t="s">
        <v>102</v>
      </c>
      <c r="B614" s="2" t="s">
        <v>63</v>
      </c>
      <c r="C614" t="s">
        <v>89</v>
      </c>
      <c r="D614" t="s">
        <v>25</v>
      </c>
      <c r="E614" s="2">
        <v>1</v>
      </c>
      <c r="F614" t="s">
        <v>70</v>
      </c>
      <c r="G614">
        <v>3.49</v>
      </c>
      <c r="H614">
        <v>3.09</v>
      </c>
      <c r="I614" s="2" t="str">
        <f>_xlfn.XLOOKUP(F614,DeparaIMG!B:B,DeparaIMG!D:D,,0)</f>
        <v>BUD269.png</v>
      </c>
    </row>
    <row r="615" spans="1:9" x14ac:dyDescent="0.25">
      <c r="A615" s="2" t="s">
        <v>102</v>
      </c>
      <c r="B615" s="2" t="s">
        <v>63</v>
      </c>
      <c r="C615" t="s">
        <v>89</v>
      </c>
      <c r="D615" t="s">
        <v>26</v>
      </c>
      <c r="E615" s="2">
        <v>1</v>
      </c>
      <c r="F615" t="s">
        <v>70</v>
      </c>
      <c r="G615">
        <v>3.49</v>
      </c>
      <c r="H615">
        <v>3.09</v>
      </c>
      <c r="I615" s="2" t="str">
        <f>_xlfn.XLOOKUP(F615,DeparaIMG!B:B,DeparaIMG!D:D,,0)</f>
        <v>BUD269.png</v>
      </c>
    </row>
    <row r="616" spans="1:9" x14ac:dyDescent="0.25">
      <c r="A616" s="2" t="s">
        <v>102</v>
      </c>
      <c r="B616" s="2" t="s">
        <v>63</v>
      </c>
      <c r="C616" t="s">
        <v>90</v>
      </c>
      <c r="D616" t="s">
        <v>25</v>
      </c>
      <c r="E616" s="2">
        <v>1</v>
      </c>
      <c r="F616" t="s">
        <v>70</v>
      </c>
      <c r="G616">
        <v>3.49</v>
      </c>
      <c r="H616">
        <v>3.09</v>
      </c>
      <c r="I616" s="2" t="str">
        <f>_xlfn.XLOOKUP(F616,DeparaIMG!B:B,DeparaIMG!D:D,,0)</f>
        <v>BUD269.png</v>
      </c>
    </row>
    <row r="617" spans="1:9" x14ac:dyDescent="0.25">
      <c r="A617" s="2" t="s">
        <v>102</v>
      </c>
      <c r="B617" s="2" t="s">
        <v>63</v>
      </c>
      <c r="C617" t="s">
        <v>90</v>
      </c>
      <c r="D617" t="s">
        <v>26</v>
      </c>
      <c r="E617" s="2">
        <v>1</v>
      </c>
      <c r="F617" t="s">
        <v>70</v>
      </c>
      <c r="G617">
        <v>3.49</v>
      </c>
      <c r="H617">
        <v>3.09</v>
      </c>
      <c r="I617" s="2" t="str">
        <f>_xlfn.XLOOKUP(F617,DeparaIMG!B:B,DeparaIMG!D:D,,0)</f>
        <v>BUD269.png</v>
      </c>
    </row>
    <row r="618" spans="1:9" x14ac:dyDescent="0.25">
      <c r="A618" s="2" t="s">
        <v>102</v>
      </c>
      <c r="B618" s="2" t="s">
        <v>63</v>
      </c>
      <c r="C618" t="s">
        <v>91</v>
      </c>
      <c r="D618" t="s">
        <v>26</v>
      </c>
      <c r="E618" s="2">
        <v>1</v>
      </c>
      <c r="F618" t="s">
        <v>70</v>
      </c>
      <c r="G618">
        <v>3.49</v>
      </c>
      <c r="H618">
        <v>3.09</v>
      </c>
      <c r="I618" s="2" t="str">
        <f>_xlfn.XLOOKUP(F618,DeparaIMG!B:B,DeparaIMG!D:D,,0)</f>
        <v>BUD269.png</v>
      </c>
    </row>
    <row r="619" spans="1:9" x14ac:dyDescent="0.25">
      <c r="A619" s="2" t="s">
        <v>102</v>
      </c>
      <c r="B619" s="2" t="s">
        <v>63</v>
      </c>
      <c r="C619" t="s">
        <v>91</v>
      </c>
      <c r="D619" t="s">
        <v>25</v>
      </c>
      <c r="E619" s="2">
        <v>1</v>
      </c>
      <c r="F619" t="s">
        <v>70</v>
      </c>
      <c r="G619">
        <v>3.49</v>
      </c>
      <c r="H619">
        <v>3.09</v>
      </c>
      <c r="I619" s="2" t="str">
        <f>_xlfn.XLOOKUP(F619,DeparaIMG!B:B,DeparaIMG!D:D,,0)</f>
        <v>BUD269.png</v>
      </c>
    </row>
    <row r="620" spans="1:9" x14ac:dyDescent="0.25">
      <c r="A620" s="2" t="s">
        <v>102</v>
      </c>
      <c r="B620" s="2" t="s">
        <v>63</v>
      </c>
      <c r="C620" t="s">
        <v>4</v>
      </c>
      <c r="D620" t="s">
        <v>26</v>
      </c>
      <c r="E620" s="2">
        <v>1</v>
      </c>
      <c r="F620" t="s">
        <v>72</v>
      </c>
      <c r="G620">
        <v>3.59</v>
      </c>
      <c r="H620">
        <v>3.19</v>
      </c>
      <c r="I620" s="2" t="str">
        <f>_xlfn.XLOOKUP(F620,DeparaIMG!B:B,DeparaIMG!D:D,,0)</f>
        <v>BC350.png</v>
      </c>
    </row>
    <row r="621" spans="1:9" x14ac:dyDescent="0.25">
      <c r="A621" s="2" t="s">
        <v>102</v>
      </c>
      <c r="B621" s="2" t="s">
        <v>63</v>
      </c>
      <c r="C621" t="s">
        <v>28</v>
      </c>
      <c r="D621" t="s">
        <v>25</v>
      </c>
      <c r="E621" s="2">
        <v>1</v>
      </c>
      <c r="F621" t="s">
        <v>71</v>
      </c>
      <c r="G621">
        <v>3.69</v>
      </c>
      <c r="H621">
        <v>3.19</v>
      </c>
      <c r="I621" s="2" t="str">
        <f>_xlfn.XLOOKUP(F621,DeparaIMG!B:B,DeparaIMG!D:D,,0)</f>
        <v>BC0350.png</v>
      </c>
    </row>
    <row r="622" spans="1:9" x14ac:dyDescent="0.25">
      <c r="A622" s="2" t="s">
        <v>102</v>
      </c>
      <c r="B622" s="2" t="s">
        <v>63</v>
      </c>
      <c r="C622" t="s">
        <v>28</v>
      </c>
      <c r="D622" t="s">
        <v>25</v>
      </c>
      <c r="E622" s="2">
        <v>2</v>
      </c>
      <c r="F622" t="s">
        <v>71</v>
      </c>
      <c r="G622">
        <v>3.69</v>
      </c>
      <c r="H622">
        <v>3.19</v>
      </c>
      <c r="I622" s="2" t="str">
        <f>_xlfn.XLOOKUP(F622,DeparaIMG!B:B,DeparaIMG!D:D,,0)</f>
        <v>BC0350.png</v>
      </c>
    </row>
    <row r="623" spans="1:9" x14ac:dyDescent="0.25">
      <c r="A623" s="2" t="s">
        <v>102</v>
      </c>
      <c r="B623" s="2" t="s">
        <v>63</v>
      </c>
      <c r="C623" t="s">
        <v>29</v>
      </c>
      <c r="D623" t="s">
        <v>25</v>
      </c>
      <c r="E623" s="2">
        <v>1</v>
      </c>
      <c r="F623" t="s">
        <v>71</v>
      </c>
      <c r="G623">
        <v>3.69</v>
      </c>
      <c r="H623">
        <v>3.19</v>
      </c>
      <c r="I623" s="2" t="str">
        <f>_xlfn.XLOOKUP(F623,DeparaIMG!B:B,DeparaIMG!D:D,,0)</f>
        <v>BC0350.png</v>
      </c>
    </row>
    <row r="624" spans="1:9" x14ac:dyDescent="0.25">
      <c r="A624" s="2" t="s">
        <v>102</v>
      </c>
      <c r="B624" s="2" t="s">
        <v>63</v>
      </c>
      <c r="C624" t="s">
        <v>29</v>
      </c>
      <c r="D624" t="s">
        <v>25</v>
      </c>
      <c r="E624" s="2">
        <v>2</v>
      </c>
      <c r="F624" t="s">
        <v>71</v>
      </c>
      <c r="G624">
        <v>3.69</v>
      </c>
      <c r="H624">
        <v>3.19</v>
      </c>
      <c r="I624" s="2" t="str">
        <f>_xlfn.XLOOKUP(F624,DeparaIMG!B:B,DeparaIMG!D:D,,0)</f>
        <v>BC0350.png</v>
      </c>
    </row>
    <row r="625" spans="1:9" x14ac:dyDescent="0.25">
      <c r="A625" s="2" t="s">
        <v>102</v>
      </c>
      <c r="B625" s="2" t="s">
        <v>63</v>
      </c>
      <c r="C625" t="s">
        <v>89</v>
      </c>
      <c r="D625" t="s">
        <v>25</v>
      </c>
      <c r="E625" s="2">
        <v>1</v>
      </c>
      <c r="F625" t="s">
        <v>71</v>
      </c>
      <c r="G625">
        <v>3.69</v>
      </c>
      <c r="H625">
        <v>3.19</v>
      </c>
      <c r="I625" s="2" t="str">
        <f>_xlfn.XLOOKUP(F625,DeparaIMG!B:B,DeparaIMG!D:D,,0)</f>
        <v>BC0350.png</v>
      </c>
    </row>
    <row r="626" spans="1:9" x14ac:dyDescent="0.25">
      <c r="A626" s="2" t="s">
        <v>102</v>
      </c>
      <c r="B626" s="2" t="s">
        <v>63</v>
      </c>
      <c r="C626" t="s">
        <v>89</v>
      </c>
      <c r="D626" t="s">
        <v>25</v>
      </c>
      <c r="E626" s="2">
        <v>2</v>
      </c>
      <c r="F626" t="s">
        <v>71</v>
      </c>
      <c r="G626">
        <v>3.69</v>
      </c>
      <c r="H626">
        <v>3.19</v>
      </c>
      <c r="I626" s="2" t="str">
        <f>_xlfn.XLOOKUP(F626,DeparaIMG!B:B,DeparaIMG!D:D,,0)</f>
        <v>BC0350.png</v>
      </c>
    </row>
    <row r="627" spans="1:9" x14ac:dyDescent="0.25">
      <c r="A627" s="2" t="s">
        <v>102</v>
      </c>
      <c r="B627" s="2" t="s">
        <v>63</v>
      </c>
      <c r="C627" t="s">
        <v>4</v>
      </c>
      <c r="D627" t="s">
        <v>25</v>
      </c>
      <c r="E627" s="2">
        <v>1</v>
      </c>
      <c r="F627" t="s">
        <v>71</v>
      </c>
      <c r="G627">
        <v>3.69</v>
      </c>
      <c r="H627">
        <v>3.19</v>
      </c>
      <c r="I627" s="2" t="str">
        <f>_xlfn.XLOOKUP(F627,DeparaIMG!B:B,DeparaIMG!D:D,,0)</f>
        <v>BC0350.png</v>
      </c>
    </row>
    <row r="628" spans="1:9" x14ac:dyDescent="0.25">
      <c r="A628" s="2" t="s">
        <v>102</v>
      </c>
      <c r="B628" s="2" t="s">
        <v>63</v>
      </c>
      <c r="C628" t="s">
        <v>4</v>
      </c>
      <c r="D628" t="s">
        <v>25</v>
      </c>
      <c r="E628" s="2">
        <v>2</v>
      </c>
      <c r="F628" t="s">
        <v>71</v>
      </c>
      <c r="G628">
        <v>3.69</v>
      </c>
      <c r="H628">
        <v>3.19</v>
      </c>
      <c r="I628" s="2" t="str">
        <f>_xlfn.XLOOKUP(F628,DeparaIMG!B:B,DeparaIMG!D:D,,0)</f>
        <v>BC0350.png</v>
      </c>
    </row>
    <row r="629" spans="1:9" x14ac:dyDescent="0.25">
      <c r="A629" s="2" t="s">
        <v>102</v>
      </c>
      <c r="B629" s="2" t="s">
        <v>63</v>
      </c>
      <c r="C629" t="s">
        <v>90</v>
      </c>
      <c r="D629" t="s">
        <v>25</v>
      </c>
      <c r="E629" s="2">
        <v>1</v>
      </c>
      <c r="F629" t="s">
        <v>71</v>
      </c>
      <c r="G629">
        <v>3.69</v>
      </c>
      <c r="H629">
        <v>3.19</v>
      </c>
      <c r="I629" s="2" t="str">
        <f>_xlfn.XLOOKUP(F629,DeparaIMG!B:B,DeparaIMG!D:D,,0)</f>
        <v>BC0350.png</v>
      </c>
    </row>
    <row r="630" spans="1:9" x14ac:dyDescent="0.25">
      <c r="A630" s="2" t="s">
        <v>102</v>
      </c>
      <c r="B630" s="2" t="s">
        <v>63</v>
      </c>
      <c r="C630" t="s">
        <v>90</v>
      </c>
      <c r="D630" t="s">
        <v>25</v>
      </c>
      <c r="E630" s="2">
        <v>2</v>
      </c>
      <c r="F630" t="s">
        <v>71</v>
      </c>
      <c r="G630">
        <v>3.69</v>
      </c>
      <c r="H630">
        <v>3.19</v>
      </c>
      <c r="I630" s="2" t="str">
        <f>_xlfn.XLOOKUP(F630,DeparaIMG!B:B,DeparaIMG!D:D,,0)</f>
        <v>BC0350.png</v>
      </c>
    </row>
    <row r="631" spans="1:9" x14ac:dyDescent="0.25">
      <c r="A631" s="2" t="s">
        <v>102</v>
      </c>
      <c r="B631" s="2" t="s">
        <v>63</v>
      </c>
      <c r="C631" t="s">
        <v>91</v>
      </c>
      <c r="D631" t="s">
        <v>25</v>
      </c>
      <c r="E631" s="2">
        <v>1</v>
      </c>
      <c r="F631" t="s">
        <v>71</v>
      </c>
      <c r="G631">
        <v>3.69</v>
      </c>
      <c r="H631">
        <v>3.19</v>
      </c>
      <c r="I631" s="2" t="str">
        <f>_xlfn.XLOOKUP(F631,DeparaIMG!B:B,DeparaIMG!D:D,,0)</f>
        <v>BC0350.png</v>
      </c>
    </row>
    <row r="632" spans="1:9" x14ac:dyDescent="0.25">
      <c r="A632" s="2" t="s">
        <v>102</v>
      </c>
      <c r="B632" s="2" t="s">
        <v>63</v>
      </c>
      <c r="C632" t="s">
        <v>91</v>
      </c>
      <c r="D632" t="s">
        <v>25</v>
      </c>
      <c r="E632" s="2">
        <v>2</v>
      </c>
      <c r="F632" t="s">
        <v>71</v>
      </c>
      <c r="G632">
        <v>3.69</v>
      </c>
      <c r="H632">
        <v>3.19</v>
      </c>
      <c r="I632" s="2" t="str">
        <f>_xlfn.XLOOKUP(F632,DeparaIMG!B:B,DeparaIMG!D:D,,0)</f>
        <v>BC0350.png</v>
      </c>
    </row>
    <row r="633" spans="1:9" x14ac:dyDescent="0.25">
      <c r="A633" s="2" t="s">
        <v>102</v>
      </c>
      <c r="B633" s="2" t="s">
        <v>63</v>
      </c>
      <c r="C633" t="s">
        <v>88</v>
      </c>
      <c r="D633" t="s">
        <v>25</v>
      </c>
      <c r="E633" s="2">
        <v>1</v>
      </c>
      <c r="F633" t="s">
        <v>71</v>
      </c>
      <c r="G633">
        <v>3.69</v>
      </c>
      <c r="H633">
        <v>3.19</v>
      </c>
      <c r="I633" s="2" t="str">
        <f>_xlfn.XLOOKUP(F633,DeparaIMG!B:B,DeparaIMG!D:D,,0)</f>
        <v>BC0350.png</v>
      </c>
    </row>
    <row r="634" spans="1:9" x14ac:dyDescent="0.25">
      <c r="A634" s="2" t="s">
        <v>102</v>
      </c>
      <c r="B634" s="2" t="s">
        <v>63</v>
      </c>
      <c r="C634" t="s">
        <v>88</v>
      </c>
      <c r="D634" t="s">
        <v>25</v>
      </c>
      <c r="E634" s="2">
        <v>2</v>
      </c>
      <c r="F634" t="s">
        <v>71</v>
      </c>
      <c r="G634">
        <v>3.69</v>
      </c>
      <c r="H634">
        <v>3.19</v>
      </c>
      <c r="I634" s="2" t="str">
        <f>_xlfn.XLOOKUP(F634,DeparaIMG!B:B,DeparaIMG!D:D,,0)</f>
        <v>BC0350.png</v>
      </c>
    </row>
    <row r="635" spans="1:9" x14ac:dyDescent="0.25">
      <c r="A635" s="2" t="s">
        <v>102</v>
      </c>
      <c r="B635" s="2" t="s">
        <v>63</v>
      </c>
      <c r="C635" t="s">
        <v>29</v>
      </c>
      <c r="D635" t="s">
        <v>26</v>
      </c>
      <c r="E635" s="2">
        <v>1</v>
      </c>
      <c r="F635" t="s">
        <v>72</v>
      </c>
      <c r="G635">
        <v>3.79</v>
      </c>
      <c r="H635">
        <v>3.29</v>
      </c>
      <c r="I635" s="2" t="str">
        <f>_xlfn.XLOOKUP(F635,DeparaIMG!B:B,DeparaIMG!D:D,,0)</f>
        <v>BC350.png</v>
      </c>
    </row>
    <row r="636" spans="1:9" x14ac:dyDescent="0.25">
      <c r="A636" s="2" t="s">
        <v>102</v>
      </c>
      <c r="B636" s="2" t="s">
        <v>63</v>
      </c>
      <c r="C636" t="s">
        <v>28</v>
      </c>
      <c r="D636" t="s">
        <v>26</v>
      </c>
      <c r="E636" s="2">
        <v>2</v>
      </c>
      <c r="F636" t="s">
        <v>74</v>
      </c>
      <c r="G636">
        <v>3.99</v>
      </c>
      <c r="H636">
        <v>3.59</v>
      </c>
      <c r="I636" s="2" t="str">
        <f>_xlfn.XLOOKUP(F636,DeparaIMG!B:B,DeparaIMG!D:D,,0)</f>
        <v>AP350.png</v>
      </c>
    </row>
    <row r="637" spans="1:9" x14ac:dyDescent="0.25">
      <c r="A637" s="2" t="s">
        <v>102</v>
      </c>
      <c r="B637" s="2" t="s">
        <v>63</v>
      </c>
      <c r="C637" t="s">
        <v>29</v>
      </c>
      <c r="D637" t="s">
        <v>26</v>
      </c>
      <c r="E637" s="2">
        <v>2</v>
      </c>
      <c r="F637" t="s">
        <v>74</v>
      </c>
      <c r="G637">
        <v>3.99</v>
      </c>
      <c r="H637">
        <v>3.59</v>
      </c>
      <c r="I637" s="2" t="str">
        <f>_xlfn.XLOOKUP(F637,DeparaIMG!B:B,DeparaIMG!D:D,,0)</f>
        <v>AP350.png</v>
      </c>
    </row>
    <row r="638" spans="1:9" x14ac:dyDescent="0.25">
      <c r="A638" s="2" t="s">
        <v>102</v>
      </c>
      <c r="B638" s="2" t="s">
        <v>63</v>
      </c>
      <c r="C638" t="s">
        <v>28</v>
      </c>
      <c r="D638" t="s">
        <v>26</v>
      </c>
      <c r="E638" s="2">
        <v>1</v>
      </c>
      <c r="F638" t="s">
        <v>71</v>
      </c>
      <c r="G638">
        <v>3.99</v>
      </c>
      <c r="H638">
        <v>3.49</v>
      </c>
      <c r="I638" s="2" t="str">
        <f>_xlfn.XLOOKUP(F638,DeparaIMG!B:B,DeparaIMG!D:D,,0)</f>
        <v>BC0350.png</v>
      </c>
    </row>
    <row r="639" spans="1:9" x14ac:dyDescent="0.25">
      <c r="A639" s="2" t="s">
        <v>102</v>
      </c>
      <c r="B639" s="2" t="s">
        <v>63</v>
      </c>
      <c r="C639" t="s">
        <v>28</v>
      </c>
      <c r="D639" t="s">
        <v>26</v>
      </c>
      <c r="E639" s="2">
        <v>2</v>
      </c>
      <c r="F639" t="s">
        <v>71</v>
      </c>
      <c r="G639">
        <v>3.99</v>
      </c>
      <c r="H639">
        <v>3.49</v>
      </c>
      <c r="I639" s="2" t="str">
        <f>_xlfn.XLOOKUP(F639,DeparaIMG!B:B,DeparaIMG!D:D,,0)</f>
        <v>BC0350.png</v>
      </c>
    </row>
    <row r="640" spans="1:9" x14ac:dyDescent="0.25">
      <c r="A640" s="2" t="s">
        <v>102</v>
      </c>
      <c r="B640" s="2" t="s">
        <v>63</v>
      </c>
      <c r="C640" t="s">
        <v>88</v>
      </c>
      <c r="D640" t="s">
        <v>26</v>
      </c>
      <c r="E640" s="2">
        <v>1</v>
      </c>
      <c r="F640" t="s">
        <v>71</v>
      </c>
      <c r="G640">
        <v>3.99</v>
      </c>
      <c r="H640">
        <v>3.49</v>
      </c>
      <c r="I640" s="2" t="str">
        <f>_xlfn.XLOOKUP(F640,DeparaIMG!B:B,DeparaIMG!D:D,,0)</f>
        <v>BC0350.png</v>
      </c>
    </row>
    <row r="641" spans="1:9" x14ac:dyDescent="0.25">
      <c r="A641" s="2" t="s">
        <v>102</v>
      </c>
      <c r="B641" s="2" t="s">
        <v>63</v>
      </c>
      <c r="C641" t="s">
        <v>88</v>
      </c>
      <c r="D641" t="s">
        <v>26</v>
      </c>
      <c r="E641" s="2">
        <v>2</v>
      </c>
      <c r="F641" t="s">
        <v>71</v>
      </c>
      <c r="G641">
        <v>3.99</v>
      </c>
      <c r="H641">
        <v>3.49</v>
      </c>
      <c r="I641" s="2" t="str">
        <f>_xlfn.XLOOKUP(F641,DeparaIMG!B:B,DeparaIMG!D:D,,0)</f>
        <v>BC0350.png</v>
      </c>
    </row>
    <row r="642" spans="1:9" x14ac:dyDescent="0.25">
      <c r="A642" s="2" t="s">
        <v>102</v>
      </c>
      <c r="B642" s="2" t="s">
        <v>63</v>
      </c>
      <c r="C642" t="s">
        <v>28</v>
      </c>
      <c r="D642" t="s">
        <v>25</v>
      </c>
      <c r="E642" s="2">
        <v>2</v>
      </c>
      <c r="F642" t="s">
        <v>73</v>
      </c>
      <c r="G642">
        <v>3.89</v>
      </c>
      <c r="H642">
        <v>3.49</v>
      </c>
      <c r="I642" s="2" t="str">
        <f>_xlfn.XLOOKUP(F642,DeparaIMG!B:B,DeparaIMG!D:D,,0)</f>
        <v>ORI269.png</v>
      </c>
    </row>
    <row r="643" spans="1:9" x14ac:dyDescent="0.25">
      <c r="A643" s="2" t="s">
        <v>102</v>
      </c>
      <c r="B643" s="2" t="s">
        <v>63</v>
      </c>
      <c r="C643" t="s">
        <v>28</v>
      </c>
      <c r="D643" t="s">
        <v>26</v>
      </c>
      <c r="E643" s="2">
        <v>2</v>
      </c>
      <c r="F643" t="s">
        <v>73</v>
      </c>
      <c r="G643">
        <v>3.89</v>
      </c>
      <c r="H643">
        <v>3.49</v>
      </c>
      <c r="I643" s="2" t="str">
        <f>_xlfn.XLOOKUP(F643,DeparaIMG!B:B,DeparaIMG!D:D,,0)</f>
        <v>ORI269.png</v>
      </c>
    </row>
    <row r="644" spans="1:9" x14ac:dyDescent="0.25">
      <c r="A644" s="2" t="s">
        <v>102</v>
      </c>
      <c r="B644" s="2" t="s">
        <v>63</v>
      </c>
      <c r="C644" t="s">
        <v>29</v>
      </c>
      <c r="D644" t="s">
        <v>25</v>
      </c>
      <c r="E644" s="2">
        <v>2</v>
      </c>
      <c r="F644" t="s">
        <v>73</v>
      </c>
      <c r="G644">
        <v>3.89</v>
      </c>
      <c r="H644">
        <v>3.49</v>
      </c>
      <c r="I644" s="2" t="str">
        <f>_xlfn.XLOOKUP(F644,DeparaIMG!B:B,DeparaIMG!D:D,,0)</f>
        <v>ORI269.png</v>
      </c>
    </row>
    <row r="645" spans="1:9" x14ac:dyDescent="0.25">
      <c r="A645" s="2" t="s">
        <v>102</v>
      </c>
      <c r="B645" s="2" t="s">
        <v>63</v>
      </c>
      <c r="C645" t="s">
        <v>89</v>
      </c>
      <c r="D645" t="s">
        <v>25</v>
      </c>
      <c r="E645" s="2">
        <v>2</v>
      </c>
      <c r="F645" t="s">
        <v>73</v>
      </c>
      <c r="G645">
        <v>3.89</v>
      </c>
      <c r="H645">
        <v>3.49</v>
      </c>
      <c r="I645" s="2" t="str">
        <f>_xlfn.XLOOKUP(F645,DeparaIMG!B:B,DeparaIMG!D:D,,0)</f>
        <v>ORI269.png</v>
      </c>
    </row>
    <row r="646" spans="1:9" x14ac:dyDescent="0.25">
      <c r="A646" s="2" t="s">
        <v>102</v>
      </c>
      <c r="B646" s="2" t="s">
        <v>63</v>
      </c>
      <c r="C646" t="s">
        <v>89</v>
      </c>
      <c r="D646" t="s">
        <v>26</v>
      </c>
      <c r="E646" s="2">
        <v>2</v>
      </c>
      <c r="F646" t="s">
        <v>73</v>
      </c>
      <c r="G646">
        <v>3.89</v>
      </c>
      <c r="H646">
        <v>3.49</v>
      </c>
      <c r="I646" s="2" t="str">
        <f>_xlfn.XLOOKUP(F646,DeparaIMG!B:B,DeparaIMG!D:D,,0)</f>
        <v>ORI269.png</v>
      </c>
    </row>
    <row r="647" spans="1:9" x14ac:dyDescent="0.25">
      <c r="A647" s="2" t="s">
        <v>102</v>
      </c>
      <c r="B647" s="2" t="s">
        <v>63</v>
      </c>
      <c r="C647" t="s">
        <v>90</v>
      </c>
      <c r="D647" t="s">
        <v>25</v>
      </c>
      <c r="E647" s="2">
        <v>2</v>
      </c>
      <c r="F647" t="s">
        <v>73</v>
      </c>
      <c r="G647">
        <v>3.89</v>
      </c>
      <c r="H647">
        <v>3.49</v>
      </c>
      <c r="I647" s="2" t="str">
        <f>_xlfn.XLOOKUP(F647,DeparaIMG!B:B,DeparaIMG!D:D,,0)</f>
        <v>ORI269.png</v>
      </c>
    </row>
    <row r="648" spans="1:9" x14ac:dyDescent="0.25">
      <c r="A648" s="2" t="s">
        <v>102</v>
      </c>
      <c r="B648" s="2" t="s">
        <v>63</v>
      </c>
      <c r="C648" t="s">
        <v>91</v>
      </c>
      <c r="D648" t="s">
        <v>25</v>
      </c>
      <c r="E648" s="2">
        <v>2</v>
      </c>
      <c r="F648" t="s">
        <v>73</v>
      </c>
      <c r="G648">
        <v>3.89</v>
      </c>
      <c r="H648">
        <v>3.49</v>
      </c>
      <c r="I648" s="2" t="str">
        <f>_xlfn.XLOOKUP(F648,DeparaIMG!B:B,DeparaIMG!D:D,,0)</f>
        <v>ORI269.png</v>
      </c>
    </row>
    <row r="649" spans="1:9" x14ac:dyDescent="0.25">
      <c r="A649" s="2" t="s">
        <v>102</v>
      </c>
      <c r="B649" s="2" t="s">
        <v>63</v>
      </c>
      <c r="C649" t="s">
        <v>90</v>
      </c>
      <c r="D649" t="s">
        <v>26</v>
      </c>
      <c r="E649" s="2">
        <v>2</v>
      </c>
      <c r="F649" t="s">
        <v>73</v>
      </c>
      <c r="G649">
        <v>3.89</v>
      </c>
      <c r="H649">
        <v>3.49</v>
      </c>
      <c r="I649" s="2" t="str">
        <f>_xlfn.XLOOKUP(F649,DeparaIMG!B:B,DeparaIMG!D:D,,0)</f>
        <v>ORI269.png</v>
      </c>
    </row>
    <row r="650" spans="1:9" x14ac:dyDescent="0.25">
      <c r="A650" s="2" t="s">
        <v>102</v>
      </c>
      <c r="B650" s="2" t="s">
        <v>63</v>
      </c>
      <c r="C650" t="s">
        <v>91</v>
      </c>
      <c r="D650" t="s">
        <v>26</v>
      </c>
      <c r="E650" s="2">
        <v>2</v>
      </c>
      <c r="F650" t="s">
        <v>73</v>
      </c>
      <c r="G650">
        <v>3.89</v>
      </c>
      <c r="H650">
        <v>3.49</v>
      </c>
      <c r="I650" s="2" t="str">
        <f>_xlfn.XLOOKUP(F650,DeparaIMG!B:B,DeparaIMG!D:D,,0)</f>
        <v>ORI269.png</v>
      </c>
    </row>
    <row r="651" spans="1:9" x14ac:dyDescent="0.25">
      <c r="A651" s="2" t="s">
        <v>102</v>
      </c>
      <c r="B651" s="2" t="s">
        <v>63</v>
      </c>
      <c r="C651" t="s">
        <v>29</v>
      </c>
      <c r="D651" t="s">
        <v>26</v>
      </c>
      <c r="E651" s="2">
        <v>2</v>
      </c>
      <c r="F651" t="s">
        <v>73</v>
      </c>
      <c r="G651">
        <v>3.89</v>
      </c>
      <c r="H651">
        <v>3.49</v>
      </c>
      <c r="I651" s="2" t="str">
        <f>_xlfn.XLOOKUP(F651,DeparaIMG!B:B,DeparaIMG!D:D,,0)</f>
        <v>ORI269.png</v>
      </c>
    </row>
    <row r="652" spans="1:9" x14ac:dyDescent="0.25">
      <c r="A652" s="2" t="s">
        <v>102</v>
      </c>
      <c r="B652" s="2" t="s">
        <v>63</v>
      </c>
      <c r="C652" t="s">
        <v>88</v>
      </c>
      <c r="D652" t="s">
        <v>25</v>
      </c>
      <c r="E652" s="2">
        <v>2</v>
      </c>
      <c r="F652" t="s">
        <v>73</v>
      </c>
      <c r="G652">
        <v>3.89</v>
      </c>
      <c r="H652">
        <v>3.49</v>
      </c>
      <c r="I652" s="2" t="str">
        <f>_xlfn.XLOOKUP(F652,DeparaIMG!B:B,DeparaIMG!D:D,,0)</f>
        <v>ORI269.png</v>
      </c>
    </row>
    <row r="653" spans="1:9" x14ac:dyDescent="0.25">
      <c r="A653" s="2" t="s">
        <v>102</v>
      </c>
      <c r="B653" s="2" t="s">
        <v>63</v>
      </c>
      <c r="C653" t="s">
        <v>88</v>
      </c>
      <c r="D653" t="s">
        <v>26</v>
      </c>
      <c r="E653" s="2">
        <v>2</v>
      </c>
      <c r="F653" t="s">
        <v>73</v>
      </c>
      <c r="G653">
        <v>3.89</v>
      </c>
      <c r="H653">
        <v>3.49</v>
      </c>
      <c r="I653" s="2" t="str">
        <f>_xlfn.XLOOKUP(F653,DeparaIMG!B:B,DeparaIMG!D:D,,0)</f>
        <v>ORI269.png</v>
      </c>
    </row>
    <row r="654" spans="1:9" x14ac:dyDescent="0.25">
      <c r="A654" s="2" t="s">
        <v>102</v>
      </c>
      <c r="B654" s="2" t="s">
        <v>63</v>
      </c>
      <c r="C654" t="s">
        <v>4</v>
      </c>
      <c r="D654" t="s">
        <v>25</v>
      </c>
      <c r="E654" s="2">
        <v>2</v>
      </c>
      <c r="F654" t="s">
        <v>73</v>
      </c>
      <c r="G654">
        <v>3.89</v>
      </c>
      <c r="H654">
        <v>3.49</v>
      </c>
      <c r="I654" s="2" t="str">
        <f>_xlfn.XLOOKUP(F654,DeparaIMG!B:B,DeparaIMG!D:D,,0)</f>
        <v>ORI269.png</v>
      </c>
    </row>
    <row r="655" spans="1:9" x14ac:dyDescent="0.25">
      <c r="A655" s="2" t="s">
        <v>102</v>
      </c>
      <c r="B655" s="2" t="s">
        <v>63</v>
      </c>
      <c r="C655" t="s">
        <v>4</v>
      </c>
      <c r="D655" t="s">
        <v>26</v>
      </c>
      <c r="E655" s="2">
        <v>2</v>
      </c>
      <c r="F655" t="s">
        <v>73</v>
      </c>
      <c r="G655">
        <v>3.89</v>
      </c>
      <c r="H655">
        <v>3.49</v>
      </c>
      <c r="I655" s="2" t="str">
        <f>_xlfn.XLOOKUP(F655,DeparaIMG!B:B,DeparaIMG!D:D,,0)</f>
        <v>ORI269.png</v>
      </c>
    </row>
    <row r="656" spans="1:9" x14ac:dyDescent="0.25">
      <c r="A656" s="2" t="s">
        <v>102</v>
      </c>
      <c r="B656" s="2" t="s">
        <v>63</v>
      </c>
      <c r="C656" t="s">
        <v>29</v>
      </c>
      <c r="D656" t="s">
        <v>26</v>
      </c>
      <c r="E656" s="2">
        <v>1</v>
      </c>
      <c r="F656" t="s">
        <v>71</v>
      </c>
      <c r="G656">
        <v>3.99</v>
      </c>
      <c r="H656">
        <v>3.49</v>
      </c>
      <c r="I656" s="2" t="str">
        <f>_xlfn.XLOOKUP(F656,DeparaIMG!B:B,DeparaIMG!D:D,,0)</f>
        <v>BC0350.png</v>
      </c>
    </row>
    <row r="657" spans="1:9" x14ac:dyDescent="0.25">
      <c r="A657" s="2" t="s">
        <v>102</v>
      </c>
      <c r="B657" s="2" t="s">
        <v>63</v>
      </c>
      <c r="C657" t="s">
        <v>29</v>
      </c>
      <c r="D657" t="s">
        <v>26</v>
      </c>
      <c r="E657" s="2">
        <v>2</v>
      </c>
      <c r="F657" t="s">
        <v>71</v>
      </c>
      <c r="G657">
        <v>3.99</v>
      </c>
      <c r="H657">
        <v>3.49</v>
      </c>
      <c r="I657" s="2" t="str">
        <f>_xlfn.XLOOKUP(F657,DeparaIMG!B:B,DeparaIMG!D:D,,0)</f>
        <v>BC0350.png</v>
      </c>
    </row>
    <row r="658" spans="1:9" x14ac:dyDescent="0.25">
      <c r="A658" s="2" t="s">
        <v>102</v>
      </c>
      <c r="B658" s="2" t="s">
        <v>63</v>
      </c>
      <c r="C658" t="s">
        <v>89</v>
      </c>
      <c r="D658" t="s">
        <v>26</v>
      </c>
      <c r="E658" s="2">
        <v>1</v>
      </c>
      <c r="F658" t="s">
        <v>71</v>
      </c>
      <c r="G658">
        <v>3.99</v>
      </c>
      <c r="H658">
        <v>3.49</v>
      </c>
      <c r="I658" s="2" t="str">
        <f>_xlfn.XLOOKUP(F658,DeparaIMG!B:B,DeparaIMG!D:D,,0)</f>
        <v>BC0350.png</v>
      </c>
    </row>
    <row r="659" spans="1:9" x14ac:dyDescent="0.25">
      <c r="A659" s="2" t="s">
        <v>102</v>
      </c>
      <c r="B659" s="2" t="s">
        <v>63</v>
      </c>
      <c r="C659" t="s">
        <v>89</v>
      </c>
      <c r="D659" t="s">
        <v>26</v>
      </c>
      <c r="E659" s="2">
        <v>2</v>
      </c>
      <c r="F659" t="s">
        <v>71</v>
      </c>
      <c r="G659">
        <v>3.99</v>
      </c>
      <c r="H659">
        <v>3.49</v>
      </c>
      <c r="I659" s="2" t="str">
        <f>_xlfn.XLOOKUP(F659,DeparaIMG!B:B,DeparaIMG!D:D,,0)</f>
        <v>BC0350.png</v>
      </c>
    </row>
    <row r="660" spans="1:9" x14ac:dyDescent="0.25">
      <c r="A660" s="2" t="s">
        <v>102</v>
      </c>
      <c r="B660" s="2" t="s">
        <v>63</v>
      </c>
      <c r="C660" t="s">
        <v>4</v>
      </c>
      <c r="D660" t="s">
        <v>26</v>
      </c>
      <c r="E660" s="2">
        <v>1</v>
      </c>
      <c r="F660" t="s">
        <v>71</v>
      </c>
      <c r="G660">
        <v>3.99</v>
      </c>
      <c r="H660">
        <v>3.49</v>
      </c>
      <c r="I660" s="2" t="str">
        <f>_xlfn.XLOOKUP(F660,DeparaIMG!B:B,DeparaIMG!D:D,,0)</f>
        <v>BC0350.png</v>
      </c>
    </row>
    <row r="661" spans="1:9" x14ac:dyDescent="0.25">
      <c r="A661" s="2" t="s">
        <v>102</v>
      </c>
      <c r="B661" s="2" t="s">
        <v>63</v>
      </c>
      <c r="C661" t="s">
        <v>4</v>
      </c>
      <c r="D661" t="s">
        <v>26</v>
      </c>
      <c r="E661" s="2">
        <v>2</v>
      </c>
      <c r="F661" t="s">
        <v>71</v>
      </c>
      <c r="G661">
        <v>3.99</v>
      </c>
      <c r="H661">
        <v>3.49</v>
      </c>
      <c r="I661" s="2" t="str">
        <f>_xlfn.XLOOKUP(F661,DeparaIMG!B:B,DeparaIMG!D:D,,0)</f>
        <v>BC0350.png</v>
      </c>
    </row>
    <row r="662" spans="1:9" x14ac:dyDescent="0.25">
      <c r="A662" s="2" t="s">
        <v>102</v>
      </c>
      <c r="B662" s="2" t="s">
        <v>63</v>
      </c>
      <c r="C662" t="s">
        <v>91</v>
      </c>
      <c r="D662" t="s">
        <v>26</v>
      </c>
      <c r="E662" s="2">
        <v>1</v>
      </c>
      <c r="F662" t="s">
        <v>71</v>
      </c>
      <c r="G662">
        <v>3.99</v>
      </c>
      <c r="H662">
        <v>3.49</v>
      </c>
      <c r="I662" s="2" t="str">
        <f>_xlfn.XLOOKUP(F662,DeparaIMG!B:B,DeparaIMG!D:D,,0)</f>
        <v>BC0350.png</v>
      </c>
    </row>
    <row r="663" spans="1:9" x14ac:dyDescent="0.25">
      <c r="A663" s="2" t="s">
        <v>102</v>
      </c>
      <c r="B663" s="2" t="s">
        <v>63</v>
      </c>
      <c r="C663" t="s">
        <v>91</v>
      </c>
      <c r="D663" t="s">
        <v>26</v>
      </c>
      <c r="E663" s="2">
        <v>2</v>
      </c>
      <c r="F663" t="s">
        <v>71</v>
      </c>
      <c r="G663">
        <v>3.99</v>
      </c>
      <c r="H663">
        <v>3.49</v>
      </c>
      <c r="I663" s="2" t="str">
        <f>_xlfn.XLOOKUP(F663,DeparaIMG!B:B,DeparaIMG!D:D,,0)</f>
        <v>BC0350.png</v>
      </c>
    </row>
    <row r="664" spans="1:9" x14ac:dyDescent="0.25">
      <c r="A664" s="2" t="s">
        <v>102</v>
      </c>
      <c r="B664" s="2" t="s">
        <v>63</v>
      </c>
      <c r="C664" t="s">
        <v>90</v>
      </c>
      <c r="D664" t="s">
        <v>26</v>
      </c>
      <c r="E664" s="2">
        <v>1</v>
      </c>
      <c r="F664" t="s">
        <v>71</v>
      </c>
      <c r="G664">
        <v>3.99</v>
      </c>
      <c r="H664">
        <v>3.49</v>
      </c>
      <c r="I664" s="2" t="str">
        <f>_xlfn.XLOOKUP(F664,DeparaIMG!B:B,DeparaIMG!D:D,,0)</f>
        <v>BC0350.png</v>
      </c>
    </row>
    <row r="665" spans="1:9" x14ac:dyDescent="0.25">
      <c r="A665" s="2" t="s">
        <v>102</v>
      </c>
      <c r="B665" s="2" t="s">
        <v>63</v>
      </c>
      <c r="C665" t="s">
        <v>90</v>
      </c>
      <c r="D665" t="s">
        <v>26</v>
      </c>
      <c r="E665" s="2">
        <v>2</v>
      </c>
      <c r="F665" t="s">
        <v>71</v>
      </c>
      <c r="G665">
        <v>3.99</v>
      </c>
      <c r="H665">
        <v>3.49</v>
      </c>
      <c r="I665" s="2" t="str">
        <f>_xlfn.XLOOKUP(F665,DeparaIMG!B:B,DeparaIMG!D:D,,0)</f>
        <v>BC0350.png</v>
      </c>
    </row>
    <row r="666" spans="1:9" x14ac:dyDescent="0.25">
      <c r="A666" s="2" t="s">
        <v>102</v>
      </c>
      <c r="B666" s="2" t="s">
        <v>63</v>
      </c>
      <c r="C666" t="s">
        <v>4</v>
      </c>
      <c r="D666" t="s">
        <v>25</v>
      </c>
      <c r="E666" s="2">
        <v>1</v>
      </c>
      <c r="F666" t="s">
        <v>75</v>
      </c>
      <c r="G666">
        <v>4.1900000000000004</v>
      </c>
      <c r="H666">
        <v>3.59</v>
      </c>
      <c r="I666" s="2" t="str">
        <f>_xlfn.XLOOKUP(F666,DeparaIMG!B:B,DeparaIMG!D:D,,0)</f>
        <v>BUDZERO350.png</v>
      </c>
    </row>
    <row r="667" spans="1:9" x14ac:dyDescent="0.25">
      <c r="A667" s="2" t="s">
        <v>102</v>
      </c>
      <c r="B667" s="2" t="s">
        <v>63</v>
      </c>
      <c r="C667" t="s">
        <v>4</v>
      </c>
      <c r="D667" t="s">
        <v>26</v>
      </c>
      <c r="E667" s="2">
        <v>1</v>
      </c>
      <c r="F667" t="s">
        <v>75</v>
      </c>
      <c r="G667">
        <v>4.1900000000000004</v>
      </c>
      <c r="H667">
        <v>3.59</v>
      </c>
      <c r="I667" s="2" t="str">
        <f>_xlfn.XLOOKUP(F667,DeparaIMG!B:B,DeparaIMG!D:D,,0)</f>
        <v>BUDZERO350.png</v>
      </c>
    </row>
    <row r="668" spans="1:9" x14ac:dyDescent="0.25">
      <c r="A668" s="2" t="s">
        <v>102</v>
      </c>
      <c r="B668" s="2" t="s">
        <v>63</v>
      </c>
      <c r="C668" t="s">
        <v>28</v>
      </c>
      <c r="D668" t="s">
        <v>25</v>
      </c>
      <c r="E668" s="2">
        <v>1</v>
      </c>
      <c r="F668" t="s">
        <v>75</v>
      </c>
      <c r="G668">
        <v>4.29</v>
      </c>
      <c r="H668">
        <v>3.69</v>
      </c>
      <c r="I668" s="2" t="str">
        <f>_xlfn.XLOOKUP(F668,DeparaIMG!B:B,DeparaIMG!D:D,,0)</f>
        <v>BUDZERO350.png</v>
      </c>
    </row>
    <row r="669" spans="1:9" x14ac:dyDescent="0.25">
      <c r="A669" s="2" t="s">
        <v>102</v>
      </c>
      <c r="B669" s="2" t="s">
        <v>63</v>
      </c>
      <c r="C669" t="s">
        <v>28</v>
      </c>
      <c r="D669" t="s">
        <v>26</v>
      </c>
      <c r="E669" s="2">
        <v>1</v>
      </c>
      <c r="F669" t="s">
        <v>77</v>
      </c>
      <c r="G669">
        <v>4.29</v>
      </c>
      <c r="H669">
        <v>3.69</v>
      </c>
      <c r="I669" s="2" t="str">
        <f>_xlfn.XLOOKUP(F669,DeparaIMG!B:B,DeparaIMG!D:D,,0)</f>
        <v>BUD350.png</v>
      </c>
    </row>
    <row r="670" spans="1:9" x14ac:dyDescent="0.25">
      <c r="A670" s="2" t="s">
        <v>102</v>
      </c>
      <c r="B670" s="2" t="s">
        <v>63</v>
      </c>
      <c r="C670" t="s">
        <v>28</v>
      </c>
      <c r="D670" t="s">
        <v>26</v>
      </c>
      <c r="E670" s="2">
        <v>1</v>
      </c>
      <c r="F670" t="s">
        <v>75</v>
      </c>
      <c r="G670">
        <v>4.29</v>
      </c>
      <c r="H670">
        <v>3.69</v>
      </c>
      <c r="I670" s="2" t="str">
        <f>_xlfn.XLOOKUP(F670,DeparaIMG!B:B,DeparaIMG!D:D,,0)</f>
        <v>BUDZERO350.png</v>
      </c>
    </row>
    <row r="671" spans="1:9" x14ac:dyDescent="0.25">
      <c r="A671" s="2" t="s">
        <v>102</v>
      </c>
      <c r="B671" s="2" t="s">
        <v>63</v>
      </c>
      <c r="C671" t="s">
        <v>29</v>
      </c>
      <c r="D671" t="s">
        <v>25</v>
      </c>
      <c r="E671" s="2">
        <v>1</v>
      </c>
      <c r="F671" t="s">
        <v>75</v>
      </c>
      <c r="G671">
        <v>4.29</v>
      </c>
      <c r="H671">
        <v>3.69</v>
      </c>
      <c r="I671" s="2" t="str">
        <f>_xlfn.XLOOKUP(F671,DeparaIMG!B:B,DeparaIMG!D:D,,0)</f>
        <v>BUDZERO350.png</v>
      </c>
    </row>
    <row r="672" spans="1:9" x14ac:dyDescent="0.25">
      <c r="A672" s="2" t="s">
        <v>102</v>
      </c>
      <c r="B672" s="2" t="s">
        <v>63</v>
      </c>
      <c r="C672" t="s">
        <v>29</v>
      </c>
      <c r="D672" t="s">
        <v>26</v>
      </c>
      <c r="E672" s="2">
        <v>1</v>
      </c>
      <c r="F672" t="s">
        <v>77</v>
      </c>
      <c r="G672">
        <v>4.29</v>
      </c>
      <c r="H672">
        <v>3.69</v>
      </c>
      <c r="I672" s="2" t="str">
        <f>_xlfn.XLOOKUP(F672,DeparaIMG!B:B,DeparaIMG!D:D,,0)</f>
        <v>BUD350.png</v>
      </c>
    </row>
    <row r="673" spans="1:9" x14ac:dyDescent="0.25">
      <c r="A673" s="2" t="s">
        <v>102</v>
      </c>
      <c r="B673" s="2" t="s">
        <v>63</v>
      </c>
      <c r="C673" t="s">
        <v>29</v>
      </c>
      <c r="D673" t="s">
        <v>26</v>
      </c>
      <c r="E673" s="2">
        <v>1</v>
      </c>
      <c r="F673" t="s">
        <v>75</v>
      </c>
      <c r="G673">
        <v>4.29</v>
      </c>
      <c r="H673">
        <v>3.69</v>
      </c>
      <c r="I673" s="2" t="str">
        <f>_xlfn.XLOOKUP(F673,DeparaIMG!B:B,DeparaIMG!D:D,,0)</f>
        <v>BUDZERO350.png</v>
      </c>
    </row>
    <row r="674" spans="1:9" x14ac:dyDescent="0.25">
      <c r="A674" s="2" t="s">
        <v>102</v>
      </c>
      <c r="B674" s="2" t="s">
        <v>63</v>
      </c>
      <c r="C674" t="s">
        <v>88</v>
      </c>
      <c r="D674" t="s">
        <v>25</v>
      </c>
      <c r="E674" s="2">
        <v>1</v>
      </c>
      <c r="F674" t="s">
        <v>75</v>
      </c>
      <c r="G674">
        <v>4.29</v>
      </c>
      <c r="H674">
        <v>3.69</v>
      </c>
      <c r="I674" s="2" t="str">
        <f>_xlfn.XLOOKUP(F674,DeparaIMG!B:B,DeparaIMG!D:D,,0)</f>
        <v>BUDZERO350.png</v>
      </c>
    </row>
    <row r="675" spans="1:9" x14ac:dyDescent="0.25">
      <c r="A675" s="2" t="s">
        <v>102</v>
      </c>
      <c r="B675" s="2" t="s">
        <v>63</v>
      </c>
      <c r="C675" t="s">
        <v>88</v>
      </c>
      <c r="D675" t="s">
        <v>26</v>
      </c>
      <c r="E675" s="2">
        <v>1</v>
      </c>
      <c r="F675" t="s">
        <v>75</v>
      </c>
      <c r="G675">
        <v>4.29</v>
      </c>
      <c r="H675">
        <v>3.69</v>
      </c>
      <c r="I675" s="2" t="str">
        <f>_xlfn.XLOOKUP(F675,DeparaIMG!B:B,DeparaIMG!D:D,,0)</f>
        <v>BUDZERO350.png</v>
      </c>
    </row>
    <row r="676" spans="1:9" x14ac:dyDescent="0.25">
      <c r="A676" s="2" t="s">
        <v>102</v>
      </c>
      <c r="B676" s="2" t="s">
        <v>63</v>
      </c>
      <c r="C676" t="s">
        <v>89</v>
      </c>
      <c r="D676" t="s">
        <v>25</v>
      </c>
      <c r="E676" s="2">
        <v>1</v>
      </c>
      <c r="F676" t="s">
        <v>75</v>
      </c>
      <c r="G676">
        <v>4.29</v>
      </c>
      <c r="H676">
        <v>3.69</v>
      </c>
      <c r="I676" s="2" t="str">
        <f>_xlfn.XLOOKUP(F676,DeparaIMG!B:B,DeparaIMG!D:D,,0)</f>
        <v>BUDZERO350.png</v>
      </c>
    </row>
    <row r="677" spans="1:9" x14ac:dyDescent="0.25">
      <c r="A677" s="2" t="s">
        <v>102</v>
      </c>
      <c r="B677" s="2" t="s">
        <v>63</v>
      </c>
      <c r="C677" t="s">
        <v>89</v>
      </c>
      <c r="D677" t="s">
        <v>26</v>
      </c>
      <c r="E677" s="2">
        <v>1</v>
      </c>
      <c r="F677" t="s">
        <v>75</v>
      </c>
      <c r="G677">
        <v>4.29</v>
      </c>
      <c r="H677">
        <v>3.69</v>
      </c>
      <c r="I677" s="2" t="str">
        <f>_xlfn.XLOOKUP(F677,DeparaIMG!B:B,DeparaIMG!D:D,,0)</f>
        <v>BUDZERO350.png</v>
      </c>
    </row>
    <row r="678" spans="1:9" x14ac:dyDescent="0.25">
      <c r="A678" s="2" t="s">
        <v>102</v>
      </c>
      <c r="B678" s="2" t="s">
        <v>63</v>
      </c>
      <c r="C678" t="s">
        <v>90</v>
      </c>
      <c r="D678" t="s">
        <v>26</v>
      </c>
      <c r="E678" s="2">
        <v>1</v>
      </c>
      <c r="F678" t="s">
        <v>75</v>
      </c>
      <c r="G678">
        <v>4.29</v>
      </c>
      <c r="H678">
        <v>3.69</v>
      </c>
      <c r="I678" s="2" t="str">
        <f>_xlfn.XLOOKUP(F678,DeparaIMG!B:B,DeparaIMG!D:D,,0)</f>
        <v>BUDZERO350.png</v>
      </c>
    </row>
    <row r="679" spans="1:9" x14ac:dyDescent="0.25">
      <c r="A679" s="2" t="s">
        <v>102</v>
      </c>
      <c r="B679" s="2" t="s">
        <v>63</v>
      </c>
      <c r="C679" t="s">
        <v>90</v>
      </c>
      <c r="D679" t="s">
        <v>25</v>
      </c>
      <c r="E679" s="2">
        <v>1</v>
      </c>
      <c r="F679" t="s">
        <v>75</v>
      </c>
      <c r="G679">
        <v>4.29</v>
      </c>
      <c r="H679">
        <v>3.69</v>
      </c>
      <c r="I679" s="2" t="str">
        <f>_xlfn.XLOOKUP(F679,DeparaIMG!B:B,DeparaIMG!D:D,,0)</f>
        <v>BUDZERO350.png</v>
      </c>
    </row>
    <row r="680" spans="1:9" x14ac:dyDescent="0.25">
      <c r="A680" s="2" t="s">
        <v>102</v>
      </c>
      <c r="B680" s="2" t="s">
        <v>63</v>
      </c>
      <c r="C680" t="s">
        <v>91</v>
      </c>
      <c r="D680" t="s">
        <v>25</v>
      </c>
      <c r="E680" s="2">
        <v>1</v>
      </c>
      <c r="F680" t="s">
        <v>75</v>
      </c>
      <c r="G680">
        <v>4.29</v>
      </c>
      <c r="H680">
        <v>3.69</v>
      </c>
      <c r="I680" s="2" t="str">
        <f>_xlfn.XLOOKUP(F680,DeparaIMG!B:B,DeparaIMG!D:D,,0)</f>
        <v>BUDZERO350.png</v>
      </c>
    </row>
    <row r="681" spans="1:9" x14ac:dyDescent="0.25">
      <c r="A681" s="2" t="s">
        <v>102</v>
      </c>
      <c r="B681" s="2" t="s">
        <v>63</v>
      </c>
      <c r="C681" t="s">
        <v>91</v>
      </c>
      <c r="D681" t="s">
        <v>26</v>
      </c>
      <c r="E681" s="2">
        <v>1</v>
      </c>
      <c r="F681" t="s">
        <v>75</v>
      </c>
      <c r="G681">
        <v>4.29</v>
      </c>
      <c r="H681">
        <v>3.69</v>
      </c>
      <c r="I681" s="2" t="str">
        <f>_xlfn.XLOOKUP(F681,DeparaIMG!B:B,DeparaIMG!D:D,,0)</f>
        <v>BUDZERO350.png</v>
      </c>
    </row>
    <row r="682" spans="1:9" x14ac:dyDescent="0.25">
      <c r="A682" s="2" t="s">
        <v>102</v>
      </c>
      <c r="B682" s="2" t="s">
        <v>63</v>
      </c>
      <c r="C682" t="s">
        <v>4</v>
      </c>
      <c r="D682" t="s">
        <v>26</v>
      </c>
      <c r="E682" s="2">
        <v>1</v>
      </c>
      <c r="F682" t="s">
        <v>77</v>
      </c>
      <c r="G682">
        <v>4.29</v>
      </c>
      <c r="H682">
        <v>3.69</v>
      </c>
      <c r="I682" s="2" t="str">
        <f>_xlfn.XLOOKUP(F682,DeparaIMG!B:B,DeparaIMG!D:D,,0)</f>
        <v>BUD350.png</v>
      </c>
    </row>
    <row r="683" spans="1:9" x14ac:dyDescent="0.25">
      <c r="A683" s="2" t="s">
        <v>102</v>
      </c>
      <c r="B683" s="2" t="s">
        <v>63</v>
      </c>
      <c r="C683" t="s">
        <v>88</v>
      </c>
      <c r="D683" t="s">
        <v>26</v>
      </c>
      <c r="E683" s="2">
        <v>2</v>
      </c>
      <c r="F683" t="s">
        <v>103</v>
      </c>
      <c r="G683">
        <v>3.99</v>
      </c>
      <c r="H683">
        <v>3.69</v>
      </c>
      <c r="I683" s="2" t="str">
        <f>_xlfn.XLOOKUP(F683,DeparaIMG!B:B,DeparaIMG!D:D,,0)</f>
        <v>SPT269.png</v>
      </c>
    </row>
    <row r="684" spans="1:9" x14ac:dyDescent="0.25">
      <c r="A684" s="2" t="s">
        <v>102</v>
      </c>
      <c r="B684" s="2" t="s">
        <v>63</v>
      </c>
      <c r="C684" t="s">
        <v>89</v>
      </c>
      <c r="D684" t="s">
        <v>26</v>
      </c>
      <c r="E684" s="2">
        <v>2</v>
      </c>
      <c r="F684" t="s">
        <v>103</v>
      </c>
      <c r="G684">
        <v>3.99</v>
      </c>
      <c r="H684">
        <v>3.69</v>
      </c>
      <c r="I684" s="2" t="str">
        <f>_xlfn.XLOOKUP(F684,DeparaIMG!B:B,DeparaIMG!D:D,,0)</f>
        <v>SPT269.png</v>
      </c>
    </row>
    <row r="685" spans="1:9" x14ac:dyDescent="0.25">
      <c r="A685" s="2" t="s">
        <v>102</v>
      </c>
      <c r="B685" s="2" t="s">
        <v>63</v>
      </c>
      <c r="C685" t="s">
        <v>91</v>
      </c>
      <c r="D685" t="s">
        <v>26</v>
      </c>
      <c r="E685" s="2">
        <v>2</v>
      </c>
      <c r="F685" t="s">
        <v>103</v>
      </c>
      <c r="G685">
        <v>3.99</v>
      </c>
      <c r="H685">
        <v>3.69</v>
      </c>
      <c r="I685" s="2" t="str">
        <f>_xlfn.XLOOKUP(F685,DeparaIMG!B:B,DeparaIMG!D:D,,0)</f>
        <v>SPT269.png</v>
      </c>
    </row>
    <row r="686" spans="1:9" x14ac:dyDescent="0.25">
      <c r="A686" s="2" t="s">
        <v>102</v>
      </c>
      <c r="B686" s="2" t="s">
        <v>63</v>
      </c>
      <c r="C686" t="s">
        <v>90</v>
      </c>
      <c r="D686" t="s">
        <v>26</v>
      </c>
      <c r="E686" s="2">
        <v>2</v>
      </c>
      <c r="F686" t="s">
        <v>103</v>
      </c>
      <c r="G686">
        <v>3.99</v>
      </c>
      <c r="H686">
        <v>3.69</v>
      </c>
      <c r="I686" s="2" t="str">
        <f>_xlfn.XLOOKUP(F686,DeparaIMG!B:B,DeparaIMG!D:D,,0)</f>
        <v>SPT269.png</v>
      </c>
    </row>
    <row r="687" spans="1:9" x14ac:dyDescent="0.25">
      <c r="A687" s="2" t="s">
        <v>102</v>
      </c>
      <c r="B687" s="2" t="s">
        <v>63</v>
      </c>
      <c r="C687" t="s">
        <v>88</v>
      </c>
      <c r="D687" t="s">
        <v>26</v>
      </c>
      <c r="E687" s="2">
        <v>2</v>
      </c>
      <c r="F687" t="s">
        <v>78</v>
      </c>
      <c r="G687">
        <v>4.6900000000000004</v>
      </c>
      <c r="H687">
        <v>4.1900000000000004</v>
      </c>
      <c r="I687" s="2" t="str">
        <f>_xlfn.XLOOKUP(F687,DeparaIMG!B:B,DeparaIMG!D:D,,0)</f>
        <v>COR269.png</v>
      </c>
    </row>
    <row r="688" spans="1:9" x14ac:dyDescent="0.25">
      <c r="A688" s="2" t="s">
        <v>102</v>
      </c>
      <c r="B688" s="2" t="s">
        <v>63</v>
      </c>
      <c r="C688" t="s">
        <v>89</v>
      </c>
      <c r="D688" t="s">
        <v>26</v>
      </c>
      <c r="E688" s="2">
        <v>2</v>
      </c>
      <c r="F688" t="s">
        <v>78</v>
      </c>
      <c r="G688">
        <v>4.6900000000000004</v>
      </c>
      <c r="H688">
        <v>4.1900000000000004</v>
      </c>
      <c r="I688" s="2" t="str">
        <f>_xlfn.XLOOKUP(F688,DeparaIMG!B:B,DeparaIMG!D:D,,0)</f>
        <v>COR269.png</v>
      </c>
    </row>
    <row r="689" spans="1:9" x14ac:dyDescent="0.25">
      <c r="A689" s="2" t="s">
        <v>102</v>
      </c>
      <c r="B689" s="2" t="s">
        <v>63</v>
      </c>
      <c r="C689" t="s">
        <v>91</v>
      </c>
      <c r="D689" t="s">
        <v>26</v>
      </c>
      <c r="E689" s="2">
        <v>2</v>
      </c>
      <c r="F689" t="s">
        <v>78</v>
      </c>
      <c r="G689">
        <v>4.6900000000000004</v>
      </c>
      <c r="H689">
        <v>4.1900000000000004</v>
      </c>
      <c r="I689" s="2" t="str">
        <f>_xlfn.XLOOKUP(F689,DeparaIMG!B:B,DeparaIMG!D:D,,0)</f>
        <v>COR269.png</v>
      </c>
    </row>
    <row r="690" spans="1:9" x14ac:dyDescent="0.25">
      <c r="A690" s="2" t="s">
        <v>102</v>
      </c>
      <c r="B690" s="2" t="s">
        <v>63</v>
      </c>
      <c r="C690" t="s">
        <v>90</v>
      </c>
      <c r="D690" t="s">
        <v>26</v>
      </c>
      <c r="E690" s="2">
        <v>2</v>
      </c>
      <c r="F690" t="s">
        <v>78</v>
      </c>
      <c r="G690">
        <v>4.6900000000000004</v>
      </c>
      <c r="H690">
        <v>4.1900000000000004</v>
      </c>
      <c r="I690" s="2" t="str">
        <f>_xlfn.XLOOKUP(F690,DeparaIMG!B:B,DeparaIMG!D:D,,0)</f>
        <v>COR269.png</v>
      </c>
    </row>
    <row r="691" spans="1:9" x14ac:dyDescent="0.25">
      <c r="A691" s="2" t="s">
        <v>102</v>
      </c>
      <c r="B691" s="2" t="s">
        <v>63</v>
      </c>
      <c r="C691" t="s">
        <v>28</v>
      </c>
      <c r="D691" t="s">
        <v>26</v>
      </c>
      <c r="E691" s="2">
        <v>2</v>
      </c>
      <c r="F691" t="s">
        <v>104</v>
      </c>
      <c r="G691">
        <v>5.19</v>
      </c>
      <c r="H691">
        <v>4.6900000000000004</v>
      </c>
      <c r="I691" s="2" t="str">
        <f>_xlfn.XLOOKUP(F691,DeparaIMG!B:B,DeparaIMG!D:D,,0)</f>
        <v>SPT350.png</v>
      </c>
    </row>
    <row r="692" spans="1:9" x14ac:dyDescent="0.25">
      <c r="A692" s="2" t="s">
        <v>102</v>
      </c>
      <c r="B692" s="2" t="s">
        <v>63</v>
      </c>
      <c r="C692" t="s">
        <v>29</v>
      </c>
      <c r="D692" t="s">
        <v>26</v>
      </c>
      <c r="E692" s="2">
        <v>2</v>
      </c>
      <c r="F692" t="s">
        <v>104</v>
      </c>
      <c r="G692">
        <v>5.19</v>
      </c>
      <c r="H692">
        <v>4.6900000000000004</v>
      </c>
      <c r="I692" s="2" t="str">
        <f>_xlfn.XLOOKUP(F692,DeparaIMG!B:B,DeparaIMG!D:D,,0)</f>
        <v>SPT350.png</v>
      </c>
    </row>
    <row r="693" spans="1:9" x14ac:dyDescent="0.25">
      <c r="A693" s="2" t="s">
        <v>102</v>
      </c>
      <c r="B693" s="2" t="s">
        <v>63</v>
      </c>
      <c r="C693" t="s">
        <v>4</v>
      </c>
      <c r="D693" t="s">
        <v>26</v>
      </c>
      <c r="E693" s="2">
        <v>2</v>
      </c>
      <c r="F693" t="s">
        <v>104</v>
      </c>
      <c r="G693">
        <v>5.19</v>
      </c>
      <c r="H693">
        <v>4.6900000000000004</v>
      </c>
      <c r="I693" s="2" t="str">
        <f>_xlfn.XLOOKUP(F693,DeparaIMG!B:B,DeparaIMG!D:D,,0)</f>
        <v>SPT350.png</v>
      </c>
    </row>
    <row r="694" spans="1:9" x14ac:dyDescent="0.25">
      <c r="A694" s="2" t="s">
        <v>102</v>
      </c>
      <c r="B694" s="2" t="s">
        <v>63</v>
      </c>
      <c r="C694" t="s">
        <v>28</v>
      </c>
      <c r="D694" t="s">
        <v>25</v>
      </c>
      <c r="E694" s="2">
        <v>1</v>
      </c>
      <c r="F694" t="s">
        <v>79</v>
      </c>
      <c r="G694">
        <v>5.49</v>
      </c>
      <c r="H694">
        <v>4.99</v>
      </c>
      <c r="I694" s="2" t="str">
        <f>_xlfn.XLOOKUP(F694,DeparaIMG!B:B,DeparaIMG!D:D,,0)</f>
        <v>MIC350.png</v>
      </c>
    </row>
    <row r="695" spans="1:9" x14ac:dyDescent="0.25">
      <c r="A695" s="2" t="s">
        <v>102</v>
      </c>
      <c r="B695" s="2" t="s">
        <v>63</v>
      </c>
      <c r="C695" t="s">
        <v>28</v>
      </c>
      <c r="D695" t="s">
        <v>26</v>
      </c>
      <c r="E695" s="2">
        <v>1</v>
      </c>
      <c r="F695" t="s">
        <v>79</v>
      </c>
      <c r="G695">
        <v>5.49</v>
      </c>
      <c r="H695">
        <v>4.99</v>
      </c>
      <c r="I695" s="2" t="str">
        <f>_xlfn.XLOOKUP(F695,DeparaIMG!B:B,DeparaIMG!D:D,,0)</f>
        <v>MIC350.png</v>
      </c>
    </row>
    <row r="696" spans="1:9" x14ac:dyDescent="0.25">
      <c r="A696" s="2" t="s">
        <v>102</v>
      </c>
      <c r="B696" s="2" t="s">
        <v>63</v>
      </c>
      <c r="C696" t="s">
        <v>29</v>
      </c>
      <c r="D696" t="s">
        <v>25</v>
      </c>
      <c r="E696" s="2">
        <v>1</v>
      </c>
      <c r="F696" t="s">
        <v>79</v>
      </c>
      <c r="G696">
        <v>5.49</v>
      </c>
      <c r="H696">
        <v>4.99</v>
      </c>
      <c r="I696" s="2" t="str">
        <f>_xlfn.XLOOKUP(F696,DeparaIMG!B:B,DeparaIMG!D:D,,0)</f>
        <v>MIC350.png</v>
      </c>
    </row>
    <row r="697" spans="1:9" x14ac:dyDescent="0.25">
      <c r="A697" s="2" t="s">
        <v>102</v>
      </c>
      <c r="B697" s="2" t="s">
        <v>63</v>
      </c>
      <c r="C697" t="s">
        <v>29</v>
      </c>
      <c r="D697" t="s">
        <v>26</v>
      </c>
      <c r="E697" s="2">
        <v>1</v>
      </c>
      <c r="F697" t="s">
        <v>79</v>
      </c>
      <c r="G697">
        <v>5.49</v>
      </c>
      <c r="H697">
        <v>4.99</v>
      </c>
      <c r="I697" s="2" t="str">
        <f>_xlfn.XLOOKUP(F697,DeparaIMG!B:B,DeparaIMG!D:D,,0)</f>
        <v>MIC350.png</v>
      </c>
    </row>
    <row r="698" spans="1:9" x14ac:dyDescent="0.25">
      <c r="A698" s="2" t="s">
        <v>102</v>
      </c>
      <c r="B698" s="2" t="s">
        <v>63</v>
      </c>
      <c r="C698" t="s">
        <v>88</v>
      </c>
      <c r="D698" t="s">
        <v>25</v>
      </c>
      <c r="E698" s="2">
        <v>1</v>
      </c>
      <c r="F698" t="s">
        <v>79</v>
      </c>
      <c r="G698">
        <v>5.49</v>
      </c>
      <c r="H698">
        <v>4.99</v>
      </c>
      <c r="I698" s="2" t="str">
        <f>_xlfn.XLOOKUP(F698,DeparaIMG!B:B,DeparaIMG!D:D,,0)</f>
        <v>MIC350.png</v>
      </c>
    </row>
    <row r="699" spans="1:9" x14ac:dyDescent="0.25">
      <c r="A699" s="2" t="s">
        <v>102</v>
      </c>
      <c r="B699" s="2" t="s">
        <v>63</v>
      </c>
      <c r="C699" t="s">
        <v>88</v>
      </c>
      <c r="D699" t="s">
        <v>26</v>
      </c>
      <c r="E699" s="2">
        <v>1</v>
      </c>
      <c r="F699" t="s">
        <v>79</v>
      </c>
      <c r="G699">
        <v>5.49</v>
      </c>
      <c r="H699">
        <v>4.99</v>
      </c>
      <c r="I699" s="2" t="str">
        <f>_xlfn.XLOOKUP(F699,DeparaIMG!B:B,DeparaIMG!D:D,,0)</f>
        <v>MIC350.png</v>
      </c>
    </row>
    <row r="700" spans="1:9" x14ac:dyDescent="0.25">
      <c r="A700" s="2" t="s">
        <v>102</v>
      </c>
      <c r="B700" s="2" t="s">
        <v>63</v>
      </c>
      <c r="C700" t="s">
        <v>4</v>
      </c>
      <c r="D700" t="s">
        <v>25</v>
      </c>
      <c r="E700" s="2">
        <v>1</v>
      </c>
      <c r="F700" t="s">
        <v>79</v>
      </c>
      <c r="G700">
        <v>5.49</v>
      </c>
      <c r="H700">
        <v>4.99</v>
      </c>
      <c r="I700" s="2" t="str">
        <f>_xlfn.XLOOKUP(F700,DeparaIMG!B:B,DeparaIMG!D:D,,0)</f>
        <v>MIC350.png</v>
      </c>
    </row>
    <row r="701" spans="1:9" x14ac:dyDescent="0.25">
      <c r="A701" s="2" t="s">
        <v>102</v>
      </c>
      <c r="B701" s="2" t="s">
        <v>63</v>
      </c>
      <c r="C701" t="s">
        <v>4</v>
      </c>
      <c r="D701" t="s">
        <v>26</v>
      </c>
      <c r="E701" s="2">
        <v>1</v>
      </c>
      <c r="F701" t="s">
        <v>79</v>
      </c>
      <c r="G701">
        <v>5.49</v>
      </c>
      <c r="H701">
        <v>4.99</v>
      </c>
      <c r="I701" s="2" t="str">
        <f>_xlfn.XLOOKUP(F701,DeparaIMG!B:B,DeparaIMG!D:D,,0)</f>
        <v>MIC350.png</v>
      </c>
    </row>
    <row r="702" spans="1:9" x14ac:dyDescent="0.25">
      <c r="A702" s="2" t="s">
        <v>102</v>
      </c>
      <c r="B702" s="2" t="s">
        <v>63</v>
      </c>
      <c r="C702" t="s">
        <v>89</v>
      </c>
      <c r="D702" t="s">
        <v>25</v>
      </c>
      <c r="E702" s="2">
        <v>1</v>
      </c>
      <c r="F702" t="s">
        <v>79</v>
      </c>
      <c r="G702">
        <v>5.49</v>
      </c>
      <c r="H702">
        <v>4.99</v>
      </c>
      <c r="I702" s="2" t="str">
        <f>_xlfn.XLOOKUP(F702,DeparaIMG!B:B,DeparaIMG!D:D,,0)</f>
        <v>MIC350.png</v>
      </c>
    </row>
    <row r="703" spans="1:9" x14ac:dyDescent="0.25">
      <c r="A703" s="2" t="s">
        <v>102</v>
      </c>
      <c r="B703" s="2" t="s">
        <v>63</v>
      </c>
      <c r="C703" t="s">
        <v>89</v>
      </c>
      <c r="D703" t="s">
        <v>26</v>
      </c>
      <c r="E703" s="2">
        <v>1</v>
      </c>
      <c r="F703" t="s">
        <v>79</v>
      </c>
      <c r="G703">
        <v>5.49</v>
      </c>
      <c r="H703">
        <v>4.99</v>
      </c>
      <c r="I703" s="2" t="str">
        <f>_xlfn.XLOOKUP(F703,DeparaIMG!B:B,DeparaIMG!D:D,,0)</f>
        <v>MIC350.png</v>
      </c>
    </row>
    <row r="704" spans="1:9" x14ac:dyDescent="0.25">
      <c r="A704" s="2" t="s">
        <v>102</v>
      </c>
      <c r="B704" s="2" t="s">
        <v>63</v>
      </c>
      <c r="C704" t="s">
        <v>90</v>
      </c>
      <c r="D704" t="s">
        <v>25</v>
      </c>
      <c r="E704" s="2">
        <v>1</v>
      </c>
      <c r="F704" t="s">
        <v>79</v>
      </c>
      <c r="G704">
        <v>5.49</v>
      </c>
      <c r="H704">
        <v>4.99</v>
      </c>
      <c r="I704" s="2" t="str">
        <f>_xlfn.XLOOKUP(F704,DeparaIMG!B:B,DeparaIMG!D:D,,0)</f>
        <v>MIC350.png</v>
      </c>
    </row>
    <row r="705" spans="1:9" x14ac:dyDescent="0.25">
      <c r="A705" s="2" t="s">
        <v>102</v>
      </c>
      <c r="B705" s="2" t="s">
        <v>63</v>
      </c>
      <c r="C705" t="s">
        <v>91</v>
      </c>
      <c r="D705" t="s">
        <v>25</v>
      </c>
      <c r="E705" s="2">
        <v>1</v>
      </c>
      <c r="F705" t="s">
        <v>79</v>
      </c>
      <c r="G705">
        <v>5.49</v>
      </c>
      <c r="H705">
        <v>4.99</v>
      </c>
      <c r="I705" s="2" t="str">
        <f>_xlfn.XLOOKUP(F705,DeparaIMG!B:B,DeparaIMG!D:D,,0)</f>
        <v>MIC350.png</v>
      </c>
    </row>
    <row r="706" spans="1:9" x14ac:dyDescent="0.25">
      <c r="A706" s="2" t="s">
        <v>102</v>
      </c>
      <c r="B706" s="2" t="s">
        <v>63</v>
      </c>
      <c r="C706" t="s">
        <v>90</v>
      </c>
      <c r="D706" t="s">
        <v>26</v>
      </c>
      <c r="E706" s="2">
        <v>1</v>
      </c>
      <c r="F706" t="s">
        <v>79</v>
      </c>
      <c r="G706">
        <v>5.49</v>
      </c>
      <c r="H706">
        <v>4.99</v>
      </c>
      <c r="I706" s="2" t="str">
        <f>_xlfn.XLOOKUP(F706,DeparaIMG!B:B,DeparaIMG!D:D,,0)</f>
        <v>MIC350.png</v>
      </c>
    </row>
    <row r="707" spans="1:9" x14ac:dyDescent="0.25">
      <c r="A707" s="2" t="s">
        <v>102</v>
      </c>
      <c r="B707" s="2" t="s">
        <v>63</v>
      </c>
      <c r="C707" t="s">
        <v>91</v>
      </c>
      <c r="D707" t="s">
        <v>26</v>
      </c>
      <c r="E707" s="2">
        <v>1</v>
      </c>
      <c r="F707" t="s">
        <v>79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102</v>
      </c>
      <c r="B708" s="2" t="s">
        <v>63</v>
      </c>
      <c r="C708" t="s">
        <v>28</v>
      </c>
      <c r="D708" t="s">
        <v>26</v>
      </c>
      <c r="E708" s="2">
        <v>1</v>
      </c>
      <c r="F708" t="s">
        <v>83</v>
      </c>
      <c r="G708">
        <v>6.29</v>
      </c>
      <c r="H708">
        <v>5.29</v>
      </c>
      <c r="I708" s="2" t="str">
        <f>_xlfn.XLOOKUP(F708,DeparaIMG!B:B,DeparaIMG!D:D,,0)</f>
        <v>BUDLN.png</v>
      </c>
    </row>
    <row r="709" spans="1:9" x14ac:dyDescent="0.25">
      <c r="A709" s="2" t="s">
        <v>102</v>
      </c>
      <c r="B709" s="2" t="s">
        <v>63</v>
      </c>
      <c r="C709" t="s">
        <v>28</v>
      </c>
      <c r="D709" t="s">
        <v>26</v>
      </c>
      <c r="E709" s="2">
        <v>1</v>
      </c>
      <c r="F709" t="s">
        <v>82</v>
      </c>
      <c r="G709">
        <v>6.29</v>
      </c>
      <c r="H709">
        <v>5.29</v>
      </c>
      <c r="I709" s="2" t="str">
        <f>_xlfn.XLOOKUP(F709,DeparaIMG!B:B,DeparaIMG!D:D,,0)</f>
        <v>BUDZEROLN.png</v>
      </c>
    </row>
    <row r="710" spans="1:9" x14ac:dyDescent="0.25">
      <c r="A710" s="2" t="s">
        <v>102</v>
      </c>
      <c r="B710" s="2" t="s">
        <v>63</v>
      </c>
      <c r="C710" t="s">
        <v>29</v>
      </c>
      <c r="D710" t="s">
        <v>26</v>
      </c>
      <c r="E710" s="2">
        <v>1</v>
      </c>
      <c r="F710" t="s">
        <v>83</v>
      </c>
      <c r="G710">
        <v>6.29</v>
      </c>
      <c r="H710">
        <v>5.29</v>
      </c>
      <c r="I710" s="2" t="str">
        <f>_xlfn.XLOOKUP(F710,DeparaIMG!B:B,DeparaIMG!D:D,,0)</f>
        <v>BUDLN.png</v>
      </c>
    </row>
    <row r="711" spans="1:9" x14ac:dyDescent="0.25">
      <c r="A711" s="2" t="s">
        <v>102</v>
      </c>
      <c r="B711" s="2" t="s">
        <v>63</v>
      </c>
      <c r="C711" t="s">
        <v>29</v>
      </c>
      <c r="D711" t="s">
        <v>26</v>
      </c>
      <c r="E711" s="2">
        <v>1</v>
      </c>
      <c r="F711" t="s">
        <v>82</v>
      </c>
      <c r="G711">
        <v>6.29</v>
      </c>
      <c r="H711">
        <v>5.29</v>
      </c>
      <c r="I711" s="2" t="str">
        <f>_xlfn.XLOOKUP(F711,DeparaIMG!B:B,DeparaIMG!D:D,,0)</f>
        <v>BUDZEROLN.png</v>
      </c>
    </row>
    <row r="712" spans="1:9" x14ac:dyDescent="0.25">
      <c r="A712" s="2" t="s">
        <v>102</v>
      </c>
      <c r="B712" s="2" t="s">
        <v>63</v>
      </c>
      <c r="C712" t="s">
        <v>88</v>
      </c>
      <c r="D712" t="s">
        <v>26</v>
      </c>
      <c r="E712" s="2">
        <v>1</v>
      </c>
      <c r="F712" t="s">
        <v>83</v>
      </c>
      <c r="G712">
        <v>6.29</v>
      </c>
      <c r="H712">
        <v>5.29</v>
      </c>
      <c r="I712" s="2" t="str">
        <f>_xlfn.XLOOKUP(F712,DeparaIMG!B:B,DeparaIMG!D:D,,0)</f>
        <v>BUDLN.png</v>
      </c>
    </row>
    <row r="713" spans="1:9" x14ac:dyDescent="0.25">
      <c r="A713" s="2" t="s">
        <v>102</v>
      </c>
      <c r="B713" s="2" t="s">
        <v>63</v>
      </c>
      <c r="C713" t="s">
        <v>88</v>
      </c>
      <c r="D713" t="s">
        <v>26</v>
      </c>
      <c r="E713" s="2">
        <v>1</v>
      </c>
      <c r="F713" t="s">
        <v>82</v>
      </c>
      <c r="G713">
        <v>6.29</v>
      </c>
      <c r="H713">
        <v>5.29</v>
      </c>
      <c r="I713" s="2" t="str">
        <f>_xlfn.XLOOKUP(F713,DeparaIMG!B:B,DeparaIMG!D:D,,0)</f>
        <v>BUDZEROLN.png</v>
      </c>
    </row>
    <row r="714" spans="1:9" x14ac:dyDescent="0.25">
      <c r="A714" s="2" t="s">
        <v>102</v>
      </c>
      <c r="B714" s="2" t="s">
        <v>63</v>
      </c>
      <c r="C714" t="s">
        <v>89</v>
      </c>
      <c r="D714" t="s">
        <v>26</v>
      </c>
      <c r="E714" s="2">
        <v>1</v>
      </c>
      <c r="F714" t="s">
        <v>83</v>
      </c>
      <c r="G714">
        <v>6.29</v>
      </c>
      <c r="H714">
        <v>5.29</v>
      </c>
      <c r="I714" s="2" t="str">
        <f>_xlfn.XLOOKUP(F714,DeparaIMG!B:B,DeparaIMG!D:D,,0)</f>
        <v>BUDLN.png</v>
      </c>
    </row>
    <row r="715" spans="1:9" x14ac:dyDescent="0.25">
      <c r="A715" s="2" t="s">
        <v>102</v>
      </c>
      <c r="B715" s="2" t="s">
        <v>63</v>
      </c>
      <c r="C715" t="s">
        <v>89</v>
      </c>
      <c r="D715" t="s">
        <v>26</v>
      </c>
      <c r="E715" s="2">
        <v>1</v>
      </c>
      <c r="F715" t="s">
        <v>82</v>
      </c>
      <c r="G715">
        <v>6.29</v>
      </c>
      <c r="H715">
        <v>5.29</v>
      </c>
      <c r="I715" s="2" t="str">
        <f>_xlfn.XLOOKUP(F715,DeparaIMG!B:B,DeparaIMG!D:D,,0)</f>
        <v>BUDZEROLN.png</v>
      </c>
    </row>
    <row r="716" spans="1:9" x14ac:dyDescent="0.25">
      <c r="A716" s="2" t="s">
        <v>102</v>
      </c>
      <c r="B716" s="2" t="s">
        <v>63</v>
      </c>
      <c r="C716" t="s">
        <v>4</v>
      </c>
      <c r="D716" t="s">
        <v>26</v>
      </c>
      <c r="E716" s="2">
        <v>1</v>
      </c>
      <c r="F716" t="s">
        <v>83</v>
      </c>
      <c r="G716">
        <v>6.29</v>
      </c>
      <c r="H716">
        <v>5.29</v>
      </c>
      <c r="I716" s="2" t="str">
        <f>_xlfn.XLOOKUP(F716,DeparaIMG!B:B,DeparaIMG!D:D,,0)</f>
        <v>BUDLN.png</v>
      </c>
    </row>
    <row r="717" spans="1:9" x14ac:dyDescent="0.25">
      <c r="A717" s="2" t="s">
        <v>102</v>
      </c>
      <c r="B717" s="2" t="s">
        <v>63</v>
      </c>
      <c r="C717" t="s">
        <v>4</v>
      </c>
      <c r="D717" t="s">
        <v>26</v>
      </c>
      <c r="E717" s="2">
        <v>1</v>
      </c>
      <c r="F717" t="s">
        <v>82</v>
      </c>
      <c r="G717">
        <v>6.29</v>
      </c>
      <c r="H717">
        <v>5.29</v>
      </c>
      <c r="I717" s="2" t="str">
        <f>_xlfn.XLOOKUP(F717,DeparaIMG!B:B,DeparaIMG!D:D,,0)</f>
        <v>BUDZEROLN.png</v>
      </c>
    </row>
    <row r="718" spans="1:9" x14ac:dyDescent="0.25">
      <c r="A718" s="2" t="s">
        <v>102</v>
      </c>
      <c r="B718" s="2" t="s">
        <v>63</v>
      </c>
      <c r="C718" t="s">
        <v>90</v>
      </c>
      <c r="D718" t="s">
        <v>26</v>
      </c>
      <c r="E718" s="2">
        <v>1</v>
      </c>
      <c r="F718" t="s">
        <v>82</v>
      </c>
      <c r="G718">
        <v>6.29</v>
      </c>
      <c r="H718">
        <v>5.29</v>
      </c>
      <c r="I718" s="2" t="str">
        <f>_xlfn.XLOOKUP(F718,DeparaIMG!B:B,DeparaIMG!D:D,,0)</f>
        <v>BUDZEROLN.png</v>
      </c>
    </row>
    <row r="719" spans="1:9" x14ac:dyDescent="0.25">
      <c r="A719" s="2" t="s">
        <v>102</v>
      </c>
      <c r="B719" s="2" t="s">
        <v>63</v>
      </c>
      <c r="C719" t="s">
        <v>91</v>
      </c>
      <c r="D719" t="s">
        <v>26</v>
      </c>
      <c r="E719" s="2">
        <v>1</v>
      </c>
      <c r="F719" t="s">
        <v>82</v>
      </c>
      <c r="G719">
        <v>6.29</v>
      </c>
      <c r="H719">
        <v>5.29</v>
      </c>
      <c r="I719" s="2" t="str">
        <f>_xlfn.XLOOKUP(F719,DeparaIMG!B:B,DeparaIMG!D:D,,0)</f>
        <v>BUDZEROLN.png</v>
      </c>
    </row>
    <row r="720" spans="1:9" x14ac:dyDescent="0.25">
      <c r="A720" s="2" t="s">
        <v>102</v>
      </c>
      <c r="B720" s="2" t="s">
        <v>63</v>
      </c>
      <c r="C720" t="s">
        <v>28</v>
      </c>
      <c r="D720" t="s">
        <v>26</v>
      </c>
      <c r="E720" s="2">
        <v>2</v>
      </c>
      <c r="F720" t="s">
        <v>80</v>
      </c>
      <c r="G720">
        <v>6.19</v>
      </c>
      <c r="H720">
        <v>5.39</v>
      </c>
      <c r="I720" s="2" t="str">
        <f>_xlfn.XLOOKUP(F720,DeparaIMG!B:B,DeparaIMG!D:D,,0)</f>
        <v>COR350.png</v>
      </c>
    </row>
    <row r="721" spans="1:9" x14ac:dyDescent="0.25">
      <c r="A721" s="2" t="s">
        <v>102</v>
      </c>
      <c r="B721" s="2" t="s">
        <v>63</v>
      </c>
      <c r="C721" t="s">
        <v>28</v>
      </c>
      <c r="D721" t="s">
        <v>26</v>
      </c>
      <c r="E721" s="2">
        <v>2</v>
      </c>
      <c r="F721" t="s">
        <v>81</v>
      </c>
      <c r="G721">
        <v>6.19</v>
      </c>
      <c r="H721">
        <v>5.39</v>
      </c>
      <c r="I721" s="2" t="str">
        <f>_xlfn.XLOOKUP(F721,DeparaIMG!B:B,DeparaIMG!D:D,,0)</f>
        <v>CORCERO350.png</v>
      </c>
    </row>
    <row r="722" spans="1:9" x14ac:dyDescent="0.25">
      <c r="A722" s="2" t="s">
        <v>102</v>
      </c>
      <c r="B722" s="2" t="s">
        <v>63</v>
      </c>
      <c r="C722" t="s">
        <v>29</v>
      </c>
      <c r="D722" t="s">
        <v>26</v>
      </c>
      <c r="E722" s="2">
        <v>2</v>
      </c>
      <c r="F722" t="s">
        <v>80</v>
      </c>
      <c r="G722">
        <v>6.29</v>
      </c>
      <c r="H722">
        <v>5.49</v>
      </c>
      <c r="I722" s="2" t="str">
        <f>_xlfn.XLOOKUP(F722,DeparaIMG!B:B,DeparaIMG!D:D,,0)</f>
        <v>COR350.png</v>
      </c>
    </row>
    <row r="723" spans="1:9" x14ac:dyDescent="0.25">
      <c r="A723" s="2" t="s">
        <v>102</v>
      </c>
      <c r="B723" s="2" t="s">
        <v>63</v>
      </c>
      <c r="C723" t="s">
        <v>88</v>
      </c>
      <c r="D723" t="s">
        <v>26</v>
      </c>
      <c r="E723" s="2">
        <v>2</v>
      </c>
      <c r="F723" t="s">
        <v>80</v>
      </c>
      <c r="G723">
        <v>6.29</v>
      </c>
      <c r="H723">
        <v>5.49</v>
      </c>
      <c r="I723" s="2" t="str">
        <f>_xlfn.XLOOKUP(F723,DeparaIMG!B:B,DeparaIMG!D:D,,0)</f>
        <v>COR350.png</v>
      </c>
    </row>
    <row r="724" spans="1:9" x14ac:dyDescent="0.25">
      <c r="A724" s="2" t="s">
        <v>102</v>
      </c>
      <c r="B724" s="2" t="s">
        <v>63</v>
      </c>
      <c r="C724" t="s">
        <v>89</v>
      </c>
      <c r="D724" t="s">
        <v>26</v>
      </c>
      <c r="E724" s="2">
        <v>2</v>
      </c>
      <c r="F724" t="s">
        <v>80</v>
      </c>
      <c r="G724">
        <v>6.29</v>
      </c>
      <c r="H724">
        <v>5.49</v>
      </c>
      <c r="I724" s="2" t="str">
        <f>_xlfn.XLOOKUP(F724,DeparaIMG!B:B,DeparaIMG!D:D,,0)</f>
        <v>COR350.png</v>
      </c>
    </row>
    <row r="725" spans="1:9" x14ac:dyDescent="0.25">
      <c r="A725" s="2" t="s">
        <v>102</v>
      </c>
      <c r="B725" s="2" t="s">
        <v>63</v>
      </c>
      <c r="C725" t="s">
        <v>4</v>
      </c>
      <c r="D725" t="s">
        <v>26</v>
      </c>
      <c r="E725" s="2">
        <v>2</v>
      </c>
      <c r="F725" t="s">
        <v>80</v>
      </c>
      <c r="G725">
        <v>6.29</v>
      </c>
      <c r="H725">
        <v>5.49</v>
      </c>
      <c r="I725" s="2" t="str">
        <f>_xlfn.XLOOKUP(F725,DeparaIMG!B:B,DeparaIMG!D:D,,0)</f>
        <v>COR350.png</v>
      </c>
    </row>
    <row r="726" spans="1:9" x14ac:dyDescent="0.25">
      <c r="A726" s="2" t="s">
        <v>102</v>
      </c>
      <c r="B726" s="2" t="s">
        <v>63</v>
      </c>
      <c r="C726" t="s">
        <v>29</v>
      </c>
      <c r="D726" t="s">
        <v>26</v>
      </c>
      <c r="E726" s="2">
        <v>2</v>
      </c>
      <c r="F726" t="s">
        <v>81</v>
      </c>
      <c r="G726">
        <v>6.29</v>
      </c>
      <c r="H726">
        <v>5.49</v>
      </c>
      <c r="I726" s="2" t="str">
        <f>_xlfn.XLOOKUP(F726,DeparaIMG!B:B,DeparaIMG!D:D,,0)</f>
        <v>CORCERO350.png</v>
      </c>
    </row>
    <row r="727" spans="1:9" x14ac:dyDescent="0.25">
      <c r="A727" s="2" t="s">
        <v>102</v>
      </c>
      <c r="B727" s="2" t="s">
        <v>63</v>
      </c>
      <c r="C727" t="s">
        <v>88</v>
      </c>
      <c r="D727" t="s">
        <v>26</v>
      </c>
      <c r="E727" s="2">
        <v>2</v>
      </c>
      <c r="F727" t="s">
        <v>81</v>
      </c>
      <c r="G727">
        <v>6.29</v>
      </c>
      <c r="H727">
        <v>5.49</v>
      </c>
      <c r="I727" s="2" t="str">
        <f>_xlfn.XLOOKUP(F727,DeparaIMG!B:B,DeparaIMG!D:D,,0)</f>
        <v>CORCERO350.png</v>
      </c>
    </row>
    <row r="728" spans="1:9" x14ac:dyDescent="0.25">
      <c r="A728" s="2" t="s">
        <v>102</v>
      </c>
      <c r="B728" s="2" t="s">
        <v>63</v>
      </c>
      <c r="C728" t="s">
        <v>89</v>
      </c>
      <c r="D728" t="s">
        <v>26</v>
      </c>
      <c r="E728" s="2">
        <v>2</v>
      </c>
      <c r="F728" t="s">
        <v>81</v>
      </c>
      <c r="G728">
        <v>6.29</v>
      </c>
      <c r="H728">
        <v>5.49</v>
      </c>
      <c r="I728" s="2" t="str">
        <f>_xlfn.XLOOKUP(F728,DeparaIMG!B:B,DeparaIMG!D:D,,0)</f>
        <v>CORCERO350.png</v>
      </c>
    </row>
    <row r="729" spans="1:9" x14ac:dyDescent="0.25">
      <c r="A729" s="2" t="s">
        <v>102</v>
      </c>
      <c r="B729" s="2" t="s">
        <v>63</v>
      </c>
      <c r="C729" t="s">
        <v>4</v>
      </c>
      <c r="D729" t="s">
        <v>26</v>
      </c>
      <c r="E729" s="2">
        <v>2</v>
      </c>
      <c r="F729" t="s">
        <v>81</v>
      </c>
      <c r="G729">
        <v>6.29</v>
      </c>
      <c r="H729">
        <v>5.49</v>
      </c>
      <c r="I729" s="2" t="str">
        <f>_xlfn.XLOOKUP(F729,DeparaIMG!B:B,DeparaIMG!D:D,,0)</f>
        <v>CORCERO350.png</v>
      </c>
    </row>
    <row r="730" spans="1:9" x14ac:dyDescent="0.25">
      <c r="A730" s="2" t="s">
        <v>102</v>
      </c>
      <c r="B730" s="2" t="s">
        <v>63</v>
      </c>
      <c r="C730" t="s">
        <v>91</v>
      </c>
      <c r="D730" t="s">
        <v>26</v>
      </c>
      <c r="E730" s="2">
        <v>2</v>
      </c>
      <c r="F730" t="s">
        <v>81</v>
      </c>
      <c r="G730">
        <v>6.29</v>
      </c>
      <c r="H730">
        <v>5.49</v>
      </c>
      <c r="I730" s="2" t="str">
        <f>_xlfn.XLOOKUP(F730,DeparaIMG!B:B,DeparaIMG!D:D,,0)</f>
        <v>CORCERO350.png</v>
      </c>
    </row>
    <row r="731" spans="1:9" x14ac:dyDescent="0.25">
      <c r="A731" s="2" t="s">
        <v>102</v>
      </c>
      <c r="B731" s="2" t="s">
        <v>63</v>
      </c>
      <c r="C731" t="s">
        <v>90</v>
      </c>
      <c r="D731" t="s">
        <v>26</v>
      </c>
      <c r="E731" s="2">
        <v>2</v>
      </c>
      <c r="F731" t="s">
        <v>81</v>
      </c>
      <c r="G731">
        <v>6.29</v>
      </c>
      <c r="H731">
        <v>5.49</v>
      </c>
      <c r="I731" s="2" t="str">
        <f>_xlfn.XLOOKUP(F731,DeparaIMG!B:B,DeparaIMG!D:D,,0)</f>
        <v>CORCERO350.png</v>
      </c>
    </row>
    <row r="732" spans="1:9" x14ac:dyDescent="0.25">
      <c r="A732" s="2" t="s">
        <v>102</v>
      </c>
      <c r="B732" s="2" t="s">
        <v>63</v>
      </c>
      <c r="C732" t="s">
        <v>28</v>
      </c>
      <c r="D732" t="s">
        <v>25</v>
      </c>
      <c r="E732" s="2">
        <v>2</v>
      </c>
      <c r="F732" t="s">
        <v>84</v>
      </c>
      <c r="G732">
        <v>6.69</v>
      </c>
      <c r="H732">
        <v>6.19</v>
      </c>
      <c r="I732" s="2" t="str">
        <f>_xlfn.XLOOKUP(F732,DeparaIMG!B:B,DeparaIMG!D:D,,0)</f>
        <v>MICLN.png</v>
      </c>
    </row>
    <row r="733" spans="1:9" x14ac:dyDescent="0.25">
      <c r="A733" s="2" t="s">
        <v>102</v>
      </c>
      <c r="B733" s="2" t="s">
        <v>63</v>
      </c>
      <c r="C733" t="s">
        <v>28</v>
      </c>
      <c r="D733" t="s">
        <v>26</v>
      </c>
      <c r="E733" s="2">
        <v>2</v>
      </c>
      <c r="F733" t="s">
        <v>84</v>
      </c>
      <c r="G733">
        <v>6.69</v>
      </c>
      <c r="H733">
        <v>6.19</v>
      </c>
      <c r="I733" s="2" t="str">
        <f>_xlfn.XLOOKUP(F733,DeparaIMG!B:B,DeparaIMG!D:D,,0)</f>
        <v>MICLN.png</v>
      </c>
    </row>
    <row r="734" spans="1:9" x14ac:dyDescent="0.25">
      <c r="A734" s="2" t="s">
        <v>102</v>
      </c>
      <c r="B734" s="2" t="s">
        <v>63</v>
      </c>
      <c r="C734" t="s">
        <v>29</v>
      </c>
      <c r="D734" t="s">
        <v>25</v>
      </c>
      <c r="E734" s="2">
        <v>2</v>
      </c>
      <c r="F734" t="s">
        <v>84</v>
      </c>
      <c r="G734">
        <v>6.69</v>
      </c>
      <c r="H734">
        <v>6.19</v>
      </c>
      <c r="I734" s="2" t="str">
        <f>_xlfn.XLOOKUP(F734,DeparaIMG!B:B,DeparaIMG!D:D,,0)</f>
        <v>MICLN.png</v>
      </c>
    </row>
    <row r="735" spans="1:9" x14ac:dyDescent="0.25">
      <c r="A735" s="2" t="s">
        <v>102</v>
      </c>
      <c r="B735" s="2" t="s">
        <v>63</v>
      </c>
      <c r="C735" t="s">
        <v>29</v>
      </c>
      <c r="D735" t="s">
        <v>26</v>
      </c>
      <c r="E735" s="2">
        <v>2</v>
      </c>
      <c r="F735" t="s">
        <v>84</v>
      </c>
      <c r="G735">
        <v>6.69</v>
      </c>
      <c r="H735">
        <v>6.19</v>
      </c>
      <c r="I735" s="2" t="str">
        <f>_xlfn.XLOOKUP(F735,DeparaIMG!B:B,DeparaIMG!D:D,,0)</f>
        <v>MICLN.png</v>
      </c>
    </row>
    <row r="736" spans="1:9" x14ac:dyDescent="0.25">
      <c r="A736" s="2" t="s">
        <v>102</v>
      </c>
      <c r="B736" s="2" t="s">
        <v>63</v>
      </c>
      <c r="C736" t="s">
        <v>88</v>
      </c>
      <c r="D736" t="s">
        <v>25</v>
      </c>
      <c r="E736" s="2">
        <v>2</v>
      </c>
      <c r="F736" t="s">
        <v>84</v>
      </c>
      <c r="G736">
        <v>6.69</v>
      </c>
      <c r="H736">
        <v>5.99</v>
      </c>
      <c r="I736" s="2" t="str">
        <f>_xlfn.XLOOKUP(F736,DeparaIMG!B:B,DeparaIMG!D:D,,0)</f>
        <v>MICLN.png</v>
      </c>
    </row>
    <row r="737" spans="1:9" x14ac:dyDescent="0.25">
      <c r="A737" s="2" t="s">
        <v>102</v>
      </c>
      <c r="B737" s="2" t="s">
        <v>63</v>
      </c>
      <c r="C737" t="s">
        <v>88</v>
      </c>
      <c r="D737" t="s">
        <v>26</v>
      </c>
      <c r="E737" s="2">
        <v>2</v>
      </c>
      <c r="F737" t="s">
        <v>84</v>
      </c>
      <c r="G737">
        <v>6.69</v>
      </c>
      <c r="H737">
        <v>5.99</v>
      </c>
      <c r="I737" s="2" t="str">
        <f>_xlfn.XLOOKUP(F737,DeparaIMG!B:B,DeparaIMG!D:D,,0)</f>
        <v>MICLN.png</v>
      </c>
    </row>
    <row r="738" spans="1:9" x14ac:dyDescent="0.25">
      <c r="A738" s="2" t="s">
        <v>102</v>
      </c>
      <c r="B738" s="2" t="s">
        <v>63</v>
      </c>
      <c r="C738" t="s">
        <v>89</v>
      </c>
      <c r="D738" t="s">
        <v>25</v>
      </c>
      <c r="E738" s="2">
        <v>2</v>
      </c>
      <c r="F738" t="s">
        <v>84</v>
      </c>
      <c r="G738">
        <v>6.69</v>
      </c>
      <c r="H738">
        <v>5.99</v>
      </c>
      <c r="I738" s="2" t="str">
        <f>_xlfn.XLOOKUP(F738,DeparaIMG!B:B,DeparaIMG!D:D,,0)</f>
        <v>MICLN.png</v>
      </c>
    </row>
    <row r="739" spans="1:9" x14ac:dyDescent="0.25">
      <c r="A739" s="2" t="s">
        <v>102</v>
      </c>
      <c r="B739" s="2" t="s">
        <v>63</v>
      </c>
      <c r="C739" t="s">
        <v>89</v>
      </c>
      <c r="D739" t="s">
        <v>26</v>
      </c>
      <c r="E739" s="2">
        <v>2</v>
      </c>
      <c r="F739" t="s">
        <v>84</v>
      </c>
      <c r="G739">
        <v>6.69</v>
      </c>
      <c r="H739">
        <v>5.99</v>
      </c>
      <c r="I739" s="2" t="str">
        <f>_xlfn.XLOOKUP(F739,DeparaIMG!B:B,DeparaIMG!D:D,,0)</f>
        <v>MICLN.png</v>
      </c>
    </row>
    <row r="740" spans="1:9" x14ac:dyDescent="0.25">
      <c r="A740" s="2" t="s">
        <v>102</v>
      </c>
      <c r="B740" s="2" t="s">
        <v>63</v>
      </c>
      <c r="C740" t="s">
        <v>4</v>
      </c>
      <c r="D740" t="s">
        <v>25</v>
      </c>
      <c r="E740" s="2">
        <v>2</v>
      </c>
      <c r="F740" t="s">
        <v>84</v>
      </c>
      <c r="G740">
        <v>6.69</v>
      </c>
      <c r="H740">
        <v>6.19</v>
      </c>
      <c r="I740" s="2" t="str">
        <f>_xlfn.XLOOKUP(F740,DeparaIMG!B:B,DeparaIMG!D:D,,0)</f>
        <v>MICLN.png</v>
      </c>
    </row>
    <row r="741" spans="1:9" x14ac:dyDescent="0.25">
      <c r="A741" s="2" t="s">
        <v>102</v>
      </c>
      <c r="B741" s="2" t="s">
        <v>63</v>
      </c>
      <c r="C741" t="s">
        <v>4</v>
      </c>
      <c r="D741" t="s">
        <v>26</v>
      </c>
      <c r="E741" s="2">
        <v>2</v>
      </c>
      <c r="F741" t="s">
        <v>84</v>
      </c>
      <c r="G741">
        <v>6.69</v>
      </c>
      <c r="H741">
        <v>6.19</v>
      </c>
      <c r="I741" s="2" t="str">
        <f>_xlfn.XLOOKUP(F741,DeparaIMG!B:B,DeparaIMG!D:D,,0)</f>
        <v>MICLN.png</v>
      </c>
    </row>
    <row r="742" spans="1:9" x14ac:dyDescent="0.25">
      <c r="A742" s="2" t="s">
        <v>102</v>
      </c>
      <c r="B742" s="2" t="s">
        <v>63</v>
      </c>
      <c r="C742" t="s">
        <v>91</v>
      </c>
      <c r="D742" t="s">
        <v>26</v>
      </c>
      <c r="E742" s="2">
        <v>2</v>
      </c>
      <c r="F742" t="s">
        <v>84</v>
      </c>
      <c r="G742">
        <v>6.69</v>
      </c>
      <c r="H742">
        <v>6.19</v>
      </c>
      <c r="I742" s="2" t="str">
        <f>_xlfn.XLOOKUP(F742,DeparaIMG!B:B,DeparaIMG!D:D,,0)</f>
        <v>MICLN.png</v>
      </c>
    </row>
    <row r="743" spans="1:9" x14ac:dyDescent="0.25">
      <c r="A743" s="2" t="s">
        <v>102</v>
      </c>
      <c r="B743" s="2" t="s">
        <v>63</v>
      </c>
      <c r="C743" t="s">
        <v>90</v>
      </c>
      <c r="D743" t="s">
        <v>26</v>
      </c>
      <c r="E743" s="2">
        <v>2</v>
      </c>
      <c r="F743" t="s">
        <v>84</v>
      </c>
      <c r="G743">
        <v>6.69</v>
      </c>
      <c r="H743">
        <v>6.19</v>
      </c>
      <c r="I743" s="2" t="str">
        <f>_xlfn.XLOOKUP(F743,DeparaIMG!B:B,DeparaIMG!D:D,,0)</f>
        <v>MICLN.png</v>
      </c>
    </row>
    <row r="744" spans="1:9" x14ac:dyDescent="0.25">
      <c r="A744" s="2" t="s">
        <v>102</v>
      </c>
      <c r="B744" s="2" t="s">
        <v>63</v>
      </c>
      <c r="C744" t="s">
        <v>90</v>
      </c>
      <c r="D744" t="s">
        <v>25</v>
      </c>
      <c r="E744" s="2">
        <v>2</v>
      </c>
      <c r="F744" t="s">
        <v>84</v>
      </c>
      <c r="G744">
        <v>6.69</v>
      </c>
      <c r="H744">
        <v>6.19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63</v>
      </c>
      <c r="C745" t="s">
        <v>91</v>
      </c>
      <c r="D745" t="s">
        <v>25</v>
      </c>
      <c r="E745" s="2">
        <v>2</v>
      </c>
      <c r="F745" t="s">
        <v>84</v>
      </c>
      <c r="G745">
        <v>6.69</v>
      </c>
      <c r="H745">
        <v>6.19</v>
      </c>
      <c r="I745" s="2" t="str">
        <f>_xlfn.XLOOKUP(F745,DeparaIMG!B:B,DeparaIMG!D:D,,0)</f>
        <v>MICLN.png</v>
      </c>
    </row>
    <row r="746" spans="1:9" x14ac:dyDescent="0.25">
      <c r="A746" s="2" t="s">
        <v>102</v>
      </c>
      <c r="B746" s="2" t="s">
        <v>63</v>
      </c>
      <c r="C746" t="s">
        <v>89</v>
      </c>
      <c r="D746" t="s">
        <v>25</v>
      </c>
      <c r="E746" s="2">
        <v>1</v>
      </c>
      <c r="F746" t="s">
        <v>86</v>
      </c>
      <c r="G746">
        <v>7.99</v>
      </c>
      <c r="H746">
        <v>6.99</v>
      </c>
      <c r="I746" s="2" t="str">
        <f>_xlfn.XLOOKUP(F746,DeparaIMG!B:B,DeparaIMG!D:D,,0)</f>
        <v>CORLN.png</v>
      </c>
    </row>
    <row r="747" spans="1:9" x14ac:dyDescent="0.25">
      <c r="A747" s="2" t="s">
        <v>102</v>
      </c>
      <c r="B747" s="2" t="s">
        <v>63</v>
      </c>
      <c r="C747" t="s">
        <v>4</v>
      </c>
      <c r="D747" t="s">
        <v>26</v>
      </c>
      <c r="E747" s="2">
        <v>1</v>
      </c>
      <c r="F747" t="s">
        <v>86</v>
      </c>
      <c r="G747">
        <v>7.99</v>
      </c>
      <c r="H747">
        <v>6.99</v>
      </c>
      <c r="I747" s="2" t="str">
        <f>_xlfn.XLOOKUP(F747,DeparaIMG!B:B,DeparaIMG!D:D,,0)</f>
        <v>CORLN.png</v>
      </c>
    </row>
    <row r="748" spans="1:9" x14ac:dyDescent="0.25">
      <c r="A748" s="2" t="s">
        <v>102</v>
      </c>
      <c r="B748" s="2" t="s">
        <v>63</v>
      </c>
      <c r="C748" t="s">
        <v>90</v>
      </c>
      <c r="D748" t="s">
        <v>26</v>
      </c>
      <c r="E748" s="2">
        <v>1</v>
      </c>
      <c r="F748" t="s">
        <v>86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63</v>
      </c>
      <c r="C749" t="s">
        <v>91</v>
      </c>
      <c r="D749" t="s">
        <v>26</v>
      </c>
      <c r="E749" s="2">
        <v>1</v>
      </c>
      <c r="F749" t="s">
        <v>86</v>
      </c>
      <c r="G749">
        <v>7.99</v>
      </c>
      <c r="H749">
        <v>6.99</v>
      </c>
      <c r="I749" s="2" t="str">
        <f>_xlfn.XLOOKUP(F749,DeparaIMG!B:B,DeparaIMG!D:D,,0)</f>
        <v>CORLN.png</v>
      </c>
    </row>
    <row r="750" spans="1:9" x14ac:dyDescent="0.25">
      <c r="A750" s="2" t="s">
        <v>102</v>
      </c>
      <c r="B750" s="2" t="s">
        <v>63</v>
      </c>
      <c r="C750" t="s">
        <v>90</v>
      </c>
      <c r="D750" t="s">
        <v>25</v>
      </c>
      <c r="E750" s="2">
        <v>1</v>
      </c>
      <c r="F750" t="s">
        <v>86</v>
      </c>
      <c r="G750">
        <v>7.99</v>
      </c>
      <c r="H750">
        <v>6.99</v>
      </c>
      <c r="I750" s="2" t="str">
        <f>_xlfn.XLOOKUP(F750,DeparaIMG!B:B,DeparaIMG!D:D,,0)</f>
        <v>CORLN.png</v>
      </c>
    </row>
    <row r="751" spans="1:9" x14ac:dyDescent="0.25">
      <c r="A751" s="2" t="s">
        <v>102</v>
      </c>
      <c r="B751" s="2" t="s">
        <v>63</v>
      </c>
      <c r="C751" t="s">
        <v>91</v>
      </c>
      <c r="D751" t="s">
        <v>25</v>
      </c>
      <c r="E751" s="2">
        <v>1</v>
      </c>
      <c r="F751" t="s">
        <v>86</v>
      </c>
      <c r="G751">
        <v>7.99</v>
      </c>
      <c r="H751">
        <v>6.99</v>
      </c>
      <c r="I751" s="2" t="str">
        <f>_xlfn.XLOOKUP(F751,DeparaIMG!B:B,DeparaIMG!D:D,,0)</f>
        <v>CORLN.png</v>
      </c>
    </row>
    <row r="752" spans="1:9" x14ac:dyDescent="0.25">
      <c r="A752" s="2" t="s">
        <v>102</v>
      </c>
      <c r="B752" s="2" t="s">
        <v>63</v>
      </c>
      <c r="C752" t="s">
        <v>89</v>
      </c>
      <c r="D752" t="s">
        <v>25</v>
      </c>
      <c r="E752" s="2">
        <v>1</v>
      </c>
      <c r="F752" t="s">
        <v>87</v>
      </c>
      <c r="G752">
        <v>7.99</v>
      </c>
      <c r="H752">
        <v>6.99</v>
      </c>
      <c r="I752" s="2" t="str">
        <f>_xlfn.XLOOKUP(F752,DeparaIMG!B:B,DeparaIMG!D:D,,0)</f>
        <v>CORCEROLN.png</v>
      </c>
    </row>
    <row r="753" spans="1:9" x14ac:dyDescent="0.25">
      <c r="A753" s="2" t="s">
        <v>102</v>
      </c>
      <c r="B753" s="2" t="s">
        <v>63</v>
      </c>
      <c r="C753" t="s">
        <v>4</v>
      </c>
      <c r="D753" t="s">
        <v>26</v>
      </c>
      <c r="E753" s="2">
        <v>1</v>
      </c>
      <c r="F753" t="s">
        <v>87</v>
      </c>
      <c r="G753">
        <v>7.99</v>
      </c>
      <c r="H753">
        <v>6.99</v>
      </c>
      <c r="I753" s="2" t="str">
        <f>_xlfn.XLOOKUP(F753,DeparaIMG!B:B,DeparaIMG!D:D,,0)</f>
        <v>CORCEROLN.png</v>
      </c>
    </row>
    <row r="754" spans="1:9" x14ac:dyDescent="0.25">
      <c r="A754" s="2" t="s">
        <v>102</v>
      </c>
      <c r="B754" s="2" t="s">
        <v>63</v>
      </c>
      <c r="C754" t="s">
        <v>90</v>
      </c>
      <c r="D754" t="s">
        <v>26</v>
      </c>
      <c r="E754" s="2">
        <v>1</v>
      </c>
      <c r="F754" t="s">
        <v>87</v>
      </c>
      <c r="G754">
        <v>7.99</v>
      </c>
      <c r="H754">
        <v>6.99</v>
      </c>
      <c r="I754" s="2" t="str">
        <f>_xlfn.XLOOKUP(F754,DeparaIMG!B:B,DeparaIMG!D:D,,0)</f>
        <v>CORCEROLN.png</v>
      </c>
    </row>
    <row r="755" spans="1:9" x14ac:dyDescent="0.25">
      <c r="A755" s="2" t="s">
        <v>102</v>
      </c>
      <c r="B755" s="2" t="s">
        <v>63</v>
      </c>
      <c r="C755" t="s">
        <v>91</v>
      </c>
      <c r="D755" t="s">
        <v>26</v>
      </c>
      <c r="E755" s="2">
        <v>1</v>
      </c>
      <c r="F755" t="s">
        <v>87</v>
      </c>
      <c r="G755">
        <v>7.99</v>
      </c>
      <c r="H755">
        <v>6.99</v>
      </c>
      <c r="I755" s="2" t="str">
        <f>_xlfn.XLOOKUP(F755,DeparaIMG!B:B,DeparaIMG!D:D,,0)</f>
        <v>CORCEROLN.png</v>
      </c>
    </row>
    <row r="756" spans="1:9" x14ac:dyDescent="0.25">
      <c r="A756" s="2" t="s">
        <v>102</v>
      </c>
      <c r="B756" s="2" t="s">
        <v>63</v>
      </c>
      <c r="C756" t="s">
        <v>90</v>
      </c>
      <c r="D756" t="s">
        <v>25</v>
      </c>
      <c r="E756" s="2">
        <v>1</v>
      </c>
      <c r="F756" t="s">
        <v>87</v>
      </c>
      <c r="G756">
        <v>7.99</v>
      </c>
      <c r="H756">
        <v>6.99</v>
      </c>
      <c r="I756" s="2" t="str">
        <f>_xlfn.XLOOKUP(F756,DeparaIMG!B:B,DeparaIMG!D:D,,0)</f>
        <v>CORCEROLN.png</v>
      </c>
    </row>
    <row r="757" spans="1:9" x14ac:dyDescent="0.25">
      <c r="A757" s="2" t="s">
        <v>102</v>
      </c>
      <c r="B757" s="2" t="s">
        <v>63</v>
      </c>
      <c r="C757" t="s">
        <v>91</v>
      </c>
      <c r="D757" t="s">
        <v>25</v>
      </c>
      <c r="E757" s="2">
        <v>1</v>
      </c>
      <c r="F757" t="s">
        <v>87</v>
      </c>
      <c r="G757">
        <v>7.99</v>
      </c>
      <c r="H757">
        <v>6.99</v>
      </c>
      <c r="I757" s="2" t="str">
        <f>_xlfn.XLOOKUP(F757,DeparaIMG!B:B,DeparaIMG!D:D,,0)</f>
        <v>CORCEROLN.png</v>
      </c>
    </row>
    <row r="758" spans="1:9" x14ac:dyDescent="0.25">
      <c r="A758" s="2" t="s">
        <v>102</v>
      </c>
      <c r="B758" s="2" t="s">
        <v>63</v>
      </c>
      <c r="C758" t="s">
        <v>28</v>
      </c>
      <c r="D758" t="s">
        <v>25</v>
      </c>
      <c r="E758" s="2">
        <v>1</v>
      </c>
      <c r="F758" t="s">
        <v>86</v>
      </c>
      <c r="G758">
        <v>7.99</v>
      </c>
      <c r="H758">
        <v>6.99</v>
      </c>
      <c r="I758" s="2" t="str">
        <f>_xlfn.XLOOKUP(F758,DeparaIMG!B:B,DeparaIMG!D:D,,0)</f>
        <v>CORLN.png</v>
      </c>
    </row>
    <row r="759" spans="1:9" x14ac:dyDescent="0.25">
      <c r="A759" s="2" t="s">
        <v>102</v>
      </c>
      <c r="B759" s="2" t="s">
        <v>63</v>
      </c>
      <c r="C759" t="s">
        <v>28</v>
      </c>
      <c r="D759" t="s">
        <v>26</v>
      </c>
      <c r="E759" s="2">
        <v>1</v>
      </c>
      <c r="F759" t="s">
        <v>86</v>
      </c>
      <c r="G759">
        <v>7.99</v>
      </c>
      <c r="H759">
        <v>6.99</v>
      </c>
      <c r="I759" s="2" t="str">
        <f>_xlfn.XLOOKUP(F759,DeparaIMG!B:B,DeparaIMG!D:D,,0)</f>
        <v>CORLN.png</v>
      </c>
    </row>
    <row r="760" spans="1:9" x14ac:dyDescent="0.25">
      <c r="A760" s="2" t="s">
        <v>102</v>
      </c>
      <c r="B760" s="2" t="s">
        <v>63</v>
      </c>
      <c r="C760" t="s">
        <v>29</v>
      </c>
      <c r="D760" t="s">
        <v>25</v>
      </c>
      <c r="E760" s="2">
        <v>1</v>
      </c>
      <c r="F760" t="s">
        <v>86</v>
      </c>
      <c r="G760">
        <v>7.99</v>
      </c>
      <c r="H760">
        <v>6.99</v>
      </c>
      <c r="I760" s="2" t="str">
        <f>_xlfn.XLOOKUP(F760,DeparaIMG!B:B,DeparaIMG!D:D,,0)</f>
        <v>CORLN.png</v>
      </c>
    </row>
    <row r="761" spans="1:9" x14ac:dyDescent="0.25">
      <c r="A761" s="2" t="s">
        <v>102</v>
      </c>
      <c r="B761" s="2" t="s">
        <v>63</v>
      </c>
      <c r="C761" t="s">
        <v>29</v>
      </c>
      <c r="D761" t="s">
        <v>26</v>
      </c>
      <c r="E761" s="2">
        <v>1</v>
      </c>
      <c r="F761" t="s">
        <v>86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63</v>
      </c>
      <c r="C762" t="s">
        <v>88</v>
      </c>
      <c r="D762" t="s">
        <v>25</v>
      </c>
      <c r="E762" s="2">
        <v>1</v>
      </c>
      <c r="F762" t="s">
        <v>86</v>
      </c>
      <c r="G762">
        <v>7.99</v>
      </c>
      <c r="H762">
        <v>6.99</v>
      </c>
      <c r="I762" s="2" t="str">
        <f>_xlfn.XLOOKUP(F762,DeparaIMG!B:B,DeparaIMG!D:D,,0)</f>
        <v>CORLN.png</v>
      </c>
    </row>
    <row r="763" spans="1:9" x14ac:dyDescent="0.25">
      <c r="A763" s="2" t="s">
        <v>102</v>
      </c>
      <c r="B763" s="2" t="s">
        <v>63</v>
      </c>
      <c r="C763" t="s">
        <v>88</v>
      </c>
      <c r="D763" t="s">
        <v>26</v>
      </c>
      <c r="E763" s="2">
        <v>1</v>
      </c>
      <c r="F763" t="s">
        <v>86</v>
      </c>
      <c r="G763">
        <v>7.99</v>
      </c>
      <c r="H763">
        <v>6.99</v>
      </c>
      <c r="I763" s="2" t="str">
        <f>_xlfn.XLOOKUP(F763,DeparaIMG!B:B,DeparaIMG!D:D,,0)</f>
        <v>CORLN.png</v>
      </c>
    </row>
    <row r="764" spans="1:9" x14ac:dyDescent="0.25">
      <c r="A764" s="2" t="s">
        <v>102</v>
      </c>
      <c r="B764" s="2" t="s">
        <v>63</v>
      </c>
      <c r="C764" t="s">
        <v>89</v>
      </c>
      <c r="D764" t="s">
        <v>26</v>
      </c>
      <c r="E764" s="2">
        <v>1</v>
      </c>
      <c r="F764" t="s">
        <v>86</v>
      </c>
      <c r="G764">
        <v>7.99</v>
      </c>
      <c r="H764">
        <v>6.99</v>
      </c>
      <c r="I764" s="2" t="str">
        <f>_xlfn.XLOOKUP(F764,DeparaIMG!B:B,DeparaIMG!D:D,,0)</f>
        <v>CORLN.png</v>
      </c>
    </row>
    <row r="765" spans="1:9" x14ac:dyDescent="0.25">
      <c r="A765" s="2" t="s">
        <v>102</v>
      </c>
      <c r="B765" s="2" t="s">
        <v>63</v>
      </c>
      <c r="C765" t="s">
        <v>4</v>
      </c>
      <c r="D765" t="s">
        <v>25</v>
      </c>
      <c r="E765" s="2">
        <v>1</v>
      </c>
      <c r="F765" t="s">
        <v>86</v>
      </c>
      <c r="G765">
        <v>7.99</v>
      </c>
      <c r="H765">
        <v>6.99</v>
      </c>
      <c r="I765" s="2" t="str">
        <f>_xlfn.XLOOKUP(F765,DeparaIMG!B:B,DeparaIMG!D:D,,0)</f>
        <v>CORLN.png</v>
      </c>
    </row>
    <row r="766" spans="1:9" x14ac:dyDescent="0.25">
      <c r="A766" s="2" t="s">
        <v>102</v>
      </c>
      <c r="B766" s="2" t="s">
        <v>63</v>
      </c>
      <c r="C766" t="s">
        <v>28</v>
      </c>
      <c r="D766" t="s">
        <v>25</v>
      </c>
      <c r="E766" s="2">
        <v>1</v>
      </c>
      <c r="F766" t="s">
        <v>87</v>
      </c>
      <c r="G766">
        <v>7.99</v>
      </c>
      <c r="H766">
        <v>6.99</v>
      </c>
      <c r="I766" s="2" t="str">
        <f>_xlfn.XLOOKUP(F766,DeparaIMG!B:B,DeparaIMG!D:D,,0)</f>
        <v>CORCEROLN.png</v>
      </c>
    </row>
    <row r="767" spans="1:9" x14ac:dyDescent="0.25">
      <c r="A767" s="2" t="s">
        <v>102</v>
      </c>
      <c r="B767" s="2" t="s">
        <v>63</v>
      </c>
      <c r="C767" t="s">
        <v>28</v>
      </c>
      <c r="D767" t="s">
        <v>26</v>
      </c>
      <c r="E767" s="2">
        <v>1</v>
      </c>
      <c r="F767" t="s">
        <v>87</v>
      </c>
      <c r="G767">
        <v>7.99</v>
      </c>
      <c r="H767">
        <v>6.99</v>
      </c>
      <c r="I767" s="2" t="str">
        <f>_xlfn.XLOOKUP(F767,DeparaIMG!B:B,DeparaIMG!D:D,,0)</f>
        <v>CORCEROLN.png</v>
      </c>
    </row>
    <row r="768" spans="1:9" x14ac:dyDescent="0.25">
      <c r="A768" s="2" t="s">
        <v>102</v>
      </c>
      <c r="B768" s="2" t="s">
        <v>63</v>
      </c>
      <c r="C768" t="s">
        <v>29</v>
      </c>
      <c r="D768" t="s">
        <v>25</v>
      </c>
      <c r="E768" s="2">
        <v>1</v>
      </c>
      <c r="F768" t="s">
        <v>87</v>
      </c>
      <c r="G768">
        <v>7.99</v>
      </c>
      <c r="H768">
        <v>6.99</v>
      </c>
      <c r="I768" s="2" t="str">
        <f>_xlfn.XLOOKUP(F768,DeparaIMG!B:B,DeparaIMG!D:D,,0)</f>
        <v>CORCEROLN.png</v>
      </c>
    </row>
    <row r="769" spans="1:9" x14ac:dyDescent="0.25">
      <c r="A769" s="2" t="s">
        <v>102</v>
      </c>
      <c r="B769" s="2" t="s">
        <v>63</v>
      </c>
      <c r="C769" t="s">
        <v>29</v>
      </c>
      <c r="D769" t="s">
        <v>26</v>
      </c>
      <c r="E769" s="2">
        <v>1</v>
      </c>
      <c r="F769" t="s">
        <v>87</v>
      </c>
      <c r="G769">
        <v>7.99</v>
      </c>
      <c r="H769">
        <v>6.99</v>
      </c>
      <c r="I769" s="2" t="str">
        <f>_xlfn.XLOOKUP(F769,DeparaIMG!B:B,DeparaIMG!D:D,,0)</f>
        <v>CORCEROLN.png</v>
      </c>
    </row>
    <row r="770" spans="1:9" x14ac:dyDescent="0.25">
      <c r="A770" s="2" t="s">
        <v>102</v>
      </c>
      <c r="B770" s="2" t="s">
        <v>63</v>
      </c>
      <c r="C770" t="s">
        <v>88</v>
      </c>
      <c r="D770" t="s">
        <v>25</v>
      </c>
      <c r="E770" s="2">
        <v>1</v>
      </c>
      <c r="F770" t="s">
        <v>87</v>
      </c>
      <c r="G770">
        <v>7.99</v>
      </c>
      <c r="H770">
        <v>6.99</v>
      </c>
      <c r="I770" s="2" t="str">
        <f>_xlfn.XLOOKUP(F770,DeparaIMG!B:B,DeparaIMG!D:D,,0)</f>
        <v>CORCEROLN.png</v>
      </c>
    </row>
    <row r="771" spans="1:9" x14ac:dyDescent="0.25">
      <c r="A771" s="2" t="s">
        <v>102</v>
      </c>
      <c r="B771" s="2" t="s">
        <v>63</v>
      </c>
      <c r="C771" t="s">
        <v>88</v>
      </c>
      <c r="D771" t="s">
        <v>26</v>
      </c>
      <c r="E771" s="2">
        <v>1</v>
      </c>
      <c r="F771" t="s">
        <v>87</v>
      </c>
      <c r="G771">
        <v>7.99</v>
      </c>
      <c r="H771">
        <v>6.99</v>
      </c>
      <c r="I771" s="2" t="str">
        <f>_xlfn.XLOOKUP(F771,DeparaIMG!B:B,DeparaIMG!D:D,,0)</f>
        <v>CORCEROLN.png</v>
      </c>
    </row>
    <row r="772" spans="1:9" x14ac:dyDescent="0.25">
      <c r="A772" s="2" t="s">
        <v>102</v>
      </c>
      <c r="B772" s="2" t="s">
        <v>63</v>
      </c>
      <c r="C772" t="s">
        <v>89</v>
      </c>
      <c r="D772" t="s">
        <v>26</v>
      </c>
      <c r="E772" s="2">
        <v>1</v>
      </c>
      <c r="F772" t="s">
        <v>87</v>
      </c>
      <c r="G772">
        <v>7.99</v>
      </c>
      <c r="H772">
        <v>6.99</v>
      </c>
      <c r="I772" s="2" t="str">
        <f>_xlfn.XLOOKUP(F772,DeparaIMG!B:B,DeparaIMG!D:D,,0)</f>
        <v>CORCEROLN.png</v>
      </c>
    </row>
    <row r="773" spans="1:9" x14ac:dyDescent="0.25">
      <c r="A773" s="2" t="s">
        <v>102</v>
      </c>
      <c r="B773" s="2" t="s">
        <v>63</v>
      </c>
      <c r="C773" t="s">
        <v>4</v>
      </c>
      <c r="D773" t="s">
        <v>25</v>
      </c>
      <c r="E773" s="2">
        <v>1</v>
      </c>
      <c r="F773" t="s">
        <v>87</v>
      </c>
      <c r="G773">
        <v>7.99</v>
      </c>
      <c r="H773">
        <v>6.99</v>
      </c>
      <c r="I773" s="2" t="str">
        <f>_xlfn.XLOOKUP(F773,DeparaIMG!B:B,DeparaIMG!D:D,,0)</f>
        <v>CORCEROLN.png</v>
      </c>
    </row>
    <row r="774" spans="1:9" x14ac:dyDescent="0.25">
      <c r="A774" s="2" t="s">
        <v>102</v>
      </c>
      <c r="B774" s="2" t="s">
        <v>63</v>
      </c>
      <c r="C774" t="s">
        <v>28</v>
      </c>
      <c r="D774" t="s">
        <v>25</v>
      </c>
      <c r="E774" s="2">
        <v>2</v>
      </c>
      <c r="F774" t="s">
        <v>81</v>
      </c>
      <c r="G774">
        <v>6.19</v>
      </c>
      <c r="H774">
        <v>5.39</v>
      </c>
      <c r="I774" s="2" t="str">
        <f>_xlfn.XLOOKUP(F774,DeparaIMG!B:B,DeparaIMG!D:D,,0)</f>
        <v>CORCERO350.png</v>
      </c>
    </row>
    <row r="775" spans="1:9" x14ac:dyDescent="0.25">
      <c r="A775" s="2" t="s">
        <v>102</v>
      </c>
      <c r="B775" s="2" t="s">
        <v>63</v>
      </c>
      <c r="C775" t="s">
        <v>29</v>
      </c>
      <c r="D775" t="s">
        <v>25</v>
      </c>
      <c r="E775" s="2">
        <v>2</v>
      </c>
      <c r="F775" t="s">
        <v>81</v>
      </c>
      <c r="G775">
        <v>6.29</v>
      </c>
      <c r="H775">
        <v>5.49</v>
      </c>
      <c r="I775" s="2" t="str">
        <f>_xlfn.XLOOKUP(F775,DeparaIMG!B:B,DeparaIMG!D:D,,0)</f>
        <v>CORCERO350.png</v>
      </c>
    </row>
    <row r="776" spans="1:9" x14ac:dyDescent="0.25">
      <c r="A776" s="2" t="s">
        <v>102</v>
      </c>
      <c r="B776" s="2" t="s">
        <v>63</v>
      </c>
      <c r="C776" t="s">
        <v>88</v>
      </c>
      <c r="D776" t="s">
        <v>25</v>
      </c>
      <c r="E776" s="2">
        <v>2</v>
      </c>
      <c r="F776" t="s">
        <v>81</v>
      </c>
      <c r="G776">
        <v>6.29</v>
      </c>
      <c r="H776">
        <v>5.49</v>
      </c>
      <c r="I776" s="2" t="str">
        <f>_xlfn.XLOOKUP(F776,DeparaIMG!B:B,DeparaIMG!D:D,,0)</f>
        <v>CORCERO350.png</v>
      </c>
    </row>
    <row r="777" spans="1:9" x14ac:dyDescent="0.25">
      <c r="A777" s="2" t="s">
        <v>102</v>
      </c>
      <c r="B777" s="2" t="s">
        <v>63</v>
      </c>
      <c r="C777" t="s">
        <v>89</v>
      </c>
      <c r="D777" t="s">
        <v>25</v>
      </c>
      <c r="E777" s="2">
        <v>2</v>
      </c>
      <c r="F777" t="s">
        <v>81</v>
      </c>
      <c r="G777">
        <v>6.29</v>
      </c>
      <c r="H777">
        <v>5.49</v>
      </c>
      <c r="I777" s="2" t="str">
        <f>_xlfn.XLOOKUP(F777,DeparaIMG!B:B,DeparaIMG!D:D,,0)</f>
        <v>CORCERO350.png</v>
      </c>
    </row>
    <row r="778" spans="1:9" x14ac:dyDescent="0.25">
      <c r="A778" s="2" t="s">
        <v>102</v>
      </c>
      <c r="B778" s="2" t="s">
        <v>63</v>
      </c>
      <c r="C778" t="s">
        <v>4</v>
      </c>
      <c r="D778" t="s">
        <v>25</v>
      </c>
      <c r="E778" s="2">
        <v>2</v>
      </c>
      <c r="F778" t="s">
        <v>81</v>
      </c>
      <c r="G778">
        <v>6.29</v>
      </c>
      <c r="H778">
        <v>5.49</v>
      </c>
      <c r="I778" s="2" t="str">
        <f>_xlfn.XLOOKUP(F778,DeparaIMG!B:B,DeparaIMG!D:D,,0)</f>
        <v>CORCERO350.png</v>
      </c>
    </row>
    <row r="779" spans="1:9" x14ac:dyDescent="0.25">
      <c r="A779" s="2" t="s">
        <v>102</v>
      </c>
      <c r="B779" s="2" t="s">
        <v>63</v>
      </c>
      <c r="C779" t="s">
        <v>91</v>
      </c>
      <c r="D779" t="s">
        <v>25</v>
      </c>
      <c r="E779" s="2">
        <v>2</v>
      </c>
      <c r="F779" t="s">
        <v>81</v>
      </c>
      <c r="G779">
        <v>6.29</v>
      </c>
      <c r="H779">
        <v>5.49</v>
      </c>
      <c r="I779" s="2" t="str">
        <f>_xlfn.XLOOKUP(F779,DeparaIMG!B:B,DeparaIMG!D:D,,0)</f>
        <v>CORCERO350.png</v>
      </c>
    </row>
    <row r="780" spans="1:9" x14ac:dyDescent="0.25">
      <c r="A780" s="2" t="s">
        <v>102</v>
      </c>
      <c r="B780" s="2" t="s">
        <v>63</v>
      </c>
      <c r="C780" t="s">
        <v>90</v>
      </c>
      <c r="D780" t="s">
        <v>25</v>
      </c>
      <c r="E780" s="2">
        <v>2</v>
      </c>
      <c r="F780" t="s">
        <v>81</v>
      </c>
      <c r="G780">
        <v>6.29</v>
      </c>
      <c r="H780">
        <v>5.49</v>
      </c>
      <c r="I780" s="2" t="str">
        <f>_xlfn.XLOOKUP(F780,DeparaIMG!B:B,DeparaIMG!D:D,,0)</f>
        <v>CORCERO350.png</v>
      </c>
    </row>
    <row r="781" spans="1:9" x14ac:dyDescent="0.25">
      <c r="A781" s="2" t="s">
        <v>102</v>
      </c>
      <c r="B781" s="2" t="s">
        <v>63</v>
      </c>
      <c r="C781" t="s">
        <v>88</v>
      </c>
      <c r="D781" t="s">
        <v>25</v>
      </c>
      <c r="E781" s="2">
        <v>2</v>
      </c>
      <c r="F781" t="s">
        <v>79</v>
      </c>
      <c r="G781">
        <v>5.49</v>
      </c>
      <c r="H781">
        <v>4.99</v>
      </c>
      <c r="I781" s="2" t="str">
        <f>_xlfn.XLOOKUP(F781,DeparaIMG!B:B,DeparaIMG!D:D,,0)</f>
        <v>MIC350.png</v>
      </c>
    </row>
    <row r="782" spans="1:9" x14ac:dyDescent="0.25">
      <c r="A782" s="2" t="s">
        <v>102</v>
      </c>
      <c r="B782" s="2" t="s">
        <v>63</v>
      </c>
      <c r="C782" t="s">
        <v>88</v>
      </c>
      <c r="D782" t="s">
        <v>26</v>
      </c>
      <c r="E782" s="2">
        <v>2</v>
      </c>
      <c r="F782" t="s">
        <v>79</v>
      </c>
      <c r="G782">
        <v>5.49</v>
      </c>
      <c r="H782">
        <v>4.99</v>
      </c>
      <c r="I782" s="2" t="str">
        <f>_xlfn.XLOOKUP(F782,DeparaIMG!B:B,DeparaIMG!D:D,,0)</f>
        <v>MIC350.png</v>
      </c>
    </row>
    <row r="783" spans="1:9" x14ac:dyDescent="0.25">
      <c r="A783" s="2" t="s">
        <v>102</v>
      </c>
      <c r="B783" s="2" t="s">
        <v>63</v>
      </c>
      <c r="C783" t="s">
        <v>89</v>
      </c>
      <c r="D783" t="s">
        <v>25</v>
      </c>
      <c r="E783" s="2">
        <v>2</v>
      </c>
      <c r="F783" t="s">
        <v>79</v>
      </c>
      <c r="G783">
        <v>5.49</v>
      </c>
      <c r="H783">
        <v>4.99</v>
      </c>
      <c r="I783" s="2" t="str">
        <f>_xlfn.XLOOKUP(F783,DeparaIMG!B:B,DeparaIMG!D:D,,0)</f>
        <v>MIC350.png</v>
      </c>
    </row>
    <row r="784" spans="1:9" x14ac:dyDescent="0.25">
      <c r="A784" s="2" t="s">
        <v>102</v>
      </c>
      <c r="B784" s="2" t="s">
        <v>63</v>
      </c>
      <c r="C784" t="s">
        <v>89</v>
      </c>
      <c r="D784" t="s">
        <v>26</v>
      </c>
      <c r="E784" s="2">
        <v>2</v>
      </c>
      <c r="F784" t="s">
        <v>79</v>
      </c>
      <c r="G784">
        <v>5.49</v>
      </c>
      <c r="H784">
        <v>4.99</v>
      </c>
      <c r="I784" s="2" t="str">
        <f>_xlfn.XLOOKUP(F784,DeparaIMG!B:B,DeparaIMG!D:D,,0)</f>
        <v>MIC350.png</v>
      </c>
    </row>
    <row r="785" spans="1:9" x14ac:dyDescent="0.25">
      <c r="A785" s="2" t="s">
        <v>105</v>
      </c>
      <c r="B785" s="2" t="s">
        <v>63</v>
      </c>
      <c r="C785" t="s">
        <v>28</v>
      </c>
      <c r="D785" t="s">
        <v>25</v>
      </c>
      <c r="E785" s="2">
        <v>1</v>
      </c>
      <c r="F785" t="s">
        <v>71</v>
      </c>
      <c r="G785">
        <v>3.69</v>
      </c>
      <c r="H785">
        <v>3.19</v>
      </c>
      <c r="I785" s="2" t="str">
        <f>_xlfn.XLOOKUP(F785,DeparaIMG!B:B,DeparaIMG!D:D,,0)</f>
        <v>BC0350.png</v>
      </c>
    </row>
    <row r="786" spans="1:9" x14ac:dyDescent="0.25">
      <c r="A786" s="2" t="s">
        <v>105</v>
      </c>
      <c r="B786" s="2" t="s">
        <v>63</v>
      </c>
      <c r="C786" t="s">
        <v>28</v>
      </c>
      <c r="D786" t="s">
        <v>25</v>
      </c>
      <c r="E786" s="2">
        <v>1</v>
      </c>
      <c r="F786" t="s">
        <v>73</v>
      </c>
      <c r="G786">
        <v>3.89</v>
      </c>
      <c r="H786">
        <v>3.49</v>
      </c>
      <c r="I786" s="2" t="str">
        <f>_xlfn.XLOOKUP(F786,DeparaIMG!B:B,DeparaIMG!D:D,,0)</f>
        <v>ORI269.png</v>
      </c>
    </row>
    <row r="787" spans="1:9" x14ac:dyDescent="0.25">
      <c r="A787" s="2" t="s">
        <v>105</v>
      </c>
      <c r="B787" s="2" t="s">
        <v>63</v>
      </c>
      <c r="C787" t="s">
        <v>28</v>
      </c>
      <c r="D787" t="s">
        <v>25</v>
      </c>
      <c r="E787" s="2">
        <v>1</v>
      </c>
      <c r="F787" t="s">
        <v>86</v>
      </c>
      <c r="G787">
        <v>7.99</v>
      </c>
      <c r="H787">
        <v>6.99</v>
      </c>
      <c r="I787" s="2" t="str">
        <f>_xlfn.XLOOKUP(F787,DeparaIMG!B:B,DeparaIMG!D:D,,0)</f>
        <v>CORLN.png</v>
      </c>
    </row>
    <row r="788" spans="1:9" x14ac:dyDescent="0.25">
      <c r="A788" s="2" t="s">
        <v>105</v>
      </c>
      <c r="B788" s="2" t="s">
        <v>63</v>
      </c>
      <c r="C788" t="s">
        <v>28</v>
      </c>
      <c r="D788" t="s">
        <v>25</v>
      </c>
      <c r="E788" s="2">
        <v>1</v>
      </c>
      <c r="F788" t="s">
        <v>68</v>
      </c>
      <c r="G788">
        <v>3.09</v>
      </c>
      <c r="H788">
        <v>2.79</v>
      </c>
      <c r="I788" s="2" t="str">
        <f>_xlfn.XLOOKUP(F788,DeparaIMG!B:B,DeparaIMG!D:D,,0)</f>
        <v>AP269.png</v>
      </c>
    </row>
    <row r="789" spans="1:9" x14ac:dyDescent="0.25">
      <c r="A789" s="2" t="s">
        <v>105</v>
      </c>
      <c r="B789" s="2" t="s">
        <v>63</v>
      </c>
      <c r="C789" t="s">
        <v>28</v>
      </c>
      <c r="D789" t="s">
        <v>25</v>
      </c>
      <c r="E789" s="2">
        <v>1</v>
      </c>
      <c r="F789" t="s">
        <v>79</v>
      </c>
      <c r="G789">
        <v>5.49</v>
      </c>
      <c r="H789">
        <v>4.99</v>
      </c>
      <c r="I789" s="2" t="str">
        <f>_xlfn.XLOOKUP(F789,DeparaIMG!B:B,DeparaIMG!D:D,,0)</f>
        <v>MIC350.png</v>
      </c>
    </row>
    <row r="790" spans="1:9" x14ac:dyDescent="0.25">
      <c r="A790" s="2" t="s">
        <v>105</v>
      </c>
      <c r="B790" s="2" t="s">
        <v>63</v>
      </c>
      <c r="C790" t="s">
        <v>28</v>
      </c>
      <c r="D790" t="s">
        <v>25</v>
      </c>
      <c r="E790" s="2">
        <v>2</v>
      </c>
      <c r="F790" t="s">
        <v>69</v>
      </c>
      <c r="G790">
        <v>3.09</v>
      </c>
      <c r="H790">
        <v>2.79</v>
      </c>
      <c r="I790" s="2" t="str">
        <f>_xlfn.XLOOKUP(F790,DeparaIMG!B:B,DeparaIMG!D:D,,0)</f>
        <v>BC269.png</v>
      </c>
    </row>
    <row r="791" spans="1:9" x14ac:dyDescent="0.25">
      <c r="A791" s="2" t="s">
        <v>105</v>
      </c>
      <c r="B791" s="2" t="s">
        <v>63</v>
      </c>
      <c r="C791" t="s">
        <v>28</v>
      </c>
      <c r="D791" t="s">
        <v>25</v>
      </c>
      <c r="E791" s="2">
        <v>2</v>
      </c>
      <c r="F791" t="s">
        <v>70</v>
      </c>
      <c r="G791">
        <v>3.39</v>
      </c>
      <c r="H791">
        <v>2.99</v>
      </c>
      <c r="I791" s="2" t="str">
        <f>_xlfn.XLOOKUP(F791,DeparaIMG!B:B,DeparaIMG!D:D,,0)</f>
        <v>BUD269.png</v>
      </c>
    </row>
    <row r="792" spans="1:9" x14ac:dyDescent="0.25">
      <c r="A792" s="2" t="s">
        <v>105</v>
      </c>
      <c r="B792" s="2" t="s">
        <v>63</v>
      </c>
      <c r="C792" t="s">
        <v>28</v>
      </c>
      <c r="D792" t="s">
        <v>25</v>
      </c>
      <c r="E792" s="2">
        <v>2</v>
      </c>
      <c r="F792" t="s">
        <v>75</v>
      </c>
      <c r="G792">
        <v>4.29</v>
      </c>
      <c r="H792">
        <v>3.69</v>
      </c>
      <c r="I792" s="2" t="str">
        <f>_xlfn.XLOOKUP(F792,DeparaIMG!B:B,DeparaIMG!D:D,,0)</f>
        <v>BUDZERO350.png</v>
      </c>
    </row>
    <row r="793" spans="1:9" x14ac:dyDescent="0.25">
      <c r="A793" s="2" t="s">
        <v>105</v>
      </c>
      <c r="B793" s="2" t="s">
        <v>63</v>
      </c>
      <c r="C793" t="s">
        <v>28</v>
      </c>
      <c r="D793" t="s">
        <v>25</v>
      </c>
      <c r="E793" s="2">
        <v>2</v>
      </c>
      <c r="F793" t="s">
        <v>71</v>
      </c>
      <c r="G793">
        <v>3.69</v>
      </c>
      <c r="H793">
        <v>3.19</v>
      </c>
      <c r="I793" s="2" t="str">
        <f>_xlfn.XLOOKUP(F793,DeparaIMG!B:B,DeparaIMG!D:D,,0)</f>
        <v>BC0350.png</v>
      </c>
    </row>
    <row r="794" spans="1:9" x14ac:dyDescent="0.25">
      <c r="A794" s="2" t="s">
        <v>105</v>
      </c>
      <c r="B794" s="2" t="s">
        <v>63</v>
      </c>
      <c r="C794" t="s">
        <v>28</v>
      </c>
      <c r="D794" t="s">
        <v>25</v>
      </c>
      <c r="E794" s="2">
        <v>2</v>
      </c>
      <c r="F794" t="s">
        <v>84</v>
      </c>
      <c r="G794">
        <v>6.69</v>
      </c>
      <c r="H794">
        <v>5.99</v>
      </c>
      <c r="I794" s="2" t="str">
        <f>_xlfn.XLOOKUP(F794,DeparaIMG!B:B,DeparaIMG!D:D,,0)</f>
        <v>MICLN.png</v>
      </c>
    </row>
    <row r="795" spans="1:9" x14ac:dyDescent="0.25">
      <c r="A795" s="2" t="s">
        <v>105</v>
      </c>
      <c r="B795" s="2" t="s">
        <v>63</v>
      </c>
      <c r="C795" t="s">
        <v>28</v>
      </c>
      <c r="D795" t="s">
        <v>26</v>
      </c>
      <c r="E795" s="2">
        <v>1</v>
      </c>
      <c r="F795" t="s">
        <v>71</v>
      </c>
      <c r="G795">
        <v>3.69</v>
      </c>
      <c r="H795">
        <v>3.19</v>
      </c>
      <c r="I795" s="2" t="str">
        <f>_xlfn.XLOOKUP(F795,DeparaIMG!B:B,DeparaIMG!D:D,,0)</f>
        <v>BC0350.png</v>
      </c>
    </row>
    <row r="796" spans="1:9" x14ac:dyDescent="0.25">
      <c r="A796" s="2" t="s">
        <v>105</v>
      </c>
      <c r="B796" s="2" t="s">
        <v>63</v>
      </c>
      <c r="C796" t="s">
        <v>28</v>
      </c>
      <c r="D796" t="s">
        <v>26</v>
      </c>
      <c r="E796" s="2">
        <v>1</v>
      </c>
      <c r="F796" t="s">
        <v>74</v>
      </c>
      <c r="G796">
        <v>3.79</v>
      </c>
      <c r="H796">
        <v>3.39</v>
      </c>
      <c r="I796" s="2" t="str">
        <f>_xlfn.XLOOKUP(F796,DeparaIMG!B:B,DeparaIMG!D:D,,0)</f>
        <v>AP350.png</v>
      </c>
    </row>
    <row r="797" spans="1:9" x14ac:dyDescent="0.25">
      <c r="A797" s="2" t="s">
        <v>105</v>
      </c>
      <c r="B797" s="2" t="s">
        <v>63</v>
      </c>
      <c r="C797" t="s">
        <v>28</v>
      </c>
      <c r="D797" t="s">
        <v>26</v>
      </c>
      <c r="E797" s="2">
        <v>1</v>
      </c>
      <c r="F797" t="s">
        <v>73</v>
      </c>
      <c r="G797">
        <v>3.89</v>
      </c>
      <c r="H797">
        <v>3.49</v>
      </c>
      <c r="I797" s="2" t="str">
        <f>_xlfn.XLOOKUP(F797,DeparaIMG!B:B,DeparaIMG!D:D,,0)</f>
        <v>ORI269.png</v>
      </c>
    </row>
    <row r="798" spans="1:9" x14ac:dyDescent="0.25">
      <c r="A798" s="2" t="s">
        <v>105</v>
      </c>
      <c r="B798" s="2" t="s">
        <v>63</v>
      </c>
      <c r="C798" t="s">
        <v>28</v>
      </c>
      <c r="D798" t="s">
        <v>26</v>
      </c>
      <c r="E798" s="2">
        <v>1</v>
      </c>
      <c r="F798" t="s">
        <v>86</v>
      </c>
      <c r="G798">
        <v>7.99</v>
      </c>
      <c r="H798">
        <v>6.99</v>
      </c>
      <c r="I798" s="2" t="str">
        <f>_xlfn.XLOOKUP(F798,DeparaIMG!B:B,DeparaIMG!D:D,,0)</f>
        <v>CORLN.png</v>
      </c>
    </row>
    <row r="799" spans="1:9" x14ac:dyDescent="0.25">
      <c r="A799" s="2" t="s">
        <v>105</v>
      </c>
      <c r="B799" s="2" t="s">
        <v>63</v>
      </c>
      <c r="C799" t="s">
        <v>28</v>
      </c>
      <c r="D799" t="s">
        <v>26</v>
      </c>
      <c r="E799" s="2">
        <v>1</v>
      </c>
      <c r="F799" t="s">
        <v>104</v>
      </c>
      <c r="G799">
        <v>5.19</v>
      </c>
      <c r="H799">
        <v>4.6900000000000004</v>
      </c>
      <c r="I799" s="2" t="str">
        <f>_xlfn.XLOOKUP(F799,DeparaIMG!B:B,DeparaIMG!D:D,,0)</f>
        <v>SPT350.png</v>
      </c>
    </row>
    <row r="800" spans="1:9" x14ac:dyDescent="0.25">
      <c r="A800" s="2" t="s">
        <v>105</v>
      </c>
      <c r="B800" s="2" t="s">
        <v>63</v>
      </c>
      <c r="C800" t="s">
        <v>28</v>
      </c>
      <c r="D800" t="s">
        <v>26</v>
      </c>
      <c r="E800" s="2">
        <v>1</v>
      </c>
      <c r="F800" t="s">
        <v>79</v>
      </c>
      <c r="G800">
        <v>5.49</v>
      </c>
      <c r="H800">
        <v>4.99</v>
      </c>
      <c r="I800" s="2" t="str">
        <f>_xlfn.XLOOKUP(F800,DeparaIMG!B:B,DeparaIMG!D:D,,0)</f>
        <v>MIC350.png</v>
      </c>
    </row>
    <row r="801" spans="1:9" x14ac:dyDescent="0.25">
      <c r="A801" s="2" t="s">
        <v>105</v>
      </c>
      <c r="B801" s="2" t="s">
        <v>63</v>
      </c>
      <c r="C801" t="s">
        <v>28</v>
      </c>
      <c r="D801" t="s">
        <v>26</v>
      </c>
      <c r="E801" s="2">
        <v>2</v>
      </c>
      <c r="F801" t="s">
        <v>77</v>
      </c>
      <c r="G801">
        <v>4.29</v>
      </c>
      <c r="H801">
        <v>3.69</v>
      </c>
      <c r="I801" s="2" t="str">
        <f>_xlfn.XLOOKUP(F801,DeparaIMG!B:B,DeparaIMG!D:D,,0)</f>
        <v>BUD350.png</v>
      </c>
    </row>
    <row r="802" spans="1:9" x14ac:dyDescent="0.25">
      <c r="A802" s="2" t="s">
        <v>105</v>
      </c>
      <c r="B802" s="2" t="s">
        <v>63</v>
      </c>
      <c r="C802" t="s">
        <v>28</v>
      </c>
      <c r="D802" t="s">
        <v>26</v>
      </c>
      <c r="E802" s="2">
        <v>2</v>
      </c>
      <c r="F802" t="s">
        <v>75</v>
      </c>
      <c r="G802">
        <v>4.29</v>
      </c>
      <c r="H802">
        <v>3.69</v>
      </c>
      <c r="I802" s="2" t="str">
        <f>_xlfn.XLOOKUP(F802,DeparaIMG!B:B,DeparaIMG!D:D,,0)</f>
        <v>BUDZERO350.png</v>
      </c>
    </row>
    <row r="803" spans="1:9" x14ac:dyDescent="0.25">
      <c r="A803" s="2" t="s">
        <v>105</v>
      </c>
      <c r="B803" s="2" t="s">
        <v>63</v>
      </c>
      <c r="C803" t="s">
        <v>28</v>
      </c>
      <c r="D803" t="s">
        <v>26</v>
      </c>
      <c r="E803" s="2">
        <v>2</v>
      </c>
      <c r="F803" t="s">
        <v>69</v>
      </c>
      <c r="G803">
        <v>3.09</v>
      </c>
      <c r="H803">
        <v>2.79</v>
      </c>
      <c r="I803" s="2" t="str">
        <f>_xlfn.XLOOKUP(F803,DeparaIMG!B:B,DeparaIMG!D:D,,0)</f>
        <v>BC269.png</v>
      </c>
    </row>
    <row r="804" spans="1:9" x14ac:dyDescent="0.25">
      <c r="A804" s="2" t="s">
        <v>105</v>
      </c>
      <c r="B804" s="2" t="s">
        <v>63</v>
      </c>
      <c r="C804" t="s">
        <v>28</v>
      </c>
      <c r="D804" t="s">
        <v>26</v>
      </c>
      <c r="E804" s="2">
        <v>2</v>
      </c>
      <c r="F804" t="s">
        <v>71</v>
      </c>
      <c r="G804">
        <v>3.69</v>
      </c>
      <c r="H804">
        <v>3.19</v>
      </c>
      <c r="I804" s="2" t="str">
        <f>_xlfn.XLOOKUP(F804,DeparaIMG!B:B,DeparaIMG!D:D,,0)</f>
        <v>BC0350.png</v>
      </c>
    </row>
    <row r="805" spans="1:9" x14ac:dyDescent="0.25">
      <c r="A805" s="2" t="s">
        <v>105</v>
      </c>
      <c r="B805" s="2" t="s">
        <v>63</v>
      </c>
      <c r="C805" t="s">
        <v>28</v>
      </c>
      <c r="D805" t="s">
        <v>26</v>
      </c>
      <c r="E805" s="2">
        <v>2</v>
      </c>
      <c r="F805" t="s">
        <v>84</v>
      </c>
      <c r="G805">
        <v>6.69</v>
      </c>
      <c r="H805">
        <v>5.99</v>
      </c>
      <c r="I805" s="2" t="str">
        <f>_xlfn.XLOOKUP(F805,DeparaIMG!B:B,DeparaIMG!D:D,,0)</f>
        <v>MICLN.png</v>
      </c>
    </row>
    <row r="806" spans="1:9" x14ac:dyDescent="0.25">
      <c r="A806" s="2" t="s">
        <v>105</v>
      </c>
      <c r="B806" s="2" t="s">
        <v>63</v>
      </c>
      <c r="C806" t="s">
        <v>28</v>
      </c>
      <c r="D806" t="s">
        <v>26</v>
      </c>
      <c r="E806" s="2">
        <v>2</v>
      </c>
      <c r="F806" t="s">
        <v>80</v>
      </c>
      <c r="G806">
        <v>6.19</v>
      </c>
      <c r="H806">
        <v>5.49</v>
      </c>
      <c r="I806" s="2" t="str">
        <f>_xlfn.XLOOKUP(F806,DeparaIMG!B:B,DeparaIMG!D:D,,0)</f>
        <v>COR350.png</v>
      </c>
    </row>
    <row r="807" spans="1:9" x14ac:dyDescent="0.25">
      <c r="A807" s="2" t="s">
        <v>105</v>
      </c>
      <c r="B807" s="2" t="s">
        <v>63</v>
      </c>
      <c r="C807" t="s">
        <v>28</v>
      </c>
      <c r="D807" t="s">
        <v>26</v>
      </c>
      <c r="E807" s="2">
        <v>2</v>
      </c>
      <c r="F807" t="s">
        <v>83</v>
      </c>
      <c r="G807">
        <v>6.29</v>
      </c>
      <c r="H807">
        <v>5.29</v>
      </c>
      <c r="I807" s="2" t="str">
        <f>_xlfn.XLOOKUP(F807,DeparaIMG!B:B,DeparaIMG!D:D,,0)</f>
        <v>BUDLN.png</v>
      </c>
    </row>
    <row r="808" spans="1:9" x14ac:dyDescent="0.25">
      <c r="A808" s="2" t="s">
        <v>105</v>
      </c>
      <c r="B808" s="2" t="s">
        <v>63</v>
      </c>
      <c r="C808" t="s">
        <v>28</v>
      </c>
      <c r="D808" t="s">
        <v>26</v>
      </c>
      <c r="E808" s="2">
        <v>2</v>
      </c>
      <c r="F808" t="s">
        <v>82</v>
      </c>
      <c r="G808">
        <v>6.29</v>
      </c>
      <c r="H808">
        <v>5.29</v>
      </c>
      <c r="I808" s="2" t="str">
        <f>_xlfn.XLOOKUP(F808,DeparaIMG!B:B,DeparaIMG!D:D,,0)</f>
        <v>BUDZEROLN.png</v>
      </c>
    </row>
    <row r="809" spans="1:9" x14ac:dyDescent="0.25">
      <c r="A809" s="2" t="s">
        <v>105</v>
      </c>
      <c r="B809" s="2" t="s">
        <v>63</v>
      </c>
      <c r="C809" t="s">
        <v>29</v>
      </c>
      <c r="D809" t="s">
        <v>25</v>
      </c>
      <c r="E809" s="2">
        <v>1</v>
      </c>
      <c r="F809" t="s">
        <v>71</v>
      </c>
      <c r="G809">
        <v>3.69</v>
      </c>
      <c r="H809">
        <v>3.19</v>
      </c>
      <c r="I809" s="2" t="str">
        <f>_xlfn.XLOOKUP(F809,DeparaIMG!B:B,DeparaIMG!D:D,,0)</f>
        <v>BC0350.png</v>
      </c>
    </row>
    <row r="810" spans="1:9" x14ac:dyDescent="0.25">
      <c r="A810" s="2" t="s">
        <v>105</v>
      </c>
      <c r="B810" s="2" t="s">
        <v>63</v>
      </c>
      <c r="C810" t="s">
        <v>29</v>
      </c>
      <c r="D810" t="s">
        <v>25</v>
      </c>
      <c r="E810" s="2">
        <v>1</v>
      </c>
      <c r="F810" t="s">
        <v>73</v>
      </c>
      <c r="G810">
        <v>3.89</v>
      </c>
      <c r="H810">
        <v>3.49</v>
      </c>
      <c r="I810" s="2" t="str">
        <f>_xlfn.XLOOKUP(F810,DeparaIMG!B:B,DeparaIMG!D:D,,0)</f>
        <v>ORI269.png</v>
      </c>
    </row>
    <row r="811" spans="1:9" x14ac:dyDescent="0.25">
      <c r="A811" s="2" t="s">
        <v>105</v>
      </c>
      <c r="B811" s="2" t="s">
        <v>63</v>
      </c>
      <c r="C811" t="s">
        <v>29</v>
      </c>
      <c r="D811" t="s">
        <v>25</v>
      </c>
      <c r="E811" s="2">
        <v>1</v>
      </c>
      <c r="F811" t="s">
        <v>86</v>
      </c>
      <c r="G811">
        <v>7.99</v>
      </c>
      <c r="H811">
        <v>6.99</v>
      </c>
      <c r="I811" s="2" t="str">
        <f>_xlfn.XLOOKUP(F811,DeparaIMG!B:B,DeparaIMG!D:D,,0)</f>
        <v>CORLN.png</v>
      </c>
    </row>
    <row r="812" spans="1:9" x14ac:dyDescent="0.25">
      <c r="A812" s="2" t="s">
        <v>105</v>
      </c>
      <c r="B812" s="2" t="s">
        <v>63</v>
      </c>
      <c r="C812" t="s">
        <v>29</v>
      </c>
      <c r="D812" t="s">
        <v>25</v>
      </c>
      <c r="E812" s="2">
        <v>1</v>
      </c>
      <c r="F812" t="s">
        <v>68</v>
      </c>
      <c r="G812">
        <v>3.09</v>
      </c>
      <c r="H812">
        <v>2.79</v>
      </c>
      <c r="I812" s="2" t="str">
        <f>_xlfn.XLOOKUP(F812,DeparaIMG!B:B,DeparaIMG!D:D,,0)</f>
        <v>AP269.png</v>
      </c>
    </row>
    <row r="813" spans="1:9" x14ac:dyDescent="0.25">
      <c r="A813" s="2" t="s">
        <v>105</v>
      </c>
      <c r="B813" s="2" t="s">
        <v>63</v>
      </c>
      <c r="C813" t="s">
        <v>29</v>
      </c>
      <c r="D813" t="s">
        <v>25</v>
      </c>
      <c r="E813" s="2">
        <v>1</v>
      </c>
      <c r="F813" t="s">
        <v>79</v>
      </c>
      <c r="G813">
        <v>5.49</v>
      </c>
      <c r="H813">
        <v>4.99</v>
      </c>
      <c r="I813" s="2" t="str">
        <f>_xlfn.XLOOKUP(F813,DeparaIMG!B:B,DeparaIMG!D:D,,0)</f>
        <v>MIC350.png</v>
      </c>
    </row>
    <row r="814" spans="1:9" x14ac:dyDescent="0.25">
      <c r="A814" s="2" t="s">
        <v>105</v>
      </c>
      <c r="B814" s="2" t="s">
        <v>63</v>
      </c>
      <c r="C814" t="s">
        <v>29</v>
      </c>
      <c r="D814" t="s">
        <v>25</v>
      </c>
      <c r="E814" s="2">
        <v>2</v>
      </c>
      <c r="F814" t="s">
        <v>69</v>
      </c>
      <c r="G814">
        <v>3.09</v>
      </c>
      <c r="H814">
        <v>2.69</v>
      </c>
      <c r="I814" s="2" t="str">
        <f>_xlfn.XLOOKUP(F814,DeparaIMG!B:B,DeparaIMG!D:D,,0)</f>
        <v>BC269.png</v>
      </c>
    </row>
    <row r="815" spans="1:9" x14ac:dyDescent="0.25">
      <c r="A815" s="2" t="s">
        <v>105</v>
      </c>
      <c r="B815" s="2" t="s">
        <v>63</v>
      </c>
      <c r="C815" t="s">
        <v>29</v>
      </c>
      <c r="D815" t="s">
        <v>25</v>
      </c>
      <c r="E815" s="2">
        <v>2</v>
      </c>
      <c r="F815" t="s">
        <v>70</v>
      </c>
      <c r="G815">
        <v>3.39</v>
      </c>
      <c r="H815">
        <v>2.99</v>
      </c>
      <c r="I815" s="2" t="str">
        <f>_xlfn.XLOOKUP(F815,DeparaIMG!B:B,DeparaIMG!D:D,,0)</f>
        <v>BUD269.png</v>
      </c>
    </row>
    <row r="816" spans="1:9" x14ac:dyDescent="0.25">
      <c r="A816" s="2" t="s">
        <v>105</v>
      </c>
      <c r="B816" s="2" t="s">
        <v>63</v>
      </c>
      <c r="C816" t="s">
        <v>29</v>
      </c>
      <c r="D816" t="s">
        <v>25</v>
      </c>
      <c r="E816" s="2">
        <v>2</v>
      </c>
      <c r="F816" t="s">
        <v>75</v>
      </c>
      <c r="G816">
        <v>4.29</v>
      </c>
      <c r="H816">
        <v>3.69</v>
      </c>
      <c r="I816" s="2" t="str">
        <f>_xlfn.XLOOKUP(F816,DeparaIMG!B:B,DeparaIMG!D:D,,0)</f>
        <v>BUDZERO350.png</v>
      </c>
    </row>
    <row r="817" spans="1:9" x14ac:dyDescent="0.25">
      <c r="A817" s="2" t="s">
        <v>105</v>
      </c>
      <c r="B817" s="2" t="s">
        <v>63</v>
      </c>
      <c r="C817" t="s">
        <v>29</v>
      </c>
      <c r="D817" t="s">
        <v>25</v>
      </c>
      <c r="E817" s="2">
        <v>2</v>
      </c>
      <c r="F817" t="s">
        <v>71</v>
      </c>
      <c r="G817">
        <v>3.69</v>
      </c>
      <c r="H817">
        <v>3.19</v>
      </c>
      <c r="I817" s="2" t="str">
        <f>_xlfn.XLOOKUP(F817,DeparaIMG!B:B,DeparaIMG!D:D,,0)</f>
        <v>BC0350.png</v>
      </c>
    </row>
    <row r="818" spans="1:9" x14ac:dyDescent="0.25">
      <c r="A818" s="2" t="s">
        <v>105</v>
      </c>
      <c r="B818" s="2" t="s">
        <v>63</v>
      </c>
      <c r="C818" t="s">
        <v>29</v>
      </c>
      <c r="D818" t="s">
        <v>25</v>
      </c>
      <c r="E818" s="2">
        <v>2</v>
      </c>
      <c r="F818" t="s">
        <v>84</v>
      </c>
      <c r="G818">
        <v>6.69</v>
      </c>
      <c r="H818">
        <v>5.99</v>
      </c>
      <c r="I818" s="2" t="str">
        <f>_xlfn.XLOOKUP(F818,DeparaIMG!B:B,DeparaIMG!D:D,,0)</f>
        <v>MICLN.png</v>
      </c>
    </row>
    <row r="819" spans="1:9" x14ac:dyDescent="0.25">
      <c r="A819" s="2" t="s">
        <v>105</v>
      </c>
      <c r="B819" s="2" t="s">
        <v>63</v>
      </c>
      <c r="C819" t="s">
        <v>29</v>
      </c>
      <c r="D819" t="s">
        <v>26</v>
      </c>
      <c r="E819" s="2">
        <v>1</v>
      </c>
      <c r="F819" t="s">
        <v>74</v>
      </c>
      <c r="G819">
        <v>3.79</v>
      </c>
      <c r="H819">
        <v>3.39</v>
      </c>
      <c r="I819" s="2" t="str">
        <f>_xlfn.XLOOKUP(F819,DeparaIMG!B:B,DeparaIMG!D:D,,0)</f>
        <v>AP350.png</v>
      </c>
    </row>
    <row r="820" spans="1:9" x14ac:dyDescent="0.25">
      <c r="A820" s="2" t="s">
        <v>105</v>
      </c>
      <c r="B820" s="2" t="s">
        <v>63</v>
      </c>
      <c r="C820" t="s">
        <v>29</v>
      </c>
      <c r="D820" t="s">
        <v>26</v>
      </c>
      <c r="E820" s="2">
        <v>1</v>
      </c>
      <c r="F820" t="s">
        <v>71</v>
      </c>
      <c r="G820">
        <v>3.99</v>
      </c>
      <c r="H820">
        <v>3.49</v>
      </c>
      <c r="I820" s="2" t="str">
        <f>_xlfn.XLOOKUP(F820,DeparaIMG!B:B,DeparaIMG!D:D,,0)</f>
        <v>BC0350.png</v>
      </c>
    </row>
    <row r="821" spans="1:9" x14ac:dyDescent="0.25">
      <c r="A821" s="2" t="s">
        <v>105</v>
      </c>
      <c r="B821" s="2" t="s">
        <v>63</v>
      </c>
      <c r="C821" t="s">
        <v>29</v>
      </c>
      <c r="D821" t="s">
        <v>26</v>
      </c>
      <c r="E821" s="2">
        <v>1</v>
      </c>
      <c r="F821" t="s">
        <v>73</v>
      </c>
      <c r="G821">
        <v>3.89</v>
      </c>
      <c r="H821">
        <v>3.49</v>
      </c>
      <c r="I821" s="2" t="str">
        <f>_xlfn.XLOOKUP(F821,DeparaIMG!B:B,DeparaIMG!D:D,,0)</f>
        <v>ORI269.png</v>
      </c>
    </row>
    <row r="822" spans="1:9" x14ac:dyDescent="0.25">
      <c r="A822" s="2" t="s">
        <v>105</v>
      </c>
      <c r="B822" s="2" t="s">
        <v>63</v>
      </c>
      <c r="C822" t="s">
        <v>29</v>
      </c>
      <c r="D822" t="s">
        <v>26</v>
      </c>
      <c r="E822" s="2">
        <v>1</v>
      </c>
      <c r="F822" t="s">
        <v>86</v>
      </c>
      <c r="G822">
        <v>7.99</v>
      </c>
      <c r="H822">
        <v>6.99</v>
      </c>
      <c r="I822" s="2" t="str">
        <f>_xlfn.XLOOKUP(F822,DeparaIMG!B:B,DeparaIMG!D:D,,0)</f>
        <v>CORLN.png</v>
      </c>
    </row>
    <row r="823" spans="1:9" x14ac:dyDescent="0.25">
      <c r="A823" s="2" t="s">
        <v>105</v>
      </c>
      <c r="B823" s="2" t="s">
        <v>63</v>
      </c>
      <c r="C823" t="s">
        <v>29</v>
      </c>
      <c r="D823" t="s">
        <v>26</v>
      </c>
      <c r="E823" s="2">
        <v>1</v>
      </c>
      <c r="F823" t="s">
        <v>104</v>
      </c>
      <c r="G823">
        <v>5.19</v>
      </c>
      <c r="H823">
        <v>4.6900000000000004</v>
      </c>
      <c r="I823" s="2" t="str">
        <f>_xlfn.XLOOKUP(F823,DeparaIMG!B:B,DeparaIMG!D:D,,0)</f>
        <v>SPT350.png</v>
      </c>
    </row>
    <row r="824" spans="1:9" x14ac:dyDescent="0.25">
      <c r="A824" s="2" t="s">
        <v>105</v>
      </c>
      <c r="B824" s="2" t="s">
        <v>63</v>
      </c>
      <c r="C824" t="s">
        <v>29</v>
      </c>
      <c r="D824" t="s">
        <v>26</v>
      </c>
      <c r="E824" s="2">
        <v>1</v>
      </c>
      <c r="F824" t="s">
        <v>79</v>
      </c>
      <c r="G824">
        <v>5.49</v>
      </c>
      <c r="H824">
        <v>4.99</v>
      </c>
      <c r="I824" s="2" t="str">
        <f>_xlfn.XLOOKUP(F824,DeparaIMG!B:B,DeparaIMG!D:D,,0)</f>
        <v>MIC350.png</v>
      </c>
    </row>
    <row r="825" spans="1:9" x14ac:dyDescent="0.25">
      <c r="A825" s="2" t="s">
        <v>105</v>
      </c>
      <c r="B825" s="2" t="s">
        <v>63</v>
      </c>
      <c r="C825" t="s">
        <v>29</v>
      </c>
      <c r="D825" t="s">
        <v>26</v>
      </c>
      <c r="E825" s="2">
        <v>2</v>
      </c>
      <c r="F825" t="s">
        <v>77</v>
      </c>
      <c r="G825">
        <v>4.29</v>
      </c>
      <c r="H825">
        <v>3.69</v>
      </c>
      <c r="I825" s="2" t="str">
        <f>_xlfn.XLOOKUP(F825,DeparaIMG!B:B,DeparaIMG!D:D,,0)</f>
        <v>BUD350.png</v>
      </c>
    </row>
    <row r="826" spans="1:9" x14ac:dyDescent="0.25">
      <c r="A826" s="2" t="s">
        <v>105</v>
      </c>
      <c r="B826" s="2" t="s">
        <v>63</v>
      </c>
      <c r="C826" t="s">
        <v>29</v>
      </c>
      <c r="D826" t="s">
        <v>26</v>
      </c>
      <c r="E826" s="2">
        <v>2</v>
      </c>
      <c r="F826" t="s">
        <v>75</v>
      </c>
      <c r="G826">
        <v>4.29</v>
      </c>
      <c r="H826">
        <v>3.69</v>
      </c>
      <c r="I826" s="2" t="str">
        <f>_xlfn.XLOOKUP(F826,DeparaIMG!B:B,DeparaIMG!D:D,,0)</f>
        <v>BUDZERO350.png</v>
      </c>
    </row>
    <row r="827" spans="1:9" x14ac:dyDescent="0.25">
      <c r="A827" s="2" t="s">
        <v>105</v>
      </c>
      <c r="B827" s="2" t="s">
        <v>63</v>
      </c>
      <c r="C827" t="s">
        <v>29</v>
      </c>
      <c r="D827" t="s">
        <v>26</v>
      </c>
      <c r="E827" s="2">
        <v>2</v>
      </c>
      <c r="F827" t="s">
        <v>72</v>
      </c>
      <c r="G827">
        <v>3.79</v>
      </c>
      <c r="H827">
        <v>3.29</v>
      </c>
      <c r="I827" s="2" t="str">
        <f>_xlfn.XLOOKUP(F827,DeparaIMG!B:B,DeparaIMG!D:D,,0)</f>
        <v>BC350.png</v>
      </c>
    </row>
    <row r="828" spans="1:9" x14ac:dyDescent="0.25">
      <c r="A828" s="2" t="s">
        <v>105</v>
      </c>
      <c r="B828" s="2" t="s">
        <v>63</v>
      </c>
      <c r="C828" t="s">
        <v>29</v>
      </c>
      <c r="D828" t="s">
        <v>26</v>
      </c>
      <c r="E828" s="2">
        <v>2</v>
      </c>
      <c r="F828" t="s">
        <v>71</v>
      </c>
      <c r="G828">
        <v>3.99</v>
      </c>
      <c r="H828">
        <v>3.49</v>
      </c>
      <c r="I828" s="2" t="str">
        <f>_xlfn.XLOOKUP(F828,DeparaIMG!B:B,DeparaIMG!D:D,,0)</f>
        <v>BC0350.png</v>
      </c>
    </row>
    <row r="829" spans="1:9" x14ac:dyDescent="0.25">
      <c r="A829" s="2" t="s">
        <v>105</v>
      </c>
      <c r="B829" s="2" t="s">
        <v>63</v>
      </c>
      <c r="C829" t="s">
        <v>29</v>
      </c>
      <c r="D829" t="s">
        <v>26</v>
      </c>
      <c r="E829" s="2">
        <v>2</v>
      </c>
      <c r="F829" t="s">
        <v>84</v>
      </c>
      <c r="G829">
        <v>6.69</v>
      </c>
      <c r="H829">
        <v>5.99</v>
      </c>
      <c r="I829" s="2" t="str">
        <f>_xlfn.XLOOKUP(F829,DeparaIMG!B:B,DeparaIMG!D:D,,0)</f>
        <v>MICLN.png</v>
      </c>
    </row>
    <row r="830" spans="1:9" x14ac:dyDescent="0.25">
      <c r="A830" s="2" t="s">
        <v>105</v>
      </c>
      <c r="B830" s="2" t="s">
        <v>63</v>
      </c>
      <c r="C830" t="s">
        <v>29</v>
      </c>
      <c r="D830" t="s">
        <v>26</v>
      </c>
      <c r="E830" s="2">
        <v>2</v>
      </c>
      <c r="F830" t="s">
        <v>80</v>
      </c>
      <c r="G830">
        <v>6.29</v>
      </c>
      <c r="H830">
        <v>5.59</v>
      </c>
      <c r="I830" s="2" t="str">
        <f>_xlfn.XLOOKUP(F830,DeparaIMG!B:B,DeparaIMG!D:D,,0)</f>
        <v>COR350.png</v>
      </c>
    </row>
    <row r="831" spans="1:9" x14ac:dyDescent="0.25">
      <c r="A831" s="2" t="s">
        <v>105</v>
      </c>
      <c r="B831" s="2" t="s">
        <v>63</v>
      </c>
      <c r="C831" t="s">
        <v>29</v>
      </c>
      <c r="D831" t="s">
        <v>26</v>
      </c>
      <c r="E831" s="2">
        <v>2</v>
      </c>
      <c r="F831" t="s">
        <v>83</v>
      </c>
      <c r="G831">
        <v>6.29</v>
      </c>
      <c r="H831">
        <v>5.29</v>
      </c>
      <c r="I831" s="2" t="str">
        <f>_xlfn.XLOOKUP(F831,DeparaIMG!B:B,DeparaIMG!D:D,,0)</f>
        <v>BUDLN.png</v>
      </c>
    </row>
    <row r="832" spans="1:9" x14ac:dyDescent="0.25">
      <c r="A832" s="2" t="s">
        <v>105</v>
      </c>
      <c r="B832" s="2" t="s">
        <v>63</v>
      </c>
      <c r="C832" t="s">
        <v>29</v>
      </c>
      <c r="D832" t="s">
        <v>26</v>
      </c>
      <c r="E832" s="2">
        <v>2</v>
      </c>
      <c r="F832" t="s">
        <v>82</v>
      </c>
      <c r="G832">
        <v>6.29</v>
      </c>
      <c r="H832">
        <v>5.29</v>
      </c>
      <c r="I832" s="2" t="str">
        <f>_xlfn.XLOOKUP(F832,DeparaIMG!B:B,DeparaIMG!D:D,,0)</f>
        <v>BUDZEROLN.png</v>
      </c>
    </row>
    <row r="833" spans="1:9" x14ac:dyDescent="0.25">
      <c r="A833" s="2" t="s">
        <v>105</v>
      </c>
      <c r="B833" s="2" t="s">
        <v>63</v>
      </c>
      <c r="C833" t="s">
        <v>88</v>
      </c>
      <c r="D833" t="s">
        <v>25</v>
      </c>
      <c r="E833" s="2">
        <v>1</v>
      </c>
      <c r="F833" t="s">
        <v>71</v>
      </c>
      <c r="G833">
        <v>3.99</v>
      </c>
      <c r="H833">
        <v>3.49</v>
      </c>
      <c r="I833" s="2" t="str">
        <f>_xlfn.XLOOKUP(F833,DeparaIMG!B:B,DeparaIMG!D:D,,0)</f>
        <v>BC0350.png</v>
      </c>
    </row>
    <row r="834" spans="1:9" x14ac:dyDescent="0.25">
      <c r="A834" s="2" t="s">
        <v>105</v>
      </c>
      <c r="B834" s="2" t="s">
        <v>63</v>
      </c>
      <c r="C834" t="s">
        <v>88</v>
      </c>
      <c r="D834" t="s">
        <v>25</v>
      </c>
      <c r="E834" s="2">
        <v>1</v>
      </c>
      <c r="F834" t="s">
        <v>73</v>
      </c>
      <c r="G834">
        <v>3.89</v>
      </c>
      <c r="H834">
        <v>3.49</v>
      </c>
      <c r="I834" s="2" t="str">
        <f>_xlfn.XLOOKUP(F834,DeparaIMG!B:B,DeparaIMG!D:D,,0)</f>
        <v>ORI269.png</v>
      </c>
    </row>
    <row r="835" spans="1:9" x14ac:dyDescent="0.25">
      <c r="A835" s="2" t="s">
        <v>105</v>
      </c>
      <c r="B835" s="2" t="s">
        <v>63</v>
      </c>
      <c r="C835" t="s">
        <v>88</v>
      </c>
      <c r="D835" t="s">
        <v>25</v>
      </c>
      <c r="E835" s="2">
        <v>1</v>
      </c>
      <c r="F835" t="s">
        <v>86</v>
      </c>
      <c r="G835">
        <v>7.99</v>
      </c>
      <c r="H835">
        <v>6.99</v>
      </c>
      <c r="I835" s="2" t="str">
        <f>_xlfn.XLOOKUP(F835,DeparaIMG!B:B,DeparaIMG!D:D,,0)</f>
        <v>CORLN.png</v>
      </c>
    </row>
    <row r="836" spans="1:9" x14ac:dyDescent="0.25">
      <c r="A836" s="2" t="s">
        <v>105</v>
      </c>
      <c r="B836" s="2" t="s">
        <v>63</v>
      </c>
      <c r="C836" t="s">
        <v>88</v>
      </c>
      <c r="D836" t="s">
        <v>25</v>
      </c>
      <c r="E836" s="2">
        <v>1</v>
      </c>
      <c r="F836" t="s">
        <v>67</v>
      </c>
      <c r="G836">
        <v>2.99</v>
      </c>
      <c r="H836">
        <v>2.69</v>
      </c>
      <c r="I836" s="2" t="str">
        <f>_xlfn.XLOOKUP(F836,DeparaIMG!B:B,DeparaIMG!D:D,,0)</f>
        <v>SK269.png</v>
      </c>
    </row>
    <row r="837" spans="1:9" x14ac:dyDescent="0.25">
      <c r="A837" s="2" t="s">
        <v>105</v>
      </c>
      <c r="B837" s="2" t="s">
        <v>63</v>
      </c>
      <c r="C837" t="s">
        <v>88</v>
      </c>
      <c r="D837" t="s">
        <v>25</v>
      </c>
      <c r="E837" s="2">
        <v>1</v>
      </c>
      <c r="F837" t="s">
        <v>79</v>
      </c>
      <c r="G837">
        <v>5.49</v>
      </c>
      <c r="H837">
        <v>4.99</v>
      </c>
      <c r="I837" s="2" t="str">
        <f>_xlfn.XLOOKUP(F837,DeparaIMG!B:B,DeparaIMG!D:D,,0)</f>
        <v>MIC350.png</v>
      </c>
    </row>
    <row r="838" spans="1:9" x14ac:dyDescent="0.25">
      <c r="A838" s="2" t="s">
        <v>105</v>
      </c>
      <c r="B838" s="2" t="s">
        <v>63</v>
      </c>
      <c r="C838" t="s">
        <v>88</v>
      </c>
      <c r="D838" t="s">
        <v>25</v>
      </c>
      <c r="E838" s="2">
        <v>2</v>
      </c>
      <c r="F838" t="s">
        <v>69</v>
      </c>
      <c r="G838">
        <v>3.09</v>
      </c>
      <c r="H838">
        <v>2.79</v>
      </c>
      <c r="I838" s="2" t="str">
        <f>_xlfn.XLOOKUP(F838,DeparaIMG!B:B,DeparaIMG!D:D,,0)</f>
        <v>BC269.png</v>
      </c>
    </row>
    <row r="839" spans="1:9" x14ac:dyDescent="0.25">
      <c r="A839" s="2" t="s">
        <v>105</v>
      </c>
      <c r="B839" s="2" t="s">
        <v>63</v>
      </c>
      <c r="C839" t="s">
        <v>88</v>
      </c>
      <c r="D839" t="s">
        <v>25</v>
      </c>
      <c r="E839" s="2">
        <v>2</v>
      </c>
      <c r="F839" t="s">
        <v>70</v>
      </c>
      <c r="G839">
        <v>3.39</v>
      </c>
      <c r="H839">
        <v>2.99</v>
      </c>
      <c r="I839" s="2" t="str">
        <f>_xlfn.XLOOKUP(F839,DeparaIMG!B:B,DeparaIMG!D:D,,0)</f>
        <v>BUD269.png</v>
      </c>
    </row>
    <row r="840" spans="1:9" x14ac:dyDescent="0.25">
      <c r="A840" s="2" t="s">
        <v>105</v>
      </c>
      <c r="B840" s="2" t="s">
        <v>63</v>
      </c>
      <c r="C840" t="s">
        <v>88</v>
      </c>
      <c r="D840" t="s">
        <v>25</v>
      </c>
      <c r="E840" s="2">
        <v>2</v>
      </c>
      <c r="F840" t="s">
        <v>75</v>
      </c>
      <c r="G840">
        <v>4.29</v>
      </c>
      <c r="H840">
        <v>3.69</v>
      </c>
      <c r="I840" s="2" t="str">
        <f>_xlfn.XLOOKUP(F840,DeparaIMG!B:B,DeparaIMG!D:D,,0)</f>
        <v>BUDZERO350.png</v>
      </c>
    </row>
    <row r="841" spans="1:9" x14ac:dyDescent="0.25">
      <c r="A841" s="2" t="s">
        <v>105</v>
      </c>
      <c r="B841" s="2" t="s">
        <v>63</v>
      </c>
      <c r="C841" t="s">
        <v>88</v>
      </c>
      <c r="D841" t="s">
        <v>25</v>
      </c>
      <c r="E841" s="2">
        <v>2</v>
      </c>
      <c r="F841" t="s">
        <v>71</v>
      </c>
      <c r="G841">
        <v>3.99</v>
      </c>
      <c r="H841">
        <v>3.49</v>
      </c>
      <c r="I841" s="2" t="str">
        <f>_xlfn.XLOOKUP(F841,DeparaIMG!B:B,DeparaIMG!D:D,,0)</f>
        <v>BC0350.png</v>
      </c>
    </row>
    <row r="842" spans="1:9" x14ac:dyDescent="0.25">
      <c r="A842" s="2" t="s">
        <v>105</v>
      </c>
      <c r="B842" s="2" t="s">
        <v>63</v>
      </c>
      <c r="C842" t="s">
        <v>88</v>
      </c>
      <c r="D842" t="s">
        <v>25</v>
      </c>
      <c r="E842" s="2">
        <v>2</v>
      </c>
      <c r="F842" t="s">
        <v>84</v>
      </c>
      <c r="G842">
        <v>6.69</v>
      </c>
      <c r="H842">
        <v>5.99</v>
      </c>
      <c r="I842" s="2" t="str">
        <f>_xlfn.XLOOKUP(F842,DeparaIMG!B:B,DeparaIMG!D:D,,0)</f>
        <v>MICLN.png</v>
      </c>
    </row>
    <row r="843" spans="1:9" x14ac:dyDescent="0.25">
      <c r="A843" s="2" t="s">
        <v>105</v>
      </c>
      <c r="B843" s="2" t="s">
        <v>63</v>
      </c>
      <c r="C843" t="s">
        <v>88</v>
      </c>
      <c r="D843" t="s">
        <v>26</v>
      </c>
      <c r="E843" s="2">
        <v>1</v>
      </c>
      <c r="F843" t="s">
        <v>71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105</v>
      </c>
      <c r="B844" s="2" t="s">
        <v>63</v>
      </c>
      <c r="C844" t="s">
        <v>88</v>
      </c>
      <c r="D844" t="s">
        <v>26</v>
      </c>
      <c r="E844" s="2">
        <v>1</v>
      </c>
      <c r="F844" t="s">
        <v>67</v>
      </c>
      <c r="G844">
        <v>2.99</v>
      </c>
      <c r="H844">
        <v>2.69</v>
      </c>
      <c r="I844" s="2" t="str">
        <f>_xlfn.XLOOKUP(F844,DeparaIMG!B:B,DeparaIMG!D:D,,0)</f>
        <v>SK269.png</v>
      </c>
    </row>
    <row r="845" spans="1:9" x14ac:dyDescent="0.25">
      <c r="A845" s="2" t="s">
        <v>105</v>
      </c>
      <c r="B845" s="2" t="s">
        <v>63</v>
      </c>
      <c r="C845" t="s">
        <v>88</v>
      </c>
      <c r="D845" t="s">
        <v>26</v>
      </c>
      <c r="E845" s="2">
        <v>1</v>
      </c>
      <c r="F845" t="s">
        <v>73</v>
      </c>
      <c r="G845">
        <v>3.89</v>
      </c>
      <c r="H845">
        <v>3.49</v>
      </c>
      <c r="I845" s="2" t="str">
        <f>_xlfn.XLOOKUP(F845,DeparaIMG!B:B,DeparaIMG!D:D,,0)</f>
        <v>ORI269.png</v>
      </c>
    </row>
    <row r="846" spans="1:9" x14ac:dyDescent="0.25">
      <c r="A846" s="2" t="s">
        <v>105</v>
      </c>
      <c r="B846" s="2" t="s">
        <v>63</v>
      </c>
      <c r="C846" t="s">
        <v>88</v>
      </c>
      <c r="D846" t="s">
        <v>26</v>
      </c>
      <c r="E846" s="2">
        <v>1</v>
      </c>
      <c r="F846" t="s">
        <v>86</v>
      </c>
      <c r="G846">
        <v>7.99</v>
      </c>
      <c r="H846">
        <v>6.99</v>
      </c>
      <c r="I846" s="2" t="str">
        <f>_xlfn.XLOOKUP(F846,DeparaIMG!B:B,DeparaIMG!D:D,,0)</f>
        <v>CORLN.png</v>
      </c>
    </row>
    <row r="847" spans="1:9" x14ac:dyDescent="0.25">
      <c r="A847" s="2" t="s">
        <v>105</v>
      </c>
      <c r="B847" s="2" t="s">
        <v>63</v>
      </c>
      <c r="C847" t="s">
        <v>88</v>
      </c>
      <c r="D847" t="s">
        <v>26</v>
      </c>
      <c r="E847" s="2">
        <v>1</v>
      </c>
      <c r="F847" t="s">
        <v>103</v>
      </c>
      <c r="G847">
        <v>4.09</v>
      </c>
      <c r="H847">
        <v>3.79</v>
      </c>
      <c r="I847" s="2" t="str">
        <f>_xlfn.XLOOKUP(F847,DeparaIMG!B:B,DeparaIMG!D:D,,0)</f>
        <v>SPT269.png</v>
      </c>
    </row>
    <row r="848" spans="1:9" x14ac:dyDescent="0.25">
      <c r="A848" s="2" t="s">
        <v>105</v>
      </c>
      <c r="B848" s="2" t="s">
        <v>63</v>
      </c>
      <c r="C848" t="s">
        <v>88</v>
      </c>
      <c r="D848" t="s">
        <v>26</v>
      </c>
      <c r="E848" s="2">
        <v>1</v>
      </c>
      <c r="F848" t="s">
        <v>79</v>
      </c>
      <c r="G848">
        <v>5.49</v>
      </c>
      <c r="H848">
        <v>4.99</v>
      </c>
      <c r="I848" s="2" t="str">
        <f>_xlfn.XLOOKUP(F848,DeparaIMG!B:B,DeparaIMG!D:D,,0)</f>
        <v>MIC350.png</v>
      </c>
    </row>
    <row r="849" spans="1:9" x14ac:dyDescent="0.25">
      <c r="A849" s="2" t="s">
        <v>105</v>
      </c>
      <c r="B849" s="2" t="s">
        <v>63</v>
      </c>
      <c r="C849" t="s">
        <v>88</v>
      </c>
      <c r="D849" t="s">
        <v>26</v>
      </c>
      <c r="E849" s="2">
        <v>2</v>
      </c>
      <c r="F849" t="s">
        <v>70</v>
      </c>
      <c r="G849">
        <v>3.39</v>
      </c>
      <c r="H849">
        <v>2.99</v>
      </c>
      <c r="I849" s="2" t="str">
        <f>_xlfn.XLOOKUP(F849,DeparaIMG!B:B,DeparaIMG!D:D,,0)</f>
        <v>BUD269.png</v>
      </c>
    </row>
    <row r="850" spans="1:9" x14ac:dyDescent="0.25">
      <c r="A850" s="2" t="s">
        <v>105</v>
      </c>
      <c r="B850" s="2" t="s">
        <v>63</v>
      </c>
      <c r="C850" t="s">
        <v>88</v>
      </c>
      <c r="D850" t="s">
        <v>26</v>
      </c>
      <c r="E850" s="2">
        <v>2</v>
      </c>
      <c r="F850" t="s">
        <v>75</v>
      </c>
      <c r="G850">
        <v>4.29</v>
      </c>
      <c r="H850">
        <v>3.69</v>
      </c>
      <c r="I850" s="2" t="str">
        <f>_xlfn.XLOOKUP(F850,DeparaIMG!B:B,DeparaIMG!D:D,,0)</f>
        <v>BUDZERO350.png</v>
      </c>
    </row>
    <row r="851" spans="1:9" x14ac:dyDescent="0.25">
      <c r="A851" s="2" t="s">
        <v>105</v>
      </c>
      <c r="B851" s="2" t="s">
        <v>63</v>
      </c>
      <c r="C851" t="s">
        <v>88</v>
      </c>
      <c r="D851" t="s">
        <v>26</v>
      </c>
      <c r="E851" s="2">
        <v>2</v>
      </c>
      <c r="F851" t="s">
        <v>69</v>
      </c>
      <c r="G851">
        <v>3.09</v>
      </c>
      <c r="H851">
        <v>2.79</v>
      </c>
      <c r="I851" s="2" t="str">
        <f>_xlfn.XLOOKUP(F851,DeparaIMG!B:B,DeparaIMG!D:D,,0)</f>
        <v>BC269.png</v>
      </c>
    </row>
    <row r="852" spans="1:9" x14ac:dyDescent="0.25">
      <c r="A852" s="2" t="s">
        <v>105</v>
      </c>
      <c r="B852" s="2" t="s">
        <v>63</v>
      </c>
      <c r="C852" t="s">
        <v>88</v>
      </c>
      <c r="D852" t="s">
        <v>26</v>
      </c>
      <c r="E852" s="2">
        <v>2</v>
      </c>
      <c r="F852" t="s">
        <v>71</v>
      </c>
      <c r="G852">
        <v>3.69</v>
      </c>
      <c r="H852">
        <v>3.19</v>
      </c>
      <c r="I852" s="2" t="str">
        <f>_xlfn.XLOOKUP(F852,DeparaIMG!B:B,DeparaIMG!D:D,,0)</f>
        <v>BC0350.png</v>
      </c>
    </row>
    <row r="853" spans="1:9" x14ac:dyDescent="0.25">
      <c r="A853" s="2" t="s">
        <v>105</v>
      </c>
      <c r="B853" s="2" t="s">
        <v>63</v>
      </c>
      <c r="C853" t="s">
        <v>88</v>
      </c>
      <c r="D853" t="s">
        <v>26</v>
      </c>
      <c r="E853" s="2">
        <v>2</v>
      </c>
      <c r="F853" t="s">
        <v>84</v>
      </c>
      <c r="G853">
        <v>6.69</v>
      </c>
      <c r="H853">
        <v>5.99</v>
      </c>
      <c r="I853" s="2" t="str">
        <f>_xlfn.XLOOKUP(F853,DeparaIMG!B:B,DeparaIMG!D:D,,0)</f>
        <v>MICLN.png</v>
      </c>
    </row>
    <row r="854" spans="1:9" x14ac:dyDescent="0.25">
      <c r="A854" s="2" t="s">
        <v>105</v>
      </c>
      <c r="B854" s="2" t="s">
        <v>63</v>
      </c>
      <c r="C854" t="s">
        <v>88</v>
      </c>
      <c r="D854" t="s">
        <v>26</v>
      </c>
      <c r="E854" s="2">
        <v>2</v>
      </c>
      <c r="F854" t="s">
        <v>78</v>
      </c>
      <c r="G854">
        <v>4.6900000000000004</v>
      </c>
      <c r="H854">
        <v>4.1900000000000004</v>
      </c>
      <c r="I854" s="2" t="str">
        <f>_xlfn.XLOOKUP(F854,DeparaIMG!B:B,DeparaIMG!D:D,,0)</f>
        <v>COR269.png</v>
      </c>
    </row>
    <row r="855" spans="1:9" x14ac:dyDescent="0.25">
      <c r="A855" s="2" t="s">
        <v>105</v>
      </c>
      <c r="B855" s="2" t="s">
        <v>63</v>
      </c>
      <c r="C855" t="s">
        <v>88</v>
      </c>
      <c r="D855" t="s">
        <v>26</v>
      </c>
      <c r="E855" s="2">
        <v>2</v>
      </c>
      <c r="F855" t="s">
        <v>80</v>
      </c>
      <c r="G855">
        <v>6.29</v>
      </c>
      <c r="H855">
        <v>5.59</v>
      </c>
      <c r="I855" s="2" t="str">
        <f>_xlfn.XLOOKUP(F855,DeparaIMG!B:B,DeparaIMG!D:D,,0)</f>
        <v>COR350.png</v>
      </c>
    </row>
    <row r="856" spans="1:9" x14ac:dyDescent="0.25">
      <c r="A856" s="2" t="s">
        <v>105</v>
      </c>
      <c r="B856" s="2" t="s">
        <v>63</v>
      </c>
      <c r="C856" t="s">
        <v>88</v>
      </c>
      <c r="D856" t="s">
        <v>26</v>
      </c>
      <c r="E856" s="2">
        <v>2</v>
      </c>
      <c r="F856" t="s">
        <v>83</v>
      </c>
      <c r="G856">
        <v>6.29</v>
      </c>
      <c r="H856">
        <v>5.29</v>
      </c>
      <c r="I856" s="2" t="str">
        <f>_xlfn.XLOOKUP(F856,DeparaIMG!B:B,DeparaIMG!D:D,,0)</f>
        <v>BUDLN.png</v>
      </c>
    </row>
    <row r="857" spans="1:9" x14ac:dyDescent="0.25">
      <c r="A857" s="2" t="s">
        <v>105</v>
      </c>
      <c r="B857" s="2" t="s">
        <v>63</v>
      </c>
      <c r="C857" t="s">
        <v>88</v>
      </c>
      <c r="D857" t="s">
        <v>26</v>
      </c>
      <c r="E857" s="2">
        <v>2</v>
      </c>
      <c r="F857" t="s">
        <v>82</v>
      </c>
      <c r="G857">
        <v>6.29</v>
      </c>
      <c r="H857">
        <v>5.29</v>
      </c>
      <c r="I857" s="2" t="str">
        <f>_xlfn.XLOOKUP(F857,DeparaIMG!B:B,DeparaIMG!D:D,,0)</f>
        <v>BUDZEROLN.png</v>
      </c>
    </row>
    <row r="858" spans="1:9" x14ac:dyDescent="0.25">
      <c r="A858" s="2" t="s">
        <v>105</v>
      </c>
      <c r="B858" s="2" t="s">
        <v>63</v>
      </c>
      <c r="C858" t="s">
        <v>89</v>
      </c>
      <c r="D858" t="s">
        <v>25</v>
      </c>
      <c r="E858" s="2">
        <v>1</v>
      </c>
      <c r="F858" t="s">
        <v>71</v>
      </c>
      <c r="G858">
        <v>3.69</v>
      </c>
      <c r="H858">
        <v>3.19</v>
      </c>
      <c r="I858" s="2" t="str">
        <f>_xlfn.XLOOKUP(F858,DeparaIMG!B:B,DeparaIMG!D:D,,0)</f>
        <v>BC0350.png</v>
      </c>
    </row>
    <row r="859" spans="1:9" x14ac:dyDescent="0.25">
      <c r="A859" s="2" t="s">
        <v>105</v>
      </c>
      <c r="B859" s="2" t="s">
        <v>63</v>
      </c>
      <c r="C859" t="s">
        <v>89</v>
      </c>
      <c r="D859" t="s">
        <v>25</v>
      </c>
      <c r="E859" s="2">
        <v>1</v>
      </c>
      <c r="F859" t="s">
        <v>73</v>
      </c>
      <c r="G859">
        <v>3.89</v>
      </c>
      <c r="H859">
        <v>3.49</v>
      </c>
      <c r="I859" s="2" t="str">
        <f>_xlfn.XLOOKUP(F859,DeparaIMG!B:B,DeparaIMG!D:D,,0)</f>
        <v>ORI269.png</v>
      </c>
    </row>
    <row r="860" spans="1:9" x14ac:dyDescent="0.25">
      <c r="A860" s="2" t="s">
        <v>105</v>
      </c>
      <c r="B860" s="2" t="s">
        <v>63</v>
      </c>
      <c r="C860" t="s">
        <v>89</v>
      </c>
      <c r="D860" t="s">
        <v>25</v>
      </c>
      <c r="E860" s="2">
        <v>1</v>
      </c>
      <c r="F860" t="s">
        <v>86</v>
      </c>
      <c r="G860">
        <v>7.99</v>
      </c>
      <c r="H860">
        <v>6.99</v>
      </c>
      <c r="I860" s="2" t="str">
        <f>_xlfn.XLOOKUP(F860,DeparaIMG!B:B,DeparaIMG!D:D,,0)</f>
        <v>CORLN.png</v>
      </c>
    </row>
    <row r="861" spans="1:9" x14ac:dyDescent="0.25">
      <c r="A861" s="2" t="s">
        <v>105</v>
      </c>
      <c r="B861" s="2" t="s">
        <v>63</v>
      </c>
      <c r="C861" t="s">
        <v>89</v>
      </c>
      <c r="D861" t="s">
        <v>25</v>
      </c>
      <c r="E861" s="2">
        <v>1</v>
      </c>
      <c r="F861" t="s">
        <v>67</v>
      </c>
      <c r="G861">
        <v>3.19</v>
      </c>
      <c r="H861">
        <v>2.89</v>
      </c>
      <c r="I861" s="2" t="str">
        <f>_xlfn.XLOOKUP(F861,DeparaIMG!B:B,DeparaIMG!D:D,,0)</f>
        <v>SK269.png</v>
      </c>
    </row>
    <row r="862" spans="1:9" x14ac:dyDescent="0.25">
      <c r="A862" s="2" t="s">
        <v>105</v>
      </c>
      <c r="B862" s="2" t="s">
        <v>63</v>
      </c>
      <c r="C862" t="s">
        <v>89</v>
      </c>
      <c r="D862" t="s">
        <v>25</v>
      </c>
      <c r="E862" s="2">
        <v>1</v>
      </c>
      <c r="F862" t="s">
        <v>79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105</v>
      </c>
      <c r="B863" s="2" t="s">
        <v>63</v>
      </c>
      <c r="C863" t="s">
        <v>89</v>
      </c>
      <c r="D863" t="s">
        <v>25</v>
      </c>
      <c r="E863" s="2">
        <v>2</v>
      </c>
      <c r="F863" t="s">
        <v>69</v>
      </c>
      <c r="G863">
        <v>3.19</v>
      </c>
      <c r="H863">
        <v>2.89</v>
      </c>
      <c r="I863" s="2" t="str">
        <f>_xlfn.XLOOKUP(F863,DeparaIMG!B:B,DeparaIMG!D:D,,0)</f>
        <v>BC269.png</v>
      </c>
    </row>
    <row r="864" spans="1:9" x14ac:dyDescent="0.25">
      <c r="A864" s="2" t="s">
        <v>105</v>
      </c>
      <c r="B864" s="2" t="s">
        <v>63</v>
      </c>
      <c r="C864" t="s">
        <v>89</v>
      </c>
      <c r="D864" t="s">
        <v>25</v>
      </c>
      <c r="E864" s="2">
        <v>2</v>
      </c>
      <c r="F864" t="s">
        <v>75</v>
      </c>
      <c r="G864">
        <v>4.29</v>
      </c>
      <c r="H864">
        <v>3.69</v>
      </c>
      <c r="I864" s="2" t="str">
        <f>_xlfn.XLOOKUP(F864,DeparaIMG!B:B,DeparaIMG!D:D,,0)</f>
        <v>BUDZERO350.png</v>
      </c>
    </row>
    <row r="865" spans="1:9" x14ac:dyDescent="0.25">
      <c r="A865" s="2" t="s">
        <v>105</v>
      </c>
      <c r="B865" s="2" t="s">
        <v>63</v>
      </c>
      <c r="C865" t="s">
        <v>89</v>
      </c>
      <c r="D865" t="s">
        <v>25</v>
      </c>
      <c r="E865" s="2">
        <v>2</v>
      </c>
      <c r="F865" t="s">
        <v>71</v>
      </c>
      <c r="G865">
        <v>3.69</v>
      </c>
      <c r="H865">
        <v>3.19</v>
      </c>
      <c r="I865" s="2" t="str">
        <f>_xlfn.XLOOKUP(F865,DeparaIMG!B:B,DeparaIMG!D:D,,0)</f>
        <v>BC0350.png</v>
      </c>
    </row>
    <row r="866" spans="1:9" x14ac:dyDescent="0.25">
      <c r="A866" s="2" t="s">
        <v>105</v>
      </c>
      <c r="B866" s="2" t="s">
        <v>63</v>
      </c>
      <c r="C866" t="s">
        <v>89</v>
      </c>
      <c r="D866" t="s">
        <v>25</v>
      </c>
      <c r="E866" s="2">
        <v>2</v>
      </c>
      <c r="F866" t="s">
        <v>84</v>
      </c>
      <c r="G866">
        <v>6.69</v>
      </c>
      <c r="H866">
        <v>5.99</v>
      </c>
      <c r="I866" s="2" t="str">
        <f>_xlfn.XLOOKUP(F866,DeparaIMG!B:B,DeparaIMG!D:D,,0)</f>
        <v>MICLN.png</v>
      </c>
    </row>
    <row r="867" spans="1:9" x14ac:dyDescent="0.25">
      <c r="A867" s="2" t="s">
        <v>105</v>
      </c>
      <c r="B867" s="2" t="s">
        <v>63</v>
      </c>
      <c r="C867" t="s">
        <v>89</v>
      </c>
      <c r="D867" t="s">
        <v>26</v>
      </c>
      <c r="E867" s="2">
        <v>1</v>
      </c>
      <c r="F867" t="s">
        <v>67</v>
      </c>
      <c r="G867">
        <v>3.19</v>
      </c>
      <c r="H867">
        <v>2.89</v>
      </c>
      <c r="I867" s="2" t="str">
        <f>_xlfn.XLOOKUP(F867,DeparaIMG!B:B,DeparaIMG!D:D,,0)</f>
        <v>SK269.png</v>
      </c>
    </row>
    <row r="868" spans="1:9" x14ac:dyDescent="0.25">
      <c r="A868" s="2" t="s">
        <v>105</v>
      </c>
      <c r="B868" s="2" t="s">
        <v>63</v>
      </c>
      <c r="C868" t="s">
        <v>89</v>
      </c>
      <c r="D868" t="s">
        <v>26</v>
      </c>
      <c r="E868" s="2">
        <v>1</v>
      </c>
      <c r="F868" t="s">
        <v>73</v>
      </c>
      <c r="G868">
        <v>3.89</v>
      </c>
      <c r="H868">
        <v>3.49</v>
      </c>
      <c r="I868" s="2" t="str">
        <f>_xlfn.XLOOKUP(F868,DeparaIMG!B:B,DeparaIMG!D:D,,0)</f>
        <v>ORI269.png</v>
      </c>
    </row>
    <row r="869" spans="1:9" x14ac:dyDescent="0.25">
      <c r="A869" s="2" t="s">
        <v>105</v>
      </c>
      <c r="B869" s="2" t="s">
        <v>63</v>
      </c>
      <c r="C869" t="s">
        <v>89</v>
      </c>
      <c r="D869" t="s">
        <v>26</v>
      </c>
      <c r="E869" s="2">
        <v>1</v>
      </c>
      <c r="F869" t="s">
        <v>86</v>
      </c>
      <c r="G869">
        <v>7.99</v>
      </c>
      <c r="H869">
        <v>6.99</v>
      </c>
      <c r="I869" s="2" t="str">
        <f>_xlfn.XLOOKUP(F869,DeparaIMG!B:B,DeparaIMG!D:D,,0)</f>
        <v>CORLN.png</v>
      </c>
    </row>
    <row r="870" spans="1:9" x14ac:dyDescent="0.25">
      <c r="A870" s="2" t="s">
        <v>105</v>
      </c>
      <c r="B870" s="2" t="s">
        <v>63</v>
      </c>
      <c r="C870" t="s">
        <v>89</v>
      </c>
      <c r="D870" t="s">
        <v>26</v>
      </c>
      <c r="E870" s="2">
        <v>1</v>
      </c>
      <c r="F870" t="s">
        <v>103</v>
      </c>
      <c r="G870">
        <v>4.09</v>
      </c>
      <c r="H870">
        <v>3.79</v>
      </c>
      <c r="I870" s="2" t="str">
        <f>_xlfn.XLOOKUP(F870,DeparaIMG!B:B,DeparaIMG!D:D,,0)</f>
        <v>SPT269.png</v>
      </c>
    </row>
    <row r="871" spans="1:9" x14ac:dyDescent="0.25">
      <c r="A871" s="2" t="s">
        <v>105</v>
      </c>
      <c r="B871" s="2" t="s">
        <v>63</v>
      </c>
      <c r="C871" t="s">
        <v>89</v>
      </c>
      <c r="D871" t="s">
        <v>26</v>
      </c>
      <c r="E871" s="2">
        <v>1</v>
      </c>
      <c r="F871" t="s">
        <v>79</v>
      </c>
      <c r="G871">
        <v>5.49</v>
      </c>
      <c r="H871">
        <v>4.99</v>
      </c>
      <c r="I871" s="2" t="str">
        <f>_xlfn.XLOOKUP(F871,DeparaIMG!B:B,DeparaIMG!D:D,,0)</f>
        <v>MIC350.png</v>
      </c>
    </row>
    <row r="872" spans="1:9" x14ac:dyDescent="0.25">
      <c r="A872" s="2" t="s">
        <v>105</v>
      </c>
      <c r="B872" s="2" t="s">
        <v>63</v>
      </c>
      <c r="C872" t="s">
        <v>89</v>
      </c>
      <c r="D872" t="s">
        <v>26</v>
      </c>
      <c r="E872" s="2">
        <v>2</v>
      </c>
      <c r="F872" t="s">
        <v>70</v>
      </c>
      <c r="G872">
        <v>3.49</v>
      </c>
      <c r="H872">
        <v>3.09</v>
      </c>
      <c r="I872" s="2" t="str">
        <f>_xlfn.XLOOKUP(F872,DeparaIMG!B:B,DeparaIMG!D:D,,0)</f>
        <v>BUD269.png</v>
      </c>
    </row>
    <row r="873" spans="1:9" x14ac:dyDescent="0.25">
      <c r="A873" s="2" t="s">
        <v>105</v>
      </c>
      <c r="B873" s="2" t="s">
        <v>63</v>
      </c>
      <c r="C873" t="s">
        <v>89</v>
      </c>
      <c r="D873" t="s">
        <v>26</v>
      </c>
      <c r="E873" s="2">
        <v>2</v>
      </c>
      <c r="F873" t="s">
        <v>75</v>
      </c>
      <c r="G873">
        <v>4.29</v>
      </c>
      <c r="H873">
        <v>3.69</v>
      </c>
      <c r="I873" s="2" t="str">
        <f>_xlfn.XLOOKUP(F873,DeparaIMG!B:B,DeparaIMG!D:D,,0)</f>
        <v>BUDZERO350.png</v>
      </c>
    </row>
    <row r="874" spans="1:9" x14ac:dyDescent="0.25">
      <c r="A874" s="2" t="s">
        <v>105</v>
      </c>
      <c r="B874" s="2" t="s">
        <v>63</v>
      </c>
      <c r="C874" t="s">
        <v>89</v>
      </c>
      <c r="D874" t="s">
        <v>26</v>
      </c>
      <c r="E874" s="2">
        <v>2</v>
      </c>
      <c r="F874" t="s">
        <v>69</v>
      </c>
      <c r="G874">
        <v>3.19</v>
      </c>
      <c r="H874">
        <v>2.89</v>
      </c>
      <c r="I874" s="2" t="str">
        <f>_xlfn.XLOOKUP(F874,DeparaIMG!B:B,DeparaIMG!D:D,,0)</f>
        <v>BC269.png</v>
      </c>
    </row>
    <row r="875" spans="1:9" x14ac:dyDescent="0.25">
      <c r="A875" s="2" t="s">
        <v>105</v>
      </c>
      <c r="B875" s="2" t="s">
        <v>63</v>
      </c>
      <c r="C875" t="s">
        <v>89</v>
      </c>
      <c r="D875" t="s">
        <v>26</v>
      </c>
      <c r="E875" s="2">
        <v>2</v>
      </c>
      <c r="F875" t="s">
        <v>71</v>
      </c>
      <c r="G875">
        <v>3.99</v>
      </c>
      <c r="H875">
        <v>3.49</v>
      </c>
      <c r="I875" s="2" t="str">
        <f>_xlfn.XLOOKUP(F875,DeparaIMG!B:B,DeparaIMG!D:D,,0)</f>
        <v>BC0350.png</v>
      </c>
    </row>
    <row r="876" spans="1:9" x14ac:dyDescent="0.25">
      <c r="A876" s="2" t="s">
        <v>105</v>
      </c>
      <c r="B876" s="2" t="s">
        <v>63</v>
      </c>
      <c r="C876" t="s">
        <v>89</v>
      </c>
      <c r="D876" t="s">
        <v>26</v>
      </c>
      <c r="E876" s="2">
        <v>2</v>
      </c>
      <c r="F876" t="s">
        <v>84</v>
      </c>
      <c r="G876">
        <v>6.69</v>
      </c>
      <c r="H876">
        <v>5.99</v>
      </c>
      <c r="I876" s="2" t="str">
        <f>_xlfn.XLOOKUP(F876,DeparaIMG!B:B,DeparaIMG!D:D,,0)</f>
        <v>MICLN.png</v>
      </c>
    </row>
    <row r="877" spans="1:9" x14ac:dyDescent="0.25">
      <c r="A877" s="2" t="s">
        <v>105</v>
      </c>
      <c r="B877" s="2" t="s">
        <v>63</v>
      </c>
      <c r="C877" t="s">
        <v>89</v>
      </c>
      <c r="D877" t="s">
        <v>26</v>
      </c>
      <c r="E877" s="2">
        <v>2</v>
      </c>
      <c r="F877" t="s">
        <v>78</v>
      </c>
      <c r="G877">
        <v>4.6900000000000004</v>
      </c>
      <c r="H877">
        <v>4.1900000000000004</v>
      </c>
      <c r="I877" s="2" t="str">
        <f>_xlfn.XLOOKUP(F877,DeparaIMG!B:B,DeparaIMG!D:D,,0)</f>
        <v>COR269.png</v>
      </c>
    </row>
    <row r="878" spans="1:9" x14ac:dyDescent="0.25">
      <c r="A878" s="2" t="s">
        <v>105</v>
      </c>
      <c r="B878" s="2" t="s">
        <v>63</v>
      </c>
      <c r="C878" t="s">
        <v>89</v>
      </c>
      <c r="D878" t="s">
        <v>26</v>
      </c>
      <c r="E878" s="2">
        <v>2</v>
      </c>
      <c r="F878" t="s">
        <v>80</v>
      </c>
      <c r="G878">
        <v>6.29</v>
      </c>
      <c r="H878">
        <v>5.59</v>
      </c>
      <c r="I878" s="2" t="str">
        <f>_xlfn.XLOOKUP(F878,DeparaIMG!B:B,DeparaIMG!D:D,,0)</f>
        <v>COR350.png</v>
      </c>
    </row>
    <row r="879" spans="1:9" x14ac:dyDescent="0.25">
      <c r="A879" s="2" t="s">
        <v>105</v>
      </c>
      <c r="B879" s="2" t="s">
        <v>63</v>
      </c>
      <c r="C879" t="s">
        <v>89</v>
      </c>
      <c r="D879" t="s">
        <v>26</v>
      </c>
      <c r="E879" s="2">
        <v>2</v>
      </c>
      <c r="F879" t="s">
        <v>83</v>
      </c>
      <c r="G879">
        <v>6.29</v>
      </c>
      <c r="H879">
        <v>5.29</v>
      </c>
      <c r="I879" s="2" t="str">
        <f>_xlfn.XLOOKUP(F879,DeparaIMG!B:B,DeparaIMG!D:D,,0)</f>
        <v>BUDLN.png</v>
      </c>
    </row>
    <row r="880" spans="1:9" x14ac:dyDescent="0.25">
      <c r="A880" s="2" t="s">
        <v>105</v>
      </c>
      <c r="B880" s="2" t="s">
        <v>63</v>
      </c>
      <c r="C880" t="s">
        <v>89</v>
      </c>
      <c r="D880" t="s">
        <v>26</v>
      </c>
      <c r="E880" s="2">
        <v>2</v>
      </c>
      <c r="F880" t="s">
        <v>82</v>
      </c>
      <c r="G880">
        <v>6.29</v>
      </c>
      <c r="H880">
        <v>5.29</v>
      </c>
      <c r="I880" s="2" t="str">
        <f>_xlfn.XLOOKUP(F880,DeparaIMG!B:B,DeparaIMG!D:D,,0)</f>
        <v>BUDZEROLN.png</v>
      </c>
    </row>
    <row r="881" spans="1:9" x14ac:dyDescent="0.25">
      <c r="A881" s="2" t="s">
        <v>105</v>
      </c>
      <c r="B881" s="2" t="s">
        <v>63</v>
      </c>
      <c r="C881" t="s">
        <v>4</v>
      </c>
      <c r="D881" t="s">
        <v>25</v>
      </c>
      <c r="E881" s="2">
        <v>1</v>
      </c>
      <c r="F881" t="s">
        <v>67</v>
      </c>
      <c r="G881">
        <v>3.19</v>
      </c>
      <c r="H881">
        <v>2.89</v>
      </c>
      <c r="I881" s="2" t="str">
        <f>_xlfn.XLOOKUP(F881,DeparaIMG!B:B,DeparaIMG!D:D,,0)</f>
        <v>SK269.png</v>
      </c>
    </row>
    <row r="882" spans="1:9" x14ac:dyDescent="0.25">
      <c r="A882" s="2" t="s">
        <v>105</v>
      </c>
      <c r="B882" s="2" t="s">
        <v>63</v>
      </c>
      <c r="C882" t="s">
        <v>4</v>
      </c>
      <c r="D882" t="s">
        <v>25</v>
      </c>
      <c r="E882" s="2">
        <v>1</v>
      </c>
      <c r="F882" t="s">
        <v>71</v>
      </c>
      <c r="G882">
        <v>3.69</v>
      </c>
      <c r="H882">
        <v>3.19</v>
      </c>
      <c r="I882" s="2" t="str">
        <f>_xlfn.XLOOKUP(F882,DeparaIMG!B:B,DeparaIMG!D:D,,0)</f>
        <v>BC0350.png</v>
      </c>
    </row>
    <row r="883" spans="1:9" x14ac:dyDescent="0.25">
      <c r="A883" s="2" t="s">
        <v>105</v>
      </c>
      <c r="B883" s="2" t="s">
        <v>63</v>
      </c>
      <c r="C883" t="s">
        <v>4</v>
      </c>
      <c r="D883" t="s">
        <v>25</v>
      </c>
      <c r="E883" s="2">
        <v>1</v>
      </c>
      <c r="F883" t="s">
        <v>73</v>
      </c>
      <c r="G883">
        <v>3.89</v>
      </c>
      <c r="H883">
        <v>3.49</v>
      </c>
      <c r="I883" s="2" t="str">
        <f>_xlfn.XLOOKUP(F883,DeparaIMG!B:B,DeparaIMG!D:D,,0)</f>
        <v>ORI269.png</v>
      </c>
    </row>
    <row r="884" spans="1:9" x14ac:dyDescent="0.25">
      <c r="A884" s="2" t="s">
        <v>105</v>
      </c>
      <c r="B884" s="2" t="s">
        <v>63</v>
      </c>
      <c r="C884" t="s">
        <v>4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CORLN.png</v>
      </c>
    </row>
    <row r="885" spans="1:9" x14ac:dyDescent="0.25">
      <c r="A885" s="2" t="s">
        <v>105</v>
      </c>
      <c r="B885" s="2" t="s">
        <v>63</v>
      </c>
      <c r="C885" t="s">
        <v>4</v>
      </c>
      <c r="D885" t="s">
        <v>25</v>
      </c>
      <c r="E885" s="2">
        <v>1</v>
      </c>
      <c r="F885" t="s">
        <v>79</v>
      </c>
      <c r="G885">
        <v>5.49</v>
      </c>
      <c r="H885">
        <v>4.99</v>
      </c>
      <c r="I885" s="2" t="str">
        <f>_xlfn.XLOOKUP(F885,DeparaIMG!B:B,DeparaIMG!D:D,,0)</f>
        <v>MIC350.png</v>
      </c>
    </row>
    <row r="886" spans="1:9" x14ac:dyDescent="0.25">
      <c r="A886" s="2" t="s">
        <v>105</v>
      </c>
      <c r="B886" s="2" t="s">
        <v>63</v>
      </c>
      <c r="C886" t="s">
        <v>4</v>
      </c>
      <c r="D886" t="s">
        <v>25</v>
      </c>
      <c r="E886" s="2">
        <v>2</v>
      </c>
      <c r="F886" t="s">
        <v>70</v>
      </c>
      <c r="G886">
        <v>3.39</v>
      </c>
      <c r="H886">
        <v>2.99</v>
      </c>
      <c r="I886" s="2" t="str">
        <f>_xlfn.XLOOKUP(F886,DeparaIMG!B:B,DeparaIMG!D:D,,0)</f>
        <v>BUD269.png</v>
      </c>
    </row>
    <row r="887" spans="1:9" x14ac:dyDescent="0.25">
      <c r="A887" s="2" t="s">
        <v>105</v>
      </c>
      <c r="B887" s="2" t="s">
        <v>63</v>
      </c>
      <c r="C887" t="s">
        <v>4</v>
      </c>
      <c r="D887" t="s">
        <v>25</v>
      </c>
      <c r="E887" s="2">
        <v>2</v>
      </c>
      <c r="F887" t="s">
        <v>75</v>
      </c>
      <c r="G887">
        <v>4.1900000000000004</v>
      </c>
      <c r="H887">
        <v>3.59</v>
      </c>
      <c r="I887" s="2" t="str">
        <f>_xlfn.XLOOKUP(F887,DeparaIMG!B:B,DeparaIMG!D:D,,0)</f>
        <v>BUDZERO350.png</v>
      </c>
    </row>
    <row r="888" spans="1:9" x14ac:dyDescent="0.25">
      <c r="A888" s="2" t="s">
        <v>105</v>
      </c>
      <c r="B888" s="2" t="s">
        <v>63</v>
      </c>
      <c r="C888" t="s">
        <v>4</v>
      </c>
      <c r="D888" t="s">
        <v>25</v>
      </c>
      <c r="E888" s="2">
        <v>2</v>
      </c>
      <c r="F888" t="s">
        <v>69</v>
      </c>
      <c r="G888">
        <v>3.09</v>
      </c>
      <c r="H888">
        <v>2.79</v>
      </c>
      <c r="I888" s="2" t="str">
        <f>_xlfn.XLOOKUP(F888,DeparaIMG!B:B,DeparaIMG!D:D,,0)</f>
        <v>BC269.png</v>
      </c>
    </row>
    <row r="889" spans="1:9" x14ac:dyDescent="0.25">
      <c r="A889" s="2" t="s">
        <v>105</v>
      </c>
      <c r="B889" s="2" t="s">
        <v>63</v>
      </c>
      <c r="C889" t="s">
        <v>4</v>
      </c>
      <c r="D889" t="s">
        <v>25</v>
      </c>
      <c r="E889" s="2">
        <v>2</v>
      </c>
      <c r="F889" t="s">
        <v>71</v>
      </c>
      <c r="G889">
        <v>3.69</v>
      </c>
      <c r="H889">
        <v>3.19</v>
      </c>
      <c r="I889" s="2" t="str">
        <f>_xlfn.XLOOKUP(F889,DeparaIMG!B:B,DeparaIMG!D:D,,0)</f>
        <v>BC0350.png</v>
      </c>
    </row>
    <row r="890" spans="1:9" x14ac:dyDescent="0.25">
      <c r="A890" s="2" t="s">
        <v>105</v>
      </c>
      <c r="B890" s="2" t="s">
        <v>63</v>
      </c>
      <c r="C890" t="s">
        <v>4</v>
      </c>
      <c r="D890" t="s">
        <v>25</v>
      </c>
      <c r="E890" s="2">
        <v>2</v>
      </c>
      <c r="F890" t="s">
        <v>84</v>
      </c>
      <c r="G890">
        <v>6.69</v>
      </c>
      <c r="H890">
        <v>5.99</v>
      </c>
      <c r="I890" s="2" t="str">
        <f>_xlfn.XLOOKUP(F890,DeparaIMG!B:B,DeparaIMG!D:D,,0)</f>
        <v>MICLN.png</v>
      </c>
    </row>
    <row r="891" spans="1:9" x14ac:dyDescent="0.25">
      <c r="A891" s="2" t="s">
        <v>105</v>
      </c>
      <c r="B891" s="2" t="s">
        <v>63</v>
      </c>
      <c r="C891" t="s">
        <v>4</v>
      </c>
      <c r="D891" t="s">
        <v>26</v>
      </c>
      <c r="E891" s="2">
        <v>1</v>
      </c>
      <c r="F891" t="s">
        <v>67</v>
      </c>
      <c r="G891">
        <v>3.19</v>
      </c>
      <c r="H891">
        <v>2.89</v>
      </c>
      <c r="I891" s="2" t="str">
        <f>_xlfn.XLOOKUP(F891,DeparaIMG!B:B,DeparaIMG!D:D,,0)</f>
        <v>SK269.png</v>
      </c>
    </row>
    <row r="892" spans="1:9" x14ac:dyDescent="0.25">
      <c r="A892" s="2" t="s">
        <v>105</v>
      </c>
      <c r="B892" s="2" t="s">
        <v>63</v>
      </c>
      <c r="C892" t="s">
        <v>4</v>
      </c>
      <c r="D892" t="s">
        <v>26</v>
      </c>
      <c r="E892" s="2">
        <v>1</v>
      </c>
      <c r="F892" t="s">
        <v>71</v>
      </c>
      <c r="G892">
        <v>3.99</v>
      </c>
      <c r="H892">
        <v>3.49</v>
      </c>
      <c r="I892" s="2" t="str">
        <f>_xlfn.XLOOKUP(F892,DeparaIMG!B:B,DeparaIMG!D:D,,0)</f>
        <v>BC0350.png</v>
      </c>
    </row>
    <row r="893" spans="1:9" x14ac:dyDescent="0.25">
      <c r="A893" s="2" t="s">
        <v>105</v>
      </c>
      <c r="B893" s="2" t="s">
        <v>63</v>
      </c>
      <c r="C893" t="s">
        <v>4</v>
      </c>
      <c r="D893" t="s">
        <v>26</v>
      </c>
      <c r="E893" s="2">
        <v>1</v>
      </c>
      <c r="F893" t="s">
        <v>73</v>
      </c>
      <c r="G893">
        <v>3.89</v>
      </c>
      <c r="H893">
        <v>3.49</v>
      </c>
      <c r="I893" s="2" t="str">
        <f>_xlfn.XLOOKUP(F893,DeparaIMG!B:B,DeparaIMG!D:D,,0)</f>
        <v>ORI269.png</v>
      </c>
    </row>
    <row r="894" spans="1:9" x14ac:dyDescent="0.25">
      <c r="A894" s="2" t="s">
        <v>105</v>
      </c>
      <c r="B894" s="2" t="s">
        <v>63</v>
      </c>
      <c r="C894" t="s">
        <v>4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CORLN.png</v>
      </c>
    </row>
    <row r="895" spans="1:9" x14ac:dyDescent="0.25">
      <c r="A895" s="2" t="s">
        <v>105</v>
      </c>
      <c r="B895" s="2" t="s">
        <v>63</v>
      </c>
      <c r="C895" t="s">
        <v>4</v>
      </c>
      <c r="D895" t="s">
        <v>26</v>
      </c>
      <c r="E895" s="2">
        <v>1</v>
      </c>
      <c r="F895" t="s">
        <v>104</v>
      </c>
      <c r="G895">
        <v>5.19</v>
      </c>
      <c r="H895">
        <v>4.6900000000000004</v>
      </c>
      <c r="I895" s="2" t="str">
        <f>_xlfn.XLOOKUP(F895,DeparaIMG!B:B,DeparaIMG!D:D,,0)</f>
        <v>SPT350.png</v>
      </c>
    </row>
    <row r="896" spans="1:9" x14ac:dyDescent="0.25">
      <c r="A896" s="2" t="s">
        <v>105</v>
      </c>
      <c r="B896" s="2" t="s">
        <v>63</v>
      </c>
      <c r="C896" t="s">
        <v>4</v>
      </c>
      <c r="D896" t="s">
        <v>26</v>
      </c>
      <c r="E896" s="2">
        <v>1</v>
      </c>
      <c r="F896" t="s">
        <v>79</v>
      </c>
      <c r="G896">
        <v>5.49</v>
      </c>
      <c r="H896">
        <v>4.99</v>
      </c>
      <c r="I896" s="2" t="str">
        <f>_xlfn.XLOOKUP(F896,DeparaIMG!B:B,DeparaIMG!D:D,,0)</f>
        <v>MIC350.png</v>
      </c>
    </row>
    <row r="897" spans="1:9" x14ac:dyDescent="0.25">
      <c r="A897" s="2" t="s">
        <v>105</v>
      </c>
      <c r="B897" s="2" t="s">
        <v>63</v>
      </c>
      <c r="C897" t="s">
        <v>4</v>
      </c>
      <c r="D897" t="s">
        <v>26</v>
      </c>
      <c r="E897" s="2">
        <v>2</v>
      </c>
      <c r="F897" t="s">
        <v>77</v>
      </c>
      <c r="G897">
        <v>4.29</v>
      </c>
      <c r="H897">
        <v>3.69</v>
      </c>
      <c r="I897" s="2" t="str">
        <f>_xlfn.XLOOKUP(F897,DeparaIMG!B:B,DeparaIMG!D:D,,0)</f>
        <v>BUD350.png</v>
      </c>
    </row>
    <row r="898" spans="1:9" x14ac:dyDescent="0.25">
      <c r="A898" s="2" t="s">
        <v>105</v>
      </c>
      <c r="B898" s="2" t="s">
        <v>63</v>
      </c>
      <c r="C898" t="s">
        <v>4</v>
      </c>
      <c r="D898" t="s">
        <v>26</v>
      </c>
      <c r="E898" s="2">
        <v>2</v>
      </c>
      <c r="F898" t="s">
        <v>75</v>
      </c>
      <c r="G898">
        <v>4.1900000000000004</v>
      </c>
      <c r="H898">
        <v>3.59</v>
      </c>
      <c r="I898" s="2" t="str">
        <f>_xlfn.XLOOKUP(F898,DeparaIMG!B:B,DeparaIMG!D:D,,0)</f>
        <v>BUDZERO350.png</v>
      </c>
    </row>
    <row r="899" spans="1:9" x14ac:dyDescent="0.25">
      <c r="A899" s="2" t="s">
        <v>105</v>
      </c>
      <c r="B899" s="2" t="s">
        <v>63</v>
      </c>
      <c r="C899" t="s">
        <v>4</v>
      </c>
      <c r="D899" t="s">
        <v>26</v>
      </c>
      <c r="E899" s="2">
        <v>2</v>
      </c>
      <c r="F899" t="s">
        <v>72</v>
      </c>
      <c r="G899">
        <v>3.59</v>
      </c>
      <c r="H899">
        <v>3.19</v>
      </c>
      <c r="I899" s="2" t="str">
        <f>_xlfn.XLOOKUP(F899,DeparaIMG!B:B,DeparaIMG!D:D,,0)</f>
        <v>BC350.png</v>
      </c>
    </row>
    <row r="900" spans="1:9" x14ac:dyDescent="0.25">
      <c r="A900" s="2" t="s">
        <v>105</v>
      </c>
      <c r="B900" s="2" t="s">
        <v>63</v>
      </c>
      <c r="C900" t="s">
        <v>4</v>
      </c>
      <c r="D900" t="s">
        <v>26</v>
      </c>
      <c r="E900" s="2">
        <v>2</v>
      </c>
      <c r="F900" t="s">
        <v>71</v>
      </c>
      <c r="G900">
        <v>3.99</v>
      </c>
      <c r="H900">
        <v>3.49</v>
      </c>
      <c r="I900" s="2" t="str">
        <f>_xlfn.XLOOKUP(F900,DeparaIMG!B:B,DeparaIMG!D:D,,0)</f>
        <v>BC0350.png</v>
      </c>
    </row>
    <row r="901" spans="1:9" x14ac:dyDescent="0.25">
      <c r="A901" s="2" t="s">
        <v>105</v>
      </c>
      <c r="B901" s="2" t="s">
        <v>63</v>
      </c>
      <c r="C901" t="s">
        <v>4</v>
      </c>
      <c r="D901" t="s">
        <v>26</v>
      </c>
      <c r="E901" s="2">
        <v>2</v>
      </c>
      <c r="F901" t="s">
        <v>84</v>
      </c>
      <c r="G901">
        <v>6.69</v>
      </c>
      <c r="H901">
        <v>5.99</v>
      </c>
      <c r="I901" s="2" t="str">
        <f>_xlfn.XLOOKUP(F901,DeparaIMG!B:B,DeparaIMG!D:D,,0)</f>
        <v>MICLN.png</v>
      </c>
    </row>
    <row r="902" spans="1:9" x14ac:dyDescent="0.25">
      <c r="A902" s="2" t="s">
        <v>105</v>
      </c>
      <c r="B902" s="2" t="s">
        <v>63</v>
      </c>
      <c r="C902" t="s">
        <v>4</v>
      </c>
      <c r="D902" t="s">
        <v>26</v>
      </c>
      <c r="E902" s="2">
        <v>2</v>
      </c>
      <c r="F902" t="s">
        <v>80</v>
      </c>
      <c r="G902">
        <v>6.29</v>
      </c>
      <c r="H902">
        <v>5.59</v>
      </c>
      <c r="I902" s="2" t="str">
        <f>_xlfn.XLOOKUP(F902,DeparaIMG!B:B,DeparaIMG!D:D,,0)</f>
        <v>COR350.png</v>
      </c>
    </row>
    <row r="903" spans="1:9" x14ac:dyDescent="0.25">
      <c r="A903" s="2" t="s">
        <v>105</v>
      </c>
      <c r="B903" s="2" t="s">
        <v>63</v>
      </c>
      <c r="C903" t="s">
        <v>4</v>
      </c>
      <c r="D903" t="s">
        <v>26</v>
      </c>
      <c r="E903" s="2">
        <v>2</v>
      </c>
      <c r="F903" t="s">
        <v>83</v>
      </c>
      <c r="G903">
        <v>6.29</v>
      </c>
      <c r="H903">
        <v>5.29</v>
      </c>
      <c r="I903" s="2" t="str">
        <f>_xlfn.XLOOKUP(F903,DeparaIMG!B:B,DeparaIMG!D:D,,0)</f>
        <v>BUDLN.png</v>
      </c>
    </row>
    <row r="904" spans="1:9" x14ac:dyDescent="0.25">
      <c r="A904" s="2" t="s">
        <v>105</v>
      </c>
      <c r="B904" s="2" t="s">
        <v>63</v>
      </c>
      <c r="C904" t="s">
        <v>4</v>
      </c>
      <c r="D904" t="s">
        <v>26</v>
      </c>
      <c r="E904" s="2">
        <v>2</v>
      </c>
      <c r="F904" t="s">
        <v>82</v>
      </c>
      <c r="G904">
        <v>6.29</v>
      </c>
      <c r="H904">
        <v>5.29</v>
      </c>
      <c r="I904" s="2" t="str">
        <f>_xlfn.XLOOKUP(F904,DeparaIMG!B:B,DeparaIMG!D:D,,0)</f>
        <v>BUDZEROLN.png</v>
      </c>
    </row>
    <row r="905" spans="1:9" x14ac:dyDescent="0.25">
      <c r="A905" s="2" t="s">
        <v>105</v>
      </c>
      <c r="B905" s="2" t="s">
        <v>63</v>
      </c>
      <c r="C905" t="s">
        <v>28</v>
      </c>
      <c r="D905" t="s">
        <v>26</v>
      </c>
      <c r="E905" s="2">
        <v>2</v>
      </c>
      <c r="F905" t="s">
        <v>81</v>
      </c>
      <c r="G905">
        <v>6.19</v>
      </c>
      <c r="H905">
        <v>5.49</v>
      </c>
      <c r="I905" s="2" t="str">
        <f>_xlfn.XLOOKUP(F905,DeparaIMG!B:B,DeparaIMG!D:D,,0)</f>
        <v>CORCERO350.png</v>
      </c>
    </row>
    <row r="906" spans="1:9" x14ac:dyDescent="0.25">
      <c r="A906" s="2" t="s">
        <v>105</v>
      </c>
      <c r="B906" s="2" t="s">
        <v>63</v>
      </c>
      <c r="C906" t="s">
        <v>29</v>
      </c>
      <c r="D906" t="s">
        <v>26</v>
      </c>
      <c r="E906" s="2">
        <v>2</v>
      </c>
      <c r="F906" t="s">
        <v>81</v>
      </c>
      <c r="G906">
        <v>6.29</v>
      </c>
      <c r="H906">
        <v>5.59</v>
      </c>
      <c r="I906" s="2" t="str">
        <f>_xlfn.XLOOKUP(F906,DeparaIMG!B:B,DeparaIMG!D:D,,0)</f>
        <v>CORCERO350.png</v>
      </c>
    </row>
    <row r="907" spans="1:9" x14ac:dyDescent="0.25">
      <c r="A907" s="2" t="s">
        <v>105</v>
      </c>
      <c r="B907" s="2" t="s">
        <v>63</v>
      </c>
      <c r="C907" t="s">
        <v>88</v>
      </c>
      <c r="D907" t="s">
        <v>26</v>
      </c>
      <c r="E907" s="2">
        <v>2</v>
      </c>
      <c r="F907" t="s">
        <v>81</v>
      </c>
      <c r="G907">
        <v>6.29</v>
      </c>
      <c r="H907">
        <v>5.59</v>
      </c>
      <c r="I907" s="2" t="str">
        <f>_xlfn.XLOOKUP(F907,DeparaIMG!B:B,DeparaIMG!D:D,,0)</f>
        <v>CORCERO350.png</v>
      </c>
    </row>
    <row r="908" spans="1:9" x14ac:dyDescent="0.25">
      <c r="A908" s="2" t="s">
        <v>105</v>
      </c>
      <c r="B908" s="2" t="s">
        <v>63</v>
      </c>
      <c r="C908" t="s">
        <v>89</v>
      </c>
      <c r="D908" t="s">
        <v>26</v>
      </c>
      <c r="E908" s="2">
        <v>2</v>
      </c>
      <c r="F908" t="s">
        <v>81</v>
      </c>
      <c r="G908">
        <v>6.29</v>
      </c>
      <c r="H908">
        <v>5.59</v>
      </c>
      <c r="I908" s="2" t="str">
        <f>_xlfn.XLOOKUP(F908,DeparaIMG!B:B,DeparaIMG!D:D,,0)</f>
        <v>CORCERO350.png</v>
      </c>
    </row>
    <row r="909" spans="1:9" x14ac:dyDescent="0.25">
      <c r="A909" s="2" t="s">
        <v>105</v>
      </c>
      <c r="B909" s="2" t="s">
        <v>63</v>
      </c>
      <c r="C909" t="s">
        <v>4</v>
      </c>
      <c r="D909" t="s">
        <v>26</v>
      </c>
      <c r="E909" s="2">
        <v>2</v>
      </c>
      <c r="F909" t="s">
        <v>81</v>
      </c>
      <c r="G909">
        <v>6.29</v>
      </c>
      <c r="H909">
        <v>5.59</v>
      </c>
      <c r="I909" s="2" t="str">
        <f>_xlfn.XLOOKUP(F909,DeparaIMG!B:B,DeparaIMG!D:D,,0)</f>
        <v>CORCERO350.png</v>
      </c>
    </row>
    <row r="910" spans="1:9" x14ac:dyDescent="0.25">
      <c r="A910" s="2" t="s">
        <v>105</v>
      </c>
      <c r="B910" s="2" t="s">
        <v>63</v>
      </c>
      <c r="C910" t="s">
        <v>90</v>
      </c>
      <c r="D910" t="s">
        <v>25</v>
      </c>
      <c r="E910" s="2">
        <v>1</v>
      </c>
      <c r="F910" t="s">
        <v>67</v>
      </c>
      <c r="G910">
        <v>3.29</v>
      </c>
      <c r="H910">
        <v>2.99</v>
      </c>
      <c r="I910" s="2" t="str">
        <f>_xlfn.XLOOKUP(F910,DeparaIMG!B:B,DeparaIMG!D:D,,0)</f>
        <v>SK269.png</v>
      </c>
    </row>
    <row r="911" spans="1:9" x14ac:dyDescent="0.25">
      <c r="A911" s="2" t="s">
        <v>105</v>
      </c>
      <c r="B911" s="2" t="s">
        <v>63</v>
      </c>
      <c r="C911" t="s">
        <v>91</v>
      </c>
      <c r="D911" t="s">
        <v>25</v>
      </c>
      <c r="E911" s="2">
        <v>1</v>
      </c>
      <c r="F911" t="s">
        <v>67</v>
      </c>
      <c r="G911">
        <v>3.29</v>
      </c>
      <c r="H911">
        <v>2.99</v>
      </c>
      <c r="I911" s="2" t="str">
        <f>_xlfn.XLOOKUP(F911,DeparaIMG!B:B,DeparaIMG!D:D,,0)</f>
        <v>SK269.png</v>
      </c>
    </row>
    <row r="912" spans="1:9" x14ac:dyDescent="0.25">
      <c r="A912" s="2" t="s">
        <v>105</v>
      </c>
      <c r="B912" s="2" t="s">
        <v>63</v>
      </c>
      <c r="C912" t="s">
        <v>90</v>
      </c>
      <c r="D912" t="s">
        <v>25</v>
      </c>
      <c r="E912" s="2">
        <v>2</v>
      </c>
      <c r="F912" t="s">
        <v>70</v>
      </c>
      <c r="G912">
        <v>3.49</v>
      </c>
      <c r="H912">
        <v>3.09</v>
      </c>
      <c r="I912" s="2" t="str">
        <f>_xlfn.XLOOKUP(F912,DeparaIMG!B:B,DeparaIMG!D:D,,0)</f>
        <v>BUD269.png</v>
      </c>
    </row>
    <row r="913" spans="1:9" x14ac:dyDescent="0.25">
      <c r="A913" s="2" t="s">
        <v>105</v>
      </c>
      <c r="B913" s="2" t="s">
        <v>63</v>
      </c>
      <c r="C913" t="s">
        <v>90</v>
      </c>
      <c r="D913" t="s">
        <v>26</v>
      </c>
      <c r="E913" s="2">
        <v>2</v>
      </c>
      <c r="F913" t="s">
        <v>70</v>
      </c>
      <c r="G913">
        <v>3.49</v>
      </c>
      <c r="H913">
        <v>3.09</v>
      </c>
      <c r="I913" s="2" t="str">
        <f>_xlfn.XLOOKUP(F913,DeparaIMG!B:B,DeparaIMG!D:D,,0)</f>
        <v>BUD269.png</v>
      </c>
    </row>
    <row r="914" spans="1:9" x14ac:dyDescent="0.25">
      <c r="A914" s="2" t="s">
        <v>105</v>
      </c>
      <c r="B914" s="2" t="s">
        <v>63</v>
      </c>
      <c r="C914" t="s">
        <v>91</v>
      </c>
      <c r="D914" t="s">
        <v>26</v>
      </c>
      <c r="E914" s="2">
        <v>2</v>
      </c>
      <c r="F914" t="s">
        <v>70</v>
      </c>
      <c r="G914">
        <v>3.49</v>
      </c>
      <c r="H914">
        <v>3.09</v>
      </c>
      <c r="I914" s="2" t="str">
        <f>_xlfn.XLOOKUP(F914,DeparaIMG!B:B,DeparaIMG!D:D,,0)</f>
        <v>BUD269.png</v>
      </c>
    </row>
    <row r="915" spans="1:9" x14ac:dyDescent="0.25">
      <c r="A915" s="2" t="s">
        <v>105</v>
      </c>
      <c r="B915" s="2" t="s">
        <v>63</v>
      </c>
      <c r="C915" t="s">
        <v>91</v>
      </c>
      <c r="D915" t="s">
        <v>25</v>
      </c>
      <c r="E915" s="2">
        <v>2</v>
      </c>
      <c r="F915" t="s">
        <v>70</v>
      </c>
      <c r="G915">
        <v>3.49</v>
      </c>
      <c r="H915">
        <v>3.09</v>
      </c>
      <c r="I915" s="2" t="str">
        <f>_xlfn.XLOOKUP(F915,DeparaIMG!B:B,DeparaIMG!D:D,,0)</f>
        <v>BUD269.png</v>
      </c>
    </row>
    <row r="916" spans="1:9" x14ac:dyDescent="0.25">
      <c r="A916" s="2" t="s">
        <v>105</v>
      </c>
      <c r="B916" s="2" t="s">
        <v>63</v>
      </c>
      <c r="C916" t="s">
        <v>90</v>
      </c>
      <c r="D916" t="s">
        <v>25</v>
      </c>
      <c r="E916" s="2">
        <v>1</v>
      </c>
      <c r="F916" t="s">
        <v>71</v>
      </c>
      <c r="G916">
        <v>3.69</v>
      </c>
      <c r="H916">
        <v>3.19</v>
      </c>
      <c r="I916" s="2" t="str">
        <f>_xlfn.XLOOKUP(F916,DeparaIMG!B:B,DeparaIMG!D:D,,0)</f>
        <v>BC0350.png</v>
      </c>
    </row>
    <row r="917" spans="1:9" x14ac:dyDescent="0.25">
      <c r="A917" s="2" t="s">
        <v>105</v>
      </c>
      <c r="B917" s="2" t="s">
        <v>63</v>
      </c>
      <c r="C917" t="s">
        <v>90</v>
      </c>
      <c r="D917" t="s">
        <v>25</v>
      </c>
      <c r="E917" s="2">
        <v>2</v>
      </c>
      <c r="F917" t="s">
        <v>71</v>
      </c>
      <c r="G917">
        <v>3.69</v>
      </c>
      <c r="H917">
        <v>3.19</v>
      </c>
      <c r="I917" s="2" t="str">
        <f>_xlfn.XLOOKUP(F917,DeparaIMG!B:B,DeparaIMG!D:D,,0)</f>
        <v>BC0350.png</v>
      </c>
    </row>
    <row r="918" spans="1:9" x14ac:dyDescent="0.25">
      <c r="A918" s="2" t="s">
        <v>105</v>
      </c>
      <c r="B918" s="2" t="s">
        <v>63</v>
      </c>
      <c r="C918" t="s">
        <v>91</v>
      </c>
      <c r="D918" t="s">
        <v>25</v>
      </c>
      <c r="E918" s="2">
        <v>1</v>
      </c>
      <c r="F918" t="s">
        <v>71</v>
      </c>
      <c r="G918">
        <v>3.69</v>
      </c>
      <c r="H918">
        <v>3.19</v>
      </c>
      <c r="I918" s="2" t="str">
        <f>_xlfn.XLOOKUP(F918,DeparaIMG!B:B,DeparaIMG!D:D,,0)</f>
        <v>BC0350.png</v>
      </c>
    </row>
    <row r="919" spans="1:9" x14ac:dyDescent="0.25">
      <c r="A919" s="2" t="s">
        <v>105</v>
      </c>
      <c r="B919" s="2" t="s">
        <v>63</v>
      </c>
      <c r="C919" t="s">
        <v>91</v>
      </c>
      <c r="D919" t="s">
        <v>25</v>
      </c>
      <c r="E919" s="2">
        <v>2</v>
      </c>
      <c r="F919" t="s">
        <v>71</v>
      </c>
      <c r="G919">
        <v>3.69</v>
      </c>
      <c r="H919">
        <v>3.19</v>
      </c>
      <c r="I919" s="2" t="str">
        <f>_xlfn.XLOOKUP(F919,DeparaIMG!B:B,DeparaIMG!D:D,,0)</f>
        <v>BC0350.png</v>
      </c>
    </row>
    <row r="920" spans="1:9" x14ac:dyDescent="0.25">
      <c r="A920" s="2" t="s">
        <v>105</v>
      </c>
      <c r="B920" s="2" t="s">
        <v>63</v>
      </c>
      <c r="C920" t="s">
        <v>90</v>
      </c>
      <c r="D920" t="s">
        <v>25</v>
      </c>
      <c r="E920" s="2">
        <v>1</v>
      </c>
      <c r="F920" t="s">
        <v>73</v>
      </c>
      <c r="G920">
        <v>3.89</v>
      </c>
      <c r="H920">
        <v>3.49</v>
      </c>
      <c r="I920" s="2" t="str">
        <f>_xlfn.XLOOKUP(F920,DeparaIMG!B:B,DeparaIMG!D:D,,0)</f>
        <v>ORI269.png</v>
      </c>
    </row>
    <row r="921" spans="1:9" x14ac:dyDescent="0.25">
      <c r="A921" s="2" t="s">
        <v>105</v>
      </c>
      <c r="B921" s="2" t="s">
        <v>63</v>
      </c>
      <c r="C921" t="s">
        <v>91</v>
      </c>
      <c r="D921" t="s">
        <v>25</v>
      </c>
      <c r="E921" s="2">
        <v>1</v>
      </c>
      <c r="F921" t="s">
        <v>73</v>
      </c>
      <c r="G921">
        <v>3.89</v>
      </c>
      <c r="H921">
        <v>3.49</v>
      </c>
      <c r="I921" s="2" t="str">
        <f>_xlfn.XLOOKUP(F921,DeparaIMG!B:B,DeparaIMG!D:D,,0)</f>
        <v>ORI269.png</v>
      </c>
    </row>
    <row r="922" spans="1:9" x14ac:dyDescent="0.25">
      <c r="A922" s="2" t="s">
        <v>105</v>
      </c>
      <c r="B922" s="2" t="s">
        <v>63</v>
      </c>
      <c r="C922" t="s">
        <v>90</v>
      </c>
      <c r="D922" t="s">
        <v>26</v>
      </c>
      <c r="E922" s="2">
        <v>1</v>
      </c>
      <c r="F922" t="s">
        <v>73</v>
      </c>
      <c r="G922">
        <v>3.89</v>
      </c>
      <c r="H922">
        <v>3.49</v>
      </c>
      <c r="I922" s="2" t="str">
        <f>_xlfn.XLOOKUP(F922,DeparaIMG!B:B,DeparaIMG!D:D,,0)</f>
        <v>ORI269.png</v>
      </c>
    </row>
    <row r="923" spans="1:9" x14ac:dyDescent="0.25">
      <c r="A923" s="2" t="s">
        <v>105</v>
      </c>
      <c r="B923" s="2" t="s">
        <v>63</v>
      </c>
      <c r="C923" t="s">
        <v>91</v>
      </c>
      <c r="D923" t="s">
        <v>26</v>
      </c>
      <c r="E923" s="2">
        <v>1</v>
      </c>
      <c r="F923" t="s">
        <v>73</v>
      </c>
      <c r="G923">
        <v>3.89</v>
      </c>
      <c r="H923">
        <v>3.49</v>
      </c>
      <c r="I923" s="2" t="str">
        <f>_xlfn.XLOOKUP(F923,DeparaIMG!B:B,DeparaIMG!D:D,,0)</f>
        <v>ORI269.png</v>
      </c>
    </row>
    <row r="924" spans="1:9" x14ac:dyDescent="0.25">
      <c r="A924" s="2" t="s">
        <v>105</v>
      </c>
      <c r="B924" s="2" t="s">
        <v>63</v>
      </c>
      <c r="C924" t="s">
        <v>91</v>
      </c>
      <c r="D924" t="s">
        <v>26</v>
      </c>
      <c r="E924" s="2">
        <v>1</v>
      </c>
      <c r="F924" t="s">
        <v>71</v>
      </c>
      <c r="G924">
        <v>3.99</v>
      </c>
      <c r="H924">
        <v>3.49</v>
      </c>
      <c r="I924" s="2" t="str">
        <f>_xlfn.XLOOKUP(F924,DeparaIMG!B:B,DeparaIMG!D:D,,0)</f>
        <v>BC0350.png</v>
      </c>
    </row>
    <row r="925" spans="1:9" x14ac:dyDescent="0.25">
      <c r="A925" s="2" t="s">
        <v>105</v>
      </c>
      <c r="B925" s="2" t="s">
        <v>63</v>
      </c>
      <c r="C925" t="s">
        <v>91</v>
      </c>
      <c r="D925" t="s">
        <v>26</v>
      </c>
      <c r="E925" s="2">
        <v>2</v>
      </c>
      <c r="F925" t="s">
        <v>71</v>
      </c>
      <c r="G925">
        <v>3.99</v>
      </c>
      <c r="H925">
        <v>3.49</v>
      </c>
      <c r="I925" s="2" t="str">
        <f>_xlfn.XLOOKUP(F925,DeparaIMG!B:B,DeparaIMG!D:D,,0)</f>
        <v>BC0350.png</v>
      </c>
    </row>
    <row r="926" spans="1:9" x14ac:dyDescent="0.25">
      <c r="A926" s="2" t="s">
        <v>105</v>
      </c>
      <c r="B926" s="2" t="s">
        <v>63</v>
      </c>
      <c r="C926" t="s">
        <v>90</v>
      </c>
      <c r="D926" t="s">
        <v>26</v>
      </c>
      <c r="E926" s="2">
        <v>1</v>
      </c>
      <c r="F926" t="s">
        <v>71</v>
      </c>
      <c r="G926">
        <v>3.99</v>
      </c>
      <c r="H926">
        <v>3.49</v>
      </c>
      <c r="I926" s="2" t="str">
        <f>_xlfn.XLOOKUP(F926,DeparaIMG!B:B,DeparaIMG!D:D,,0)</f>
        <v>BC0350.png</v>
      </c>
    </row>
    <row r="927" spans="1:9" x14ac:dyDescent="0.25">
      <c r="A927" s="2" t="s">
        <v>105</v>
      </c>
      <c r="B927" s="2" t="s">
        <v>63</v>
      </c>
      <c r="C927" t="s">
        <v>90</v>
      </c>
      <c r="D927" t="s">
        <v>26</v>
      </c>
      <c r="E927" s="2">
        <v>2</v>
      </c>
      <c r="F927" t="s">
        <v>71</v>
      </c>
      <c r="G927">
        <v>3.99</v>
      </c>
      <c r="H927">
        <v>3.49</v>
      </c>
      <c r="I927" s="2" t="str">
        <f>_xlfn.XLOOKUP(F927,DeparaIMG!B:B,DeparaIMG!D:D,,0)</f>
        <v>BC0350.png</v>
      </c>
    </row>
    <row r="928" spans="1:9" x14ac:dyDescent="0.25">
      <c r="A928" s="2" t="s">
        <v>105</v>
      </c>
      <c r="B928" s="2" t="s">
        <v>63</v>
      </c>
      <c r="C928" t="s">
        <v>91</v>
      </c>
      <c r="D928" t="s">
        <v>26</v>
      </c>
      <c r="E928" s="2">
        <v>1</v>
      </c>
      <c r="F928" t="s">
        <v>103</v>
      </c>
      <c r="G928">
        <v>4.09</v>
      </c>
      <c r="H928">
        <v>3.79</v>
      </c>
      <c r="I928" s="2" t="str">
        <f>_xlfn.XLOOKUP(F928,DeparaIMG!B:B,DeparaIMG!D:D,,0)</f>
        <v>SPT269.png</v>
      </c>
    </row>
    <row r="929" spans="1:9" x14ac:dyDescent="0.25">
      <c r="A929" s="2" t="s">
        <v>105</v>
      </c>
      <c r="B929" s="2" t="s">
        <v>63</v>
      </c>
      <c r="C929" t="s">
        <v>90</v>
      </c>
      <c r="D929" t="s">
        <v>26</v>
      </c>
      <c r="E929" s="2">
        <v>1</v>
      </c>
      <c r="F929" t="s">
        <v>103</v>
      </c>
      <c r="G929">
        <v>4.09</v>
      </c>
      <c r="H929">
        <v>3.79</v>
      </c>
      <c r="I929" s="2" t="str">
        <f>_xlfn.XLOOKUP(F929,DeparaIMG!B:B,DeparaIMG!D:D,,0)</f>
        <v>SPT269.png</v>
      </c>
    </row>
    <row r="930" spans="1:9" x14ac:dyDescent="0.25">
      <c r="A930" s="2" t="s">
        <v>105</v>
      </c>
      <c r="B930" s="2" t="s">
        <v>63</v>
      </c>
      <c r="C930" t="s">
        <v>90</v>
      </c>
      <c r="D930" t="s">
        <v>26</v>
      </c>
      <c r="E930" s="2">
        <v>2</v>
      </c>
      <c r="F930" t="s">
        <v>75</v>
      </c>
      <c r="G930">
        <v>4.29</v>
      </c>
      <c r="H930">
        <v>3.69</v>
      </c>
      <c r="I930" s="2" t="str">
        <f>_xlfn.XLOOKUP(F930,DeparaIMG!B:B,DeparaIMG!D:D,,0)</f>
        <v>BUDZERO350.png</v>
      </c>
    </row>
    <row r="931" spans="1:9" x14ac:dyDescent="0.25">
      <c r="A931" s="2" t="s">
        <v>105</v>
      </c>
      <c r="B931" s="2" t="s">
        <v>63</v>
      </c>
      <c r="C931" t="s">
        <v>90</v>
      </c>
      <c r="D931" t="s">
        <v>25</v>
      </c>
      <c r="E931" s="2">
        <v>2</v>
      </c>
      <c r="F931" t="s">
        <v>75</v>
      </c>
      <c r="G931">
        <v>4.29</v>
      </c>
      <c r="H931">
        <v>3.69</v>
      </c>
      <c r="I931" s="2" t="str">
        <f>_xlfn.XLOOKUP(F931,DeparaIMG!B:B,DeparaIMG!D:D,,0)</f>
        <v>BUDZERO350.png</v>
      </c>
    </row>
    <row r="932" spans="1:9" x14ac:dyDescent="0.25">
      <c r="A932" s="2" t="s">
        <v>105</v>
      </c>
      <c r="B932" s="2" t="s">
        <v>63</v>
      </c>
      <c r="C932" t="s">
        <v>91</v>
      </c>
      <c r="D932" t="s">
        <v>25</v>
      </c>
      <c r="E932" s="2">
        <v>2</v>
      </c>
      <c r="F932" t="s">
        <v>75</v>
      </c>
      <c r="G932">
        <v>4.29</v>
      </c>
      <c r="H932">
        <v>3.69</v>
      </c>
      <c r="I932" s="2" t="str">
        <f>_xlfn.XLOOKUP(F932,DeparaIMG!B:B,DeparaIMG!D:D,,0)</f>
        <v>BUDZERO350.png</v>
      </c>
    </row>
    <row r="933" spans="1:9" x14ac:dyDescent="0.25">
      <c r="A933" s="2" t="s">
        <v>105</v>
      </c>
      <c r="B933" s="2" t="s">
        <v>63</v>
      </c>
      <c r="C933" t="s">
        <v>91</v>
      </c>
      <c r="D933" t="s">
        <v>26</v>
      </c>
      <c r="E933" s="2">
        <v>2</v>
      </c>
      <c r="F933" t="s">
        <v>75</v>
      </c>
      <c r="G933">
        <v>4.29</v>
      </c>
      <c r="H933">
        <v>3.69</v>
      </c>
      <c r="I933" s="2" t="str">
        <f>_xlfn.XLOOKUP(F933,DeparaIMG!B:B,DeparaIMG!D:D,,0)</f>
        <v>BUDZERO350.png</v>
      </c>
    </row>
    <row r="934" spans="1:9" x14ac:dyDescent="0.25">
      <c r="A934" s="2" t="s">
        <v>105</v>
      </c>
      <c r="B934" s="2" t="s">
        <v>63</v>
      </c>
      <c r="C934" t="s">
        <v>91</v>
      </c>
      <c r="D934" t="s">
        <v>26</v>
      </c>
      <c r="E934" s="2">
        <v>2</v>
      </c>
      <c r="F934" t="s">
        <v>78</v>
      </c>
      <c r="G934">
        <v>4.6900000000000004</v>
      </c>
      <c r="H934">
        <v>4.1900000000000004</v>
      </c>
      <c r="I934" s="2" t="str">
        <f>_xlfn.XLOOKUP(F934,DeparaIMG!B:B,DeparaIMG!D:D,,0)</f>
        <v>COR269.png</v>
      </c>
    </row>
    <row r="935" spans="1:9" x14ac:dyDescent="0.25">
      <c r="A935" s="2" t="s">
        <v>105</v>
      </c>
      <c r="B935" s="2" t="s">
        <v>63</v>
      </c>
      <c r="C935" t="s">
        <v>90</v>
      </c>
      <c r="D935" t="s">
        <v>26</v>
      </c>
      <c r="E935" s="2">
        <v>2</v>
      </c>
      <c r="F935" t="s">
        <v>78</v>
      </c>
      <c r="G935">
        <v>4.6900000000000004</v>
      </c>
      <c r="H935">
        <v>4.1900000000000004</v>
      </c>
      <c r="I935" s="2" t="str">
        <f>_xlfn.XLOOKUP(F935,DeparaIMG!B:B,DeparaIMG!D:D,,0)</f>
        <v>COR269.png</v>
      </c>
    </row>
    <row r="936" spans="1:9" x14ac:dyDescent="0.25">
      <c r="A936" s="2" t="s">
        <v>105</v>
      </c>
      <c r="B936" s="2" t="s">
        <v>63</v>
      </c>
      <c r="C936" t="s">
        <v>90</v>
      </c>
      <c r="D936" t="s">
        <v>25</v>
      </c>
      <c r="E936" s="2">
        <v>1</v>
      </c>
      <c r="F936" t="s">
        <v>79</v>
      </c>
      <c r="G936">
        <v>5.49</v>
      </c>
      <c r="H936">
        <v>4.99</v>
      </c>
      <c r="I936" s="2" t="str">
        <f>_xlfn.XLOOKUP(F936,DeparaIMG!B:B,DeparaIMG!D:D,,0)</f>
        <v>MIC350.png</v>
      </c>
    </row>
    <row r="937" spans="1:9" x14ac:dyDescent="0.25">
      <c r="A937" s="2" t="s">
        <v>105</v>
      </c>
      <c r="B937" s="2" t="s">
        <v>63</v>
      </c>
      <c r="C937" t="s">
        <v>91</v>
      </c>
      <c r="D937" t="s">
        <v>25</v>
      </c>
      <c r="E937" s="2">
        <v>1</v>
      </c>
      <c r="F937" t="s">
        <v>79</v>
      </c>
      <c r="G937">
        <v>5.49</v>
      </c>
      <c r="H937">
        <v>4.99</v>
      </c>
      <c r="I937" s="2" t="str">
        <f>_xlfn.XLOOKUP(F937,DeparaIMG!B:B,DeparaIMG!D:D,,0)</f>
        <v>MIC350.png</v>
      </c>
    </row>
    <row r="938" spans="1:9" x14ac:dyDescent="0.25">
      <c r="A938" s="2" t="s">
        <v>105</v>
      </c>
      <c r="B938" s="2" t="s">
        <v>63</v>
      </c>
      <c r="C938" t="s">
        <v>90</v>
      </c>
      <c r="D938" t="s">
        <v>26</v>
      </c>
      <c r="E938" s="2">
        <v>1</v>
      </c>
      <c r="F938" t="s">
        <v>79</v>
      </c>
      <c r="G938">
        <v>5.49</v>
      </c>
      <c r="H938">
        <v>4.99</v>
      </c>
      <c r="I938" s="2" t="str">
        <f>_xlfn.XLOOKUP(F938,DeparaIMG!B:B,DeparaIMG!D:D,,0)</f>
        <v>MIC350.png</v>
      </c>
    </row>
    <row r="939" spans="1:9" x14ac:dyDescent="0.25">
      <c r="A939" s="2" t="s">
        <v>105</v>
      </c>
      <c r="B939" s="2" t="s">
        <v>63</v>
      </c>
      <c r="C939" t="s">
        <v>91</v>
      </c>
      <c r="D939" t="s">
        <v>26</v>
      </c>
      <c r="E939" s="2">
        <v>1</v>
      </c>
      <c r="F939" t="s">
        <v>79</v>
      </c>
      <c r="G939">
        <v>5.49</v>
      </c>
      <c r="H939">
        <v>4.99</v>
      </c>
      <c r="I939" s="2" t="str">
        <f>_xlfn.XLOOKUP(F939,DeparaIMG!B:B,DeparaIMG!D:D,,0)</f>
        <v>MIC350.png</v>
      </c>
    </row>
    <row r="940" spans="1:9" x14ac:dyDescent="0.25">
      <c r="A940" s="2" t="s">
        <v>105</v>
      </c>
      <c r="B940" s="2" t="s">
        <v>63</v>
      </c>
      <c r="C940" t="s">
        <v>91</v>
      </c>
      <c r="D940" t="s">
        <v>26</v>
      </c>
      <c r="E940" s="2">
        <v>2</v>
      </c>
      <c r="F940" t="s">
        <v>81</v>
      </c>
      <c r="G940">
        <v>6.29</v>
      </c>
      <c r="H940">
        <v>5.59</v>
      </c>
      <c r="I940" s="2" t="str">
        <f>_xlfn.XLOOKUP(F940,DeparaIMG!B:B,DeparaIMG!D:D,,0)</f>
        <v>CORCERO350.png</v>
      </c>
    </row>
    <row r="941" spans="1:9" x14ac:dyDescent="0.25">
      <c r="A941" s="2" t="s">
        <v>105</v>
      </c>
      <c r="B941" s="2" t="s">
        <v>63</v>
      </c>
      <c r="C941" t="s">
        <v>90</v>
      </c>
      <c r="D941" t="s">
        <v>26</v>
      </c>
      <c r="E941" s="2">
        <v>2</v>
      </c>
      <c r="F941" t="s">
        <v>81</v>
      </c>
      <c r="G941">
        <v>6.29</v>
      </c>
      <c r="H941">
        <v>5.59</v>
      </c>
      <c r="I941" s="2" t="str">
        <f>_xlfn.XLOOKUP(F941,DeparaIMG!B:B,DeparaIMG!D:D,,0)</f>
        <v>CORCERO350.png</v>
      </c>
    </row>
    <row r="942" spans="1:9" x14ac:dyDescent="0.25">
      <c r="A942" s="2" t="s">
        <v>105</v>
      </c>
      <c r="B942" s="2" t="s">
        <v>63</v>
      </c>
      <c r="C942" t="s">
        <v>90</v>
      </c>
      <c r="D942" t="s">
        <v>26</v>
      </c>
      <c r="E942" s="2">
        <v>2</v>
      </c>
      <c r="F942" t="s">
        <v>82</v>
      </c>
      <c r="G942">
        <v>6.29</v>
      </c>
      <c r="H942">
        <v>5.29</v>
      </c>
      <c r="I942" s="2" t="str">
        <f>_xlfn.XLOOKUP(F942,DeparaIMG!B:B,DeparaIMG!D:D,,0)</f>
        <v>BUDZEROLN.png</v>
      </c>
    </row>
    <row r="943" spans="1:9" x14ac:dyDescent="0.25">
      <c r="A943" s="2" t="s">
        <v>105</v>
      </c>
      <c r="B943" s="2" t="s">
        <v>63</v>
      </c>
      <c r="C943" t="s">
        <v>91</v>
      </c>
      <c r="D943" t="s">
        <v>26</v>
      </c>
      <c r="E943" s="2">
        <v>2</v>
      </c>
      <c r="F943" t="s">
        <v>82</v>
      </c>
      <c r="G943">
        <v>6.29</v>
      </c>
      <c r="H943">
        <v>5.29</v>
      </c>
      <c r="I943" s="2" t="str">
        <f>_xlfn.XLOOKUP(F943,DeparaIMG!B:B,DeparaIMG!D:D,,0)</f>
        <v>BUDZEROLN.png</v>
      </c>
    </row>
    <row r="944" spans="1:9" x14ac:dyDescent="0.25">
      <c r="A944" s="2" t="s">
        <v>105</v>
      </c>
      <c r="B944" s="2" t="s">
        <v>63</v>
      </c>
      <c r="C944" t="s">
        <v>91</v>
      </c>
      <c r="D944" t="s">
        <v>26</v>
      </c>
      <c r="E944" s="2">
        <v>2</v>
      </c>
      <c r="F944" t="s">
        <v>84</v>
      </c>
      <c r="G944">
        <v>6.69</v>
      </c>
      <c r="H944">
        <v>5.99</v>
      </c>
      <c r="I944" s="2" t="str">
        <f>_xlfn.XLOOKUP(F944,DeparaIMG!B:B,DeparaIMG!D:D,,0)</f>
        <v>MICLN.png</v>
      </c>
    </row>
    <row r="945" spans="1:9" x14ac:dyDescent="0.25">
      <c r="A945" s="2" t="s">
        <v>105</v>
      </c>
      <c r="B945" s="2" t="s">
        <v>63</v>
      </c>
      <c r="C945" t="s">
        <v>90</v>
      </c>
      <c r="D945" t="s">
        <v>26</v>
      </c>
      <c r="E945" s="2">
        <v>2</v>
      </c>
      <c r="F945" t="s">
        <v>84</v>
      </c>
      <c r="G945">
        <v>6.69</v>
      </c>
      <c r="H945">
        <v>5.99</v>
      </c>
      <c r="I945" s="2" t="str">
        <f>_xlfn.XLOOKUP(F945,DeparaIMG!B:B,DeparaIMG!D:D,,0)</f>
        <v>MICLN.png</v>
      </c>
    </row>
    <row r="946" spans="1:9" x14ac:dyDescent="0.25">
      <c r="A946" s="2" t="s">
        <v>105</v>
      </c>
      <c r="B946" s="2" t="s">
        <v>63</v>
      </c>
      <c r="C946" t="s">
        <v>90</v>
      </c>
      <c r="D946" t="s">
        <v>25</v>
      </c>
      <c r="E946" s="2">
        <v>2</v>
      </c>
      <c r="F946" t="s">
        <v>84</v>
      </c>
      <c r="G946">
        <v>6.69</v>
      </c>
      <c r="H946">
        <v>5.99</v>
      </c>
      <c r="I946" s="2" t="str">
        <f>_xlfn.XLOOKUP(F946,DeparaIMG!B:B,DeparaIMG!D:D,,0)</f>
        <v>MICLN.png</v>
      </c>
    </row>
    <row r="947" spans="1:9" x14ac:dyDescent="0.25">
      <c r="A947" s="2" t="s">
        <v>105</v>
      </c>
      <c r="B947" s="2" t="s">
        <v>63</v>
      </c>
      <c r="C947" t="s">
        <v>91</v>
      </c>
      <c r="D947" t="s">
        <v>25</v>
      </c>
      <c r="E947" s="2">
        <v>2</v>
      </c>
      <c r="F947" t="s">
        <v>84</v>
      </c>
      <c r="G947">
        <v>6.69</v>
      </c>
      <c r="H947">
        <v>5.99</v>
      </c>
      <c r="I947" s="2" t="str">
        <f>_xlfn.XLOOKUP(F947,DeparaIMG!B:B,DeparaIMG!D:D,,0)</f>
        <v>MICLN.png</v>
      </c>
    </row>
    <row r="948" spans="1:9" x14ac:dyDescent="0.25">
      <c r="A948" s="2" t="s">
        <v>105</v>
      </c>
      <c r="B948" s="2" t="s">
        <v>63</v>
      </c>
      <c r="C948" t="s">
        <v>90</v>
      </c>
      <c r="D948" t="s">
        <v>26</v>
      </c>
      <c r="E948" s="2">
        <v>1</v>
      </c>
      <c r="F948" t="s">
        <v>86</v>
      </c>
      <c r="G948">
        <v>7.99</v>
      </c>
      <c r="H948">
        <v>6.99</v>
      </c>
      <c r="I948" s="2" t="str">
        <f>_xlfn.XLOOKUP(F948,DeparaIMG!B:B,DeparaIMG!D:D,,0)</f>
        <v>CORLN.png</v>
      </c>
    </row>
    <row r="949" spans="1:9" x14ac:dyDescent="0.25">
      <c r="A949" s="2" t="s">
        <v>105</v>
      </c>
      <c r="B949" s="2" t="s">
        <v>63</v>
      </c>
      <c r="C949" t="s">
        <v>91</v>
      </c>
      <c r="D949" t="s">
        <v>26</v>
      </c>
      <c r="E949" s="2">
        <v>1</v>
      </c>
      <c r="F949" t="s">
        <v>86</v>
      </c>
      <c r="G949">
        <v>7.99</v>
      </c>
      <c r="H949">
        <v>6.99</v>
      </c>
      <c r="I949" s="2" t="str">
        <f>_xlfn.XLOOKUP(F949,DeparaIMG!B:B,DeparaIMG!D:D,,0)</f>
        <v>CORLN.png</v>
      </c>
    </row>
    <row r="950" spans="1:9" x14ac:dyDescent="0.25">
      <c r="A950" s="2" t="s">
        <v>105</v>
      </c>
      <c r="B950" s="2" t="s">
        <v>63</v>
      </c>
      <c r="C950" t="s">
        <v>90</v>
      </c>
      <c r="D950" t="s">
        <v>25</v>
      </c>
      <c r="E950" s="2">
        <v>1</v>
      </c>
      <c r="F950" t="s">
        <v>86</v>
      </c>
      <c r="G950">
        <v>7.99</v>
      </c>
      <c r="H950">
        <v>6.99</v>
      </c>
      <c r="I950" s="2" t="str">
        <f>_xlfn.XLOOKUP(F950,DeparaIMG!B:B,DeparaIMG!D:D,,0)</f>
        <v>CORLN.png</v>
      </c>
    </row>
    <row r="951" spans="1:9" x14ac:dyDescent="0.25">
      <c r="A951" s="2" t="s">
        <v>105</v>
      </c>
      <c r="B951" s="2" t="s">
        <v>63</v>
      </c>
      <c r="C951" t="s">
        <v>91</v>
      </c>
      <c r="D951" t="s">
        <v>25</v>
      </c>
      <c r="E951" s="2">
        <v>1</v>
      </c>
      <c r="F951" t="s">
        <v>86</v>
      </c>
      <c r="G951">
        <v>7.99</v>
      </c>
      <c r="H951">
        <v>6.99</v>
      </c>
      <c r="I951" s="2" t="str">
        <f>_xlfn.XLOOKUP(F951,DeparaIMG!B:B,DeparaIMG!D:D,,0)</f>
        <v>CORLN.png</v>
      </c>
    </row>
    <row r="952" spans="1:9" x14ac:dyDescent="0.25">
      <c r="A952" s="2" t="s">
        <v>105</v>
      </c>
      <c r="B952" s="2" t="s">
        <v>63</v>
      </c>
      <c r="C952" t="s">
        <v>91</v>
      </c>
      <c r="D952" t="s">
        <v>25</v>
      </c>
      <c r="E952" s="2">
        <v>2</v>
      </c>
      <c r="F952" t="s">
        <v>68</v>
      </c>
      <c r="G952">
        <v>3.29</v>
      </c>
      <c r="H952">
        <v>2.99</v>
      </c>
      <c r="I952" s="2" t="str">
        <f>_xlfn.XLOOKUP(F952,DeparaIMG!B:B,DeparaIMG!D:D,,0)</f>
        <v>AP269.png</v>
      </c>
    </row>
    <row r="953" spans="1:9" x14ac:dyDescent="0.25">
      <c r="A953" s="2" t="s">
        <v>105</v>
      </c>
      <c r="B953" s="2" t="s">
        <v>63</v>
      </c>
      <c r="C953" t="s">
        <v>90</v>
      </c>
      <c r="D953" t="s">
        <v>25</v>
      </c>
      <c r="E953" s="2">
        <v>2</v>
      </c>
      <c r="F953" t="s">
        <v>69</v>
      </c>
      <c r="G953">
        <v>3.09</v>
      </c>
      <c r="H953">
        <v>2.79</v>
      </c>
      <c r="I953" s="2" t="str">
        <f>_xlfn.XLOOKUP(F953,DeparaIMG!B:B,DeparaIMG!D:D,,0)</f>
        <v>BC269.png</v>
      </c>
    </row>
    <row r="954" spans="1:9" x14ac:dyDescent="0.25">
      <c r="A954" s="2" t="s">
        <v>105</v>
      </c>
      <c r="B954" s="2" t="s">
        <v>63</v>
      </c>
      <c r="C954" t="s">
        <v>90</v>
      </c>
      <c r="D954" t="s">
        <v>26</v>
      </c>
      <c r="E954" s="2">
        <v>2</v>
      </c>
      <c r="F954" t="s">
        <v>69</v>
      </c>
      <c r="G954">
        <v>3.09</v>
      </c>
      <c r="H954">
        <v>2.79</v>
      </c>
      <c r="I954" s="2" t="str">
        <f>_xlfn.XLOOKUP(F954,DeparaIMG!B:B,DeparaIMG!D:D,,0)</f>
        <v>BC269.png</v>
      </c>
    </row>
    <row r="955" spans="1:9" x14ac:dyDescent="0.25">
      <c r="A955" s="2" t="s">
        <v>105</v>
      </c>
      <c r="B955" s="2" t="s">
        <v>63</v>
      </c>
      <c r="C955" t="s">
        <v>91</v>
      </c>
      <c r="D955" t="s">
        <v>26</v>
      </c>
      <c r="E955" s="2">
        <v>2</v>
      </c>
      <c r="F955" t="s">
        <v>68</v>
      </c>
      <c r="G955">
        <v>3.29</v>
      </c>
      <c r="H955">
        <v>2.99</v>
      </c>
      <c r="I955" s="2" t="str">
        <f>_xlfn.XLOOKUP(F955,DeparaIMG!B:B,DeparaIMG!D:D,,0)</f>
        <v>AP269.png</v>
      </c>
    </row>
    <row r="956" spans="1:9" x14ac:dyDescent="0.25">
      <c r="A956" s="2" t="s">
        <v>105</v>
      </c>
      <c r="B956" s="2" t="s">
        <v>63</v>
      </c>
      <c r="C956" t="s">
        <v>90</v>
      </c>
      <c r="D956" t="s">
        <v>26</v>
      </c>
      <c r="E956" s="2">
        <v>1</v>
      </c>
      <c r="F956" t="s">
        <v>67</v>
      </c>
      <c r="G956">
        <v>3.29</v>
      </c>
      <c r="H956">
        <v>2.99</v>
      </c>
      <c r="I956" s="2" t="str">
        <f>_xlfn.XLOOKUP(F956,DeparaIMG!B:B,DeparaIMG!D:D,,0)</f>
        <v>SK269.png</v>
      </c>
    </row>
    <row r="957" spans="1:9" x14ac:dyDescent="0.25">
      <c r="A957" s="2" t="s">
        <v>105</v>
      </c>
      <c r="B957" s="2" t="s">
        <v>63</v>
      </c>
      <c r="C957" t="s">
        <v>91</v>
      </c>
      <c r="D957" t="s">
        <v>26</v>
      </c>
      <c r="E957" s="2">
        <v>1</v>
      </c>
      <c r="F957" t="s">
        <v>67</v>
      </c>
      <c r="G957">
        <v>3.29</v>
      </c>
      <c r="H957">
        <v>2.99</v>
      </c>
      <c r="I957" s="2" t="str">
        <f>_xlfn.XLOOKUP(F957,DeparaIMG!B:B,DeparaIMG!D:D,,0)</f>
        <v>SK269.png</v>
      </c>
    </row>
    <row r="958" spans="1:9" x14ac:dyDescent="0.25">
      <c r="A958" s="2" t="s">
        <v>105</v>
      </c>
      <c r="B958" s="2" t="s">
        <v>63</v>
      </c>
      <c r="C958" t="s">
        <v>28</v>
      </c>
      <c r="D958" t="s">
        <v>25</v>
      </c>
      <c r="E958" s="2">
        <v>1</v>
      </c>
      <c r="F958" t="s">
        <v>87</v>
      </c>
      <c r="G958">
        <v>7.99</v>
      </c>
      <c r="H958">
        <v>6.99</v>
      </c>
      <c r="I958" s="2" t="str">
        <f>_xlfn.XLOOKUP(F958,DeparaIMG!B:B,DeparaIMG!D:D,,0)</f>
        <v>CORCEROLN.png</v>
      </c>
    </row>
    <row r="959" spans="1:9" x14ac:dyDescent="0.25">
      <c r="A959" s="2" t="s">
        <v>105</v>
      </c>
      <c r="B959" s="2" t="s">
        <v>63</v>
      </c>
      <c r="C959" t="s">
        <v>28</v>
      </c>
      <c r="D959" t="s">
        <v>26</v>
      </c>
      <c r="E959" s="2">
        <v>1</v>
      </c>
      <c r="F959" t="s">
        <v>87</v>
      </c>
      <c r="G959">
        <v>7.99</v>
      </c>
      <c r="H959">
        <v>6.99</v>
      </c>
      <c r="I959" s="2" t="str">
        <f>_xlfn.XLOOKUP(F959,DeparaIMG!B:B,DeparaIMG!D:D,,0)</f>
        <v>CORCEROLN.png</v>
      </c>
    </row>
    <row r="960" spans="1:9" x14ac:dyDescent="0.25">
      <c r="A960" s="2" t="s">
        <v>105</v>
      </c>
      <c r="B960" s="2" t="s">
        <v>63</v>
      </c>
      <c r="C960" t="s">
        <v>29</v>
      </c>
      <c r="D960" t="s">
        <v>25</v>
      </c>
      <c r="E960" s="2">
        <v>1</v>
      </c>
      <c r="F960" t="s">
        <v>87</v>
      </c>
      <c r="G960">
        <v>7.99</v>
      </c>
      <c r="H960">
        <v>6.99</v>
      </c>
      <c r="I960" s="2" t="str">
        <f>_xlfn.XLOOKUP(F960,DeparaIMG!B:B,DeparaIMG!D:D,,0)</f>
        <v>CORCEROLN.png</v>
      </c>
    </row>
    <row r="961" spans="1:9" x14ac:dyDescent="0.25">
      <c r="A961" s="2" t="s">
        <v>105</v>
      </c>
      <c r="B961" s="2" t="s">
        <v>63</v>
      </c>
      <c r="C961" t="s">
        <v>29</v>
      </c>
      <c r="D961" t="s">
        <v>26</v>
      </c>
      <c r="E961" s="2">
        <v>1</v>
      </c>
      <c r="F961" t="s">
        <v>87</v>
      </c>
      <c r="G961">
        <v>7.99</v>
      </c>
      <c r="H961">
        <v>6.99</v>
      </c>
      <c r="I961" s="2" t="str">
        <f>_xlfn.XLOOKUP(F961,DeparaIMG!B:B,DeparaIMG!D:D,,0)</f>
        <v>CORCEROLN.png</v>
      </c>
    </row>
    <row r="962" spans="1:9" x14ac:dyDescent="0.25">
      <c r="A962" s="2" t="s">
        <v>105</v>
      </c>
      <c r="B962" s="2" t="s">
        <v>63</v>
      </c>
      <c r="C962" t="s">
        <v>88</v>
      </c>
      <c r="D962" t="s">
        <v>25</v>
      </c>
      <c r="E962" s="2">
        <v>1</v>
      </c>
      <c r="F962" t="s">
        <v>87</v>
      </c>
      <c r="G962">
        <v>7.99</v>
      </c>
      <c r="H962">
        <v>6.99</v>
      </c>
      <c r="I962" s="2" t="str">
        <f>_xlfn.XLOOKUP(F962,DeparaIMG!B:B,DeparaIMG!D:D,,0)</f>
        <v>CORCEROLN.png</v>
      </c>
    </row>
    <row r="963" spans="1:9" x14ac:dyDescent="0.25">
      <c r="A963" s="2" t="s">
        <v>105</v>
      </c>
      <c r="B963" s="2" t="s">
        <v>63</v>
      </c>
      <c r="C963" t="s">
        <v>88</v>
      </c>
      <c r="D963" t="s">
        <v>26</v>
      </c>
      <c r="E963" s="2">
        <v>1</v>
      </c>
      <c r="F963" t="s">
        <v>87</v>
      </c>
      <c r="G963">
        <v>7.99</v>
      </c>
      <c r="H963">
        <v>6.99</v>
      </c>
      <c r="I963" s="2" t="str">
        <f>_xlfn.XLOOKUP(F963,DeparaIMG!B:B,DeparaIMG!D:D,,0)</f>
        <v>CORCEROLN.png</v>
      </c>
    </row>
    <row r="964" spans="1:9" x14ac:dyDescent="0.25">
      <c r="A964" s="2" t="s">
        <v>105</v>
      </c>
      <c r="B964" s="2" t="s">
        <v>63</v>
      </c>
      <c r="C964" t="s">
        <v>89</v>
      </c>
      <c r="D964" t="s">
        <v>25</v>
      </c>
      <c r="E964" s="2">
        <v>1</v>
      </c>
      <c r="F964" t="s">
        <v>87</v>
      </c>
      <c r="G964">
        <v>7.99</v>
      </c>
      <c r="H964">
        <v>6.99</v>
      </c>
      <c r="I964" s="2" t="str">
        <f>_xlfn.XLOOKUP(F964,DeparaIMG!B:B,DeparaIMG!D:D,,0)</f>
        <v>CORCEROLN.png</v>
      </c>
    </row>
    <row r="965" spans="1:9" x14ac:dyDescent="0.25">
      <c r="A965" s="2" t="s">
        <v>105</v>
      </c>
      <c r="B965" s="2" t="s">
        <v>63</v>
      </c>
      <c r="C965" t="s">
        <v>89</v>
      </c>
      <c r="D965" t="s">
        <v>26</v>
      </c>
      <c r="E965" s="2">
        <v>1</v>
      </c>
      <c r="F965" t="s">
        <v>87</v>
      </c>
      <c r="G965">
        <v>7.99</v>
      </c>
      <c r="H965">
        <v>6.99</v>
      </c>
      <c r="I965" s="2" t="str">
        <f>_xlfn.XLOOKUP(F965,DeparaIMG!B:B,DeparaIMG!D:D,,0)</f>
        <v>CORCEROLN.png</v>
      </c>
    </row>
    <row r="966" spans="1:9" x14ac:dyDescent="0.25">
      <c r="A966" s="2" t="s">
        <v>105</v>
      </c>
      <c r="B966" s="2" t="s">
        <v>63</v>
      </c>
      <c r="C966" t="s">
        <v>4</v>
      </c>
      <c r="D966" t="s">
        <v>25</v>
      </c>
      <c r="E966" s="2">
        <v>1</v>
      </c>
      <c r="F966" t="s">
        <v>87</v>
      </c>
      <c r="G966">
        <v>7.99</v>
      </c>
      <c r="H966">
        <v>6.99</v>
      </c>
      <c r="I966" s="2" t="str">
        <f>_xlfn.XLOOKUP(F966,DeparaIMG!B:B,DeparaIMG!D:D,,0)</f>
        <v>CORCEROLN.png</v>
      </c>
    </row>
    <row r="967" spans="1:9" x14ac:dyDescent="0.25">
      <c r="A967" s="2" t="s">
        <v>105</v>
      </c>
      <c r="B967" s="2" t="s">
        <v>63</v>
      </c>
      <c r="C967" t="s">
        <v>4</v>
      </c>
      <c r="D967" t="s">
        <v>26</v>
      </c>
      <c r="E967" s="2">
        <v>1</v>
      </c>
      <c r="F967" t="s">
        <v>87</v>
      </c>
      <c r="G967">
        <v>7.99</v>
      </c>
      <c r="H967">
        <v>6.99</v>
      </c>
      <c r="I967" s="2" t="str">
        <f>_xlfn.XLOOKUP(F967,DeparaIMG!B:B,DeparaIMG!D:D,,0)</f>
        <v>CORCEROLN.png</v>
      </c>
    </row>
    <row r="968" spans="1:9" x14ac:dyDescent="0.25">
      <c r="A968" s="2" t="s">
        <v>105</v>
      </c>
      <c r="B968" s="2" t="s">
        <v>63</v>
      </c>
      <c r="C968" t="s">
        <v>90</v>
      </c>
      <c r="D968" t="s">
        <v>26</v>
      </c>
      <c r="E968" s="2">
        <v>1</v>
      </c>
      <c r="F968" t="s">
        <v>87</v>
      </c>
      <c r="G968">
        <v>7.99</v>
      </c>
      <c r="H968">
        <v>6.99</v>
      </c>
      <c r="I968" s="2" t="str">
        <f>_xlfn.XLOOKUP(F968,DeparaIMG!B:B,DeparaIMG!D:D,,0)</f>
        <v>CORCEROLN.png</v>
      </c>
    </row>
    <row r="969" spans="1:9" x14ac:dyDescent="0.25">
      <c r="A969" s="2" t="s">
        <v>105</v>
      </c>
      <c r="B969" s="2" t="s">
        <v>63</v>
      </c>
      <c r="C969" t="s">
        <v>91</v>
      </c>
      <c r="D969" t="s">
        <v>26</v>
      </c>
      <c r="E969" s="2">
        <v>1</v>
      </c>
      <c r="F969" t="s">
        <v>87</v>
      </c>
      <c r="G969">
        <v>7.99</v>
      </c>
      <c r="H969">
        <v>6.99</v>
      </c>
      <c r="I969" s="2" t="str">
        <f>_xlfn.XLOOKUP(F969,DeparaIMG!B:B,DeparaIMG!D:D,,0)</f>
        <v>CORCEROLN.png</v>
      </c>
    </row>
    <row r="970" spans="1:9" x14ac:dyDescent="0.25">
      <c r="A970" s="2" t="s">
        <v>105</v>
      </c>
      <c r="B970" s="2" t="s">
        <v>63</v>
      </c>
      <c r="C970" t="s">
        <v>90</v>
      </c>
      <c r="D970" t="s">
        <v>25</v>
      </c>
      <c r="E970" s="2">
        <v>1</v>
      </c>
      <c r="F970" t="s">
        <v>87</v>
      </c>
      <c r="G970">
        <v>7.99</v>
      </c>
      <c r="H970">
        <v>6.99</v>
      </c>
      <c r="I970" s="2" t="str">
        <f>_xlfn.XLOOKUP(F970,DeparaIMG!B:B,DeparaIMG!D:D,,0)</f>
        <v>CORCEROLN.png</v>
      </c>
    </row>
    <row r="971" spans="1:9" x14ac:dyDescent="0.25">
      <c r="A971" s="2" t="s">
        <v>105</v>
      </c>
      <c r="B971" s="2" t="s">
        <v>63</v>
      </c>
      <c r="C971" t="s">
        <v>91</v>
      </c>
      <c r="D971" t="s">
        <v>25</v>
      </c>
      <c r="E971" s="2">
        <v>1</v>
      </c>
      <c r="F971" t="s">
        <v>87</v>
      </c>
      <c r="G971">
        <v>7.99</v>
      </c>
      <c r="H971">
        <v>6.99</v>
      </c>
      <c r="I971" s="2" t="str">
        <f>_xlfn.XLOOKUP(F971,DeparaIMG!B:B,DeparaIMG!D:D,,0)</f>
        <v>CORCEROLN.png</v>
      </c>
    </row>
    <row r="972" spans="1:9" x14ac:dyDescent="0.25">
      <c r="A972" s="2" t="s">
        <v>101</v>
      </c>
      <c r="B972" s="2" t="s">
        <v>107</v>
      </c>
      <c r="C972" t="s">
        <v>108</v>
      </c>
      <c r="D972" t="s">
        <v>25</v>
      </c>
      <c r="E972" s="2">
        <v>1</v>
      </c>
      <c r="F972" s="2" t="s">
        <v>109</v>
      </c>
      <c r="G972">
        <v>6.49</v>
      </c>
      <c r="H972">
        <v>5.99</v>
      </c>
      <c r="I972" s="2" t="str">
        <f>_xlfn.XLOOKUP(F972,DeparaIMG!B:B,DeparaIMG!D:D,,0)</f>
        <v>BEATSLT.png</v>
      </c>
    </row>
    <row r="973" spans="1:9" x14ac:dyDescent="0.25">
      <c r="A973" s="2" t="s">
        <v>101</v>
      </c>
      <c r="B973" s="2" t="s">
        <v>107</v>
      </c>
      <c r="C973" t="s">
        <v>108</v>
      </c>
      <c r="D973" t="s">
        <v>26</v>
      </c>
      <c r="E973" s="2">
        <v>1</v>
      </c>
      <c r="F973" s="2" t="s">
        <v>109</v>
      </c>
      <c r="G973">
        <v>6.99</v>
      </c>
      <c r="H973">
        <v>6.49</v>
      </c>
      <c r="I973" s="2" t="str">
        <f>_xlfn.XLOOKUP(F973,DeparaIMG!B:B,DeparaIMG!D:D,,0)</f>
        <v>BEATSLT.png</v>
      </c>
    </row>
    <row r="974" spans="1:9" x14ac:dyDescent="0.25">
      <c r="A974" s="2" t="s">
        <v>101</v>
      </c>
      <c r="B974" s="2" t="s">
        <v>107</v>
      </c>
      <c r="C974" t="s">
        <v>108</v>
      </c>
      <c r="D974" t="s">
        <v>25</v>
      </c>
      <c r="E974" s="2">
        <v>1</v>
      </c>
      <c r="F974" s="2" t="s">
        <v>110</v>
      </c>
      <c r="G974">
        <v>7.89</v>
      </c>
      <c r="H974">
        <v>7.39</v>
      </c>
      <c r="I974" s="2" t="str">
        <f>_xlfn.XLOOKUP(F974,DeparaIMG!B:B,DeparaIMG!D:D,,0)</f>
        <v>BEATSLN.png</v>
      </c>
    </row>
    <row r="975" spans="1:9" x14ac:dyDescent="0.25">
      <c r="A975" s="2" t="s">
        <v>101</v>
      </c>
      <c r="B975" s="2" t="s">
        <v>107</v>
      </c>
      <c r="C975" t="s">
        <v>108</v>
      </c>
      <c r="D975" t="s">
        <v>26</v>
      </c>
      <c r="E975" s="2">
        <v>1</v>
      </c>
      <c r="F975" s="2" t="s">
        <v>110</v>
      </c>
      <c r="G975">
        <v>8.39</v>
      </c>
      <c r="H975">
        <v>7.8900000000000006</v>
      </c>
      <c r="I975" s="2" t="str">
        <f>_xlfn.XLOOKUP(F975,DeparaIMG!B:B,DeparaIMG!D:D,,0)</f>
        <v>BEATSLN.png</v>
      </c>
    </row>
    <row r="976" spans="1:9" x14ac:dyDescent="0.25">
      <c r="A976" s="2" t="s">
        <v>101</v>
      </c>
      <c r="B976" s="2" t="s">
        <v>107</v>
      </c>
      <c r="C976" t="s">
        <v>108</v>
      </c>
      <c r="D976" t="s">
        <v>25</v>
      </c>
      <c r="E976" s="2">
        <v>2</v>
      </c>
      <c r="F976" s="2" t="s">
        <v>109</v>
      </c>
      <c r="G976">
        <v>6.49</v>
      </c>
      <c r="H976">
        <v>5.99</v>
      </c>
      <c r="I976" s="2" t="str">
        <f>_xlfn.XLOOKUP(F976,DeparaIMG!B:B,DeparaIMG!D:D,,0)</f>
        <v>BEATSLT.png</v>
      </c>
    </row>
    <row r="977" spans="1:9" x14ac:dyDescent="0.25">
      <c r="A977" s="2" t="s">
        <v>101</v>
      </c>
      <c r="B977" s="2" t="s">
        <v>107</v>
      </c>
      <c r="C977" t="s">
        <v>108</v>
      </c>
      <c r="D977" t="s">
        <v>26</v>
      </c>
      <c r="E977" s="2">
        <v>2</v>
      </c>
      <c r="F977" s="2" t="s">
        <v>109</v>
      </c>
      <c r="G977">
        <v>6.99</v>
      </c>
      <c r="H977">
        <v>6.49</v>
      </c>
      <c r="I977" s="2" t="str">
        <f>_xlfn.XLOOKUP(F977,DeparaIMG!B:B,DeparaIMG!D:D,,0)</f>
        <v>BEATSLT.png</v>
      </c>
    </row>
    <row r="978" spans="1:9" x14ac:dyDescent="0.25">
      <c r="A978" s="2" t="s">
        <v>101</v>
      </c>
      <c r="B978" s="2" t="s">
        <v>107</v>
      </c>
      <c r="C978" t="s">
        <v>108</v>
      </c>
      <c r="D978" t="s">
        <v>25</v>
      </c>
      <c r="E978" s="2">
        <v>2</v>
      </c>
      <c r="F978" s="2" t="s">
        <v>110</v>
      </c>
      <c r="G978">
        <v>7.89</v>
      </c>
      <c r="H978">
        <v>7.39</v>
      </c>
      <c r="I978" s="2" t="str">
        <f>_xlfn.XLOOKUP(F978,DeparaIMG!B:B,DeparaIMG!D:D,,0)</f>
        <v>BEATSLN.png</v>
      </c>
    </row>
    <row r="979" spans="1:9" x14ac:dyDescent="0.25">
      <c r="A979" s="2" t="s">
        <v>101</v>
      </c>
      <c r="B979" s="2" t="s">
        <v>107</v>
      </c>
      <c r="C979" t="s">
        <v>108</v>
      </c>
      <c r="D979" t="s">
        <v>26</v>
      </c>
      <c r="E979" s="2">
        <v>2</v>
      </c>
      <c r="F979" s="2" t="s">
        <v>110</v>
      </c>
      <c r="G979">
        <v>8.39</v>
      </c>
      <c r="H979">
        <v>7.8900000000000006</v>
      </c>
      <c r="I979" s="2" t="str">
        <f>_xlfn.XLOOKUP(F979,DeparaIMG!B:B,DeparaIMG!D:D,,0)</f>
        <v>BEATSLN.png</v>
      </c>
    </row>
    <row r="980" spans="1:9" x14ac:dyDescent="0.25">
      <c r="A980" s="2" t="s">
        <v>101</v>
      </c>
      <c r="B980" s="2" t="s">
        <v>107</v>
      </c>
      <c r="C980" t="s">
        <v>108</v>
      </c>
      <c r="D980" t="s">
        <v>25</v>
      </c>
      <c r="E980" s="2">
        <v>1</v>
      </c>
      <c r="F980" s="2" t="s">
        <v>111</v>
      </c>
      <c r="G980">
        <v>5.19</v>
      </c>
      <c r="H980">
        <v>4.8900000000000006</v>
      </c>
      <c r="I980" s="2" t="str">
        <f>_xlfn.XLOOKUP(F980,DeparaIMG!B:B,DeparaIMG!D:D,,0)</f>
        <v>FF350.png</v>
      </c>
    </row>
    <row r="981" spans="1:9" x14ac:dyDescent="0.25">
      <c r="A981" s="2" t="s">
        <v>101</v>
      </c>
      <c r="B981" s="2" t="s">
        <v>107</v>
      </c>
      <c r="C981" t="s">
        <v>108</v>
      </c>
      <c r="D981" t="s">
        <v>25</v>
      </c>
      <c r="E981" s="2">
        <v>1</v>
      </c>
      <c r="F981" s="2" t="s">
        <v>112</v>
      </c>
      <c r="G981">
        <v>6.29</v>
      </c>
      <c r="H981">
        <v>5.99</v>
      </c>
      <c r="I981" s="2" t="str">
        <f>_xlfn.XLOOKUP(F981,DeparaIMG!B:B,DeparaIMG!D:D,,0)</f>
        <v>FFLN.png</v>
      </c>
    </row>
    <row r="982" spans="1:9" x14ac:dyDescent="0.25">
      <c r="A982" s="2" t="s">
        <v>101</v>
      </c>
      <c r="B982" s="2" t="s">
        <v>107</v>
      </c>
      <c r="C982" t="s">
        <v>108</v>
      </c>
      <c r="D982" t="s">
        <v>26</v>
      </c>
      <c r="E982" s="2">
        <v>1</v>
      </c>
      <c r="F982" s="2" t="s">
        <v>111</v>
      </c>
      <c r="G982">
        <v>5.19</v>
      </c>
      <c r="H982">
        <v>4.8900000000000006</v>
      </c>
      <c r="I982" s="2" t="str">
        <f>_xlfn.XLOOKUP(F982,DeparaIMG!B:B,DeparaIMG!D:D,,0)</f>
        <v>FF350.png</v>
      </c>
    </row>
    <row r="983" spans="1:9" x14ac:dyDescent="0.25">
      <c r="A983" s="2" t="s">
        <v>101</v>
      </c>
      <c r="B983" s="2" t="s">
        <v>107</v>
      </c>
      <c r="C983" t="s">
        <v>108</v>
      </c>
      <c r="D983" t="s">
        <v>26</v>
      </c>
      <c r="E983" s="2">
        <v>1</v>
      </c>
      <c r="F983" s="2" t="s">
        <v>112</v>
      </c>
      <c r="G983">
        <v>6.29</v>
      </c>
      <c r="H983">
        <v>5.99</v>
      </c>
      <c r="I983" s="2" t="str">
        <f>_xlfn.XLOOKUP(F983,DeparaIMG!B:B,DeparaIMG!D:D,,0)</f>
        <v>FFLN.png</v>
      </c>
    </row>
    <row r="984" spans="1:9" x14ac:dyDescent="0.25">
      <c r="A984" s="2" t="s">
        <v>101</v>
      </c>
      <c r="B984" s="2" t="s">
        <v>107</v>
      </c>
      <c r="C984" t="s">
        <v>108</v>
      </c>
      <c r="D984" t="s">
        <v>25</v>
      </c>
      <c r="E984" s="2">
        <v>2</v>
      </c>
      <c r="F984" s="2" t="s">
        <v>111</v>
      </c>
      <c r="G984">
        <v>5.19</v>
      </c>
      <c r="H984">
        <v>4.8900000000000006</v>
      </c>
      <c r="I984" s="2" t="str">
        <f>_xlfn.XLOOKUP(F984,DeparaIMG!B:B,DeparaIMG!D:D,,0)</f>
        <v>FF350.png</v>
      </c>
    </row>
    <row r="985" spans="1:9" x14ac:dyDescent="0.25">
      <c r="A985" s="2" t="s">
        <v>101</v>
      </c>
      <c r="B985" s="2" t="s">
        <v>107</v>
      </c>
      <c r="C985" t="s">
        <v>108</v>
      </c>
      <c r="D985" t="s">
        <v>25</v>
      </c>
      <c r="E985" s="2">
        <v>2</v>
      </c>
      <c r="F985" s="2" t="s">
        <v>112</v>
      </c>
      <c r="G985">
        <v>6.29</v>
      </c>
      <c r="H985">
        <v>5.99</v>
      </c>
      <c r="I985" s="2" t="str">
        <f>_xlfn.XLOOKUP(F985,DeparaIMG!B:B,DeparaIMG!D:D,,0)</f>
        <v>FFLN.png</v>
      </c>
    </row>
    <row r="986" spans="1:9" x14ac:dyDescent="0.25">
      <c r="A986" s="2" t="s">
        <v>101</v>
      </c>
      <c r="B986" s="2" t="s">
        <v>107</v>
      </c>
      <c r="C986" t="s">
        <v>108</v>
      </c>
      <c r="D986" t="s">
        <v>26</v>
      </c>
      <c r="E986" s="2">
        <v>2</v>
      </c>
      <c r="F986" s="2" t="s">
        <v>111</v>
      </c>
      <c r="G986">
        <v>5.19</v>
      </c>
      <c r="H986">
        <v>4.8900000000000006</v>
      </c>
      <c r="I986" s="2" t="str">
        <f>_xlfn.XLOOKUP(F986,DeparaIMG!B:B,DeparaIMG!D:D,,0)</f>
        <v>FF350.png</v>
      </c>
    </row>
    <row r="987" spans="1:9" x14ac:dyDescent="0.25">
      <c r="A987" s="2" t="s">
        <v>101</v>
      </c>
      <c r="B987" s="2" t="s">
        <v>107</v>
      </c>
      <c r="C987" t="s">
        <v>108</v>
      </c>
      <c r="D987" t="s">
        <v>26</v>
      </c>
      <c r="E987" s="2">
        <v>2</v>
      </c>
      <c r="F987" s="2" t="s">
        <v>112</v>
      </c>
      <c r="G987">
        <v>6.29</v>
      </c>
      <c r="H987">
        <v>5.99</v>
      </c>
      <c r="I987" s="2" t="str">
        <f>_xlfn.XLOOKUP(F987,DeparaIMG!B:B,DeparaIMG!D:D,,0)</f>
        <v>FFLN.png</v>
      </c>
    </row>
  </sheetData>
  <autoFilter ref="A1:I971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3" sqref="B3"/>
    </sheetView>
  </sheetViews>
  <sheetFormatPr defaultRowHeight="15" x14ac:dyDescent="0.25"/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101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2026-09-17T13:02:30Z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