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99845131\Downloads\"/>
    </mc:Choice>
  </mc:AlternateContent>
  <xr:revisionPtr revIDLastSave="0" documentId="13_ncr:1_{B04A1AA5-56AE-4AF0-87BC-2387D1CCDDF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DeparaIMG!$A$1:$F$64</definedName>
    <definedName name="_xlnm._FilterDatabase" localSheetId="2" hidden="1">MECANICA!$A$1:$D$52</definedName>
    <definedName name="_xlnm._FilterDatabase" localSheetId="3" hidden="1">PRODUTOS!$A$1:$J$2012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58" i="3" l="1"/>
  <c r="I1957" i="3"/>
  <c r="I1956" i="3"/>
  <c r="I1955" i="3"/>
  <c r="I1954" i="3"/>
  <c r="I1948" i="3"/>
  <c r="I1947" i="3"/>
  <c r="I1946" i="3"/>
  <c r="I1945" i="3"/>
  <c r="I1944" i="3"/>
  <c r="I1917" i="3"/>
  <c r="I1916" i="3"/>
  <c r="I1915" i="3"/>
  <c r="I1914" i="3"/>
  <c r="I1913" i="3"/>
  <c r="E64" i="5"/>
  <c r="E63" i="5"/>
  <c r="E62" i="5"/>
  <c r="E61" i="5"/>
  <c r="F61" i="5" s="1"/>
  <c r="E60" i="5"/>
  <c r="F60" i="5" s="1"/>
  <c r="E59" i="5"/>
  <c r="F59" i="5" s="1"/>
  <c r="E58" i="5"/>
  <c r="F58" i="5" s="1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934" i="3" l="1"/>
  <c r="I1938" i="3"/>
  <c r="I2007" i="3"/>
  <c r="I2005" i="3"/>
  <c r="I1937" i="3"/>
  <c r="I1936" i="3"/>
  <c r="I1904" i="3"/>
  <c r="I1905" i="3"/>
  <c r="I1994" i="3"/>
  <c r="I1906" i="3"/>
  <c r="I1990" i="3"/>
  <c r="I1935" i="3"/>
  <c r="I1903" i="3"/>
  <c r="I1907" i="3"/>
  <c r="I2011" i="3"/>
  <c r="I1886" i="3"/>
  <c r="I2002" i="3"/>
  <c r="I1885" i="3"/>
  <c r="I1884" i="3"/>
  <c r="I1883" i="3"/>
  <c r="I1986" i="3"/>
  <c r="I1978" i="3"/>
  <c r="I1977" i="3"/>
  <c r="I1976" i="3"/>
  <c r="I1975" i="3"/>
  <c r="I1974" i="3"/>
  <c r="I1998" i="3"/>
  <c r="I1887" i="3"/>
  <c r="I2009" i="3"/>
  <c r="I2000" i="3"/>
  <c r="I1966" i="3"/>
  <c r="I1965" i="3"/>
  <c r="I1967" i="3"/>
  <c r="I1968" i="3"/>
  <c r="I1877" i="3"/>
  <c r="I1876" i="3"/>
  <c r="I1875" i="3"/>
  <c r="I1874" i="3"/>
  <c r="I1996" i="3"/>
  <c r="I1984" i="3"/>
  <c r="I1964" i="3"/>
  <c r="I1873" i="3"/>
  <c r="I1992" i="3"/>
  <c r="I1928" i="3"/>
  <c r="I1867" i="3"/>
  <c r="I1866" i="3"/>
  <c r="I1865" i="3"/>
  <c r="I1864" i="3"/>
  <c r="I1863" i="3"/>
  <c r="I1862" i="3"/>
  <c r="I1861" i="3"/>
  <c r="I1860" i="3"/>
  <c r="I1837" i="3"/>
  <c r="I1831" i="3"/>
  <c r="I1825" i="3"/>
  <c r="I1819" i="3"/>
  <c r="I1735" i="3"/>
  <c r="I1734" i="3"/>
  <c r="I1728" i="3"/>
  <c r="I1727" i="3"/>
  <c r="I1736" i="3"/>
  <c r="I1733" i="3"/>
  <c r="I1732" i="3"/>
  <c r="I1731" i="3"/>
  <c r="I1730" i="3"/>
  <c r="I1729" i="3"/>
  <c r="I1726" i="3"/>
  <c r="I1725" i="3"/>
  <c r="I1724" i="3"/>
  <c r="I1723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835" i="3" l="1"/>
  <c r="I1829" i="3"/>
  <c r="I1823" i="3"/>
  <c r="I1817" i="3"/>
  <c r="I1780" i="3"/>
  <c r="I1781" i="3"/>
  <c r="I1782" i="3"/>
  <c r="I1783" i="3"/>
  <c r="I1516" i="3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795" i="3" l="1"/>
  <c r="I1794" i="3"/>
  <c r="I1793" i="3"/>
  <c r="I1792" i="3"/>
  <c r="I1737" i="3"/>
  <c r="I1527" i="3"/>
  <c r="I1771" i="3"/>
  <c r="I1574" i="3"/>
  <c r="I1738" i="3"/>
  <c r="I1542" i="3"/>
  <c r="I1788" i="3"/>
  <c r="I1789" i="3"/>
  <c r="I1790" i="3"/>
  <c r="I1791" i="3"/>
  <c r="I1770" i="3"/>
  <c r="I1524" i="3"/>
  <c r="I1517" i="3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I1799" i="3" s="1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2012" i="3" l="1"/>
  <c r="I1897" i="3"/>
  <c r="I1896" i="3"/>
  <c r="I2003" i="3"/>
  <c r="I1895" i="3"/>
  <c r="I1894" i="3"/>
  <c r="I1893" i="3"/>
  <c r="I1988" i="3"/>
  <c r="I1982" i="3"/>
  <c r="I1981" i="3"/>
  <c r="I1980" i="3"/>
  <c r="I1979" i="3"/>
  <c r="I1950" i="3"/>
  <c r="I1949" i="3"/>
  <c r="I1953" i="3"/>
  <c r="I1952" i="3"/>
  <c r="I1951" i="3"/>
  <c r="I1941" i="3"/>
  <c r="I1940" i="3"/>
  <c r="I1939" i="3"/>
  <c r="I1943" i="3"/>
  <c r="I1942" i="3"/>
  <c r="I1927" i="3"/>
  <c r="I1925" i="3"/>
  <c r="I1924" i="3"/>
  <c r="I1923" i="3"/>
  <c r="I1926" i="3"/>
  <c r="I1912" i="3"/>
  <c r="I1911" i="3"/>
  <c r="I1910" i="3"/>
  <c r="I1909" i="3"/>
  <c r="I1908" i="3"/>
  <c r="I2006" i="3"/>
  <c r="I2004" i="3"/>
  <c r="I1993" i="3"/>
  <c r="I1989" i="3"/>
  <c r="I1932" i="3"/>
  <c r="I1933" i="3"/>
  <c r="I1931" i="3"/>
  <c r="I1930" i="3"/>
  <c r="I1929" i="3"/>
  <c r="I1902" i="3"/>
  <c r="I1901" i="3"/>
  <c r="I1900" i="3"/>
  <c r="I1899" i="3"/>
  <c r="I1898" i="3"/>
  <c r="I1890" i="3"/>
  <c r="I1891" i="3"/>
  <c r="I1892" i="3"/>
  <c r="I1920" i="3"/>
  <c r="I1922" i="3"/>
  <c r="I1919" i="3"/>
  <c r="I1921" i="3"/>
  <c r="I1889" i="3"/>
  <c r="I1888" i="3"/>
  <c r="I1918" i="3"/>
  <c r="I1991" i="3"/>
  <c r="I1987" i="3"/>
  <c r="I2010" i="3"/>
  <c r="I2001" i="3"/>
  <c r="I1997" i="3"/>
  <c r="I1985" i="3"/>
  <c r="I1969" i="3"/>
  <c r="I1970" i="3"/>
  <c r="I1971" i="3"/>
  <c r="I1878" i="3"/>
  <c r="I1972" i="3"/>
  <c r="I1880" i="3"/>
  <c r="I1879" i="3"/>
  <c r="I1973" i="3"/>
  <c r="I1882" i="3"/>
  <c r="I1881" i="3"/>
  <c r="I2008" i="3"/>
  <c r="I1999" i="3"/>
  <c r="I1870" i="3"/>
  <c r="I1871" i="3"/>
  <c r="I1872" i="3"/>
  <c r="I1960" i="3"/>
  <c r="I1962" i="3"/>
  <c r="I1963" i="3"/>
  <c r="I1961" i="3"/>
  <c r="I1869" i="3"/>
  <c r="I1995" i="3"/>
  <c r="I1868" i="3"/>
  <c r="I1959" i="3"/>
  <c r="I1983" i="3"/>
  <c r="I1852" i="3"/>
  <c r="I1853" i="3"/>
  <c r="I1854" i="3"/>
  <c r="I1855" i="3"/>
  <c r="I1856" i="3"/>
  <c r="I1857" i="3"/>
  <c r="I1858" i="3"/>
  <c r="I1859" i="3"/>
  <c r="I1847" i="3"/>
  <c r="I1846" i="3"/>
  <c r="I1845" i="3"/>
  <c r="I1844" i="3"/>
  <c r="I1851" i="3"/>
  <c r="I1850" i="3"/>
  <c r="I1849" i="3"/>
  <c r="I1848" i="3"/>
  <c r="I1843" i="3"/>
  <c r="I1842" i="3"/>
  <c r="I1841" i="3"/>
  <c r="I1840" i="3"/>
  <c r="I1800" i="3"/>
  <c r="I1801" i="3"/>
  <c r="I1802" i="3"/>
  <c r="I1803" i="3"/>
  <c r="I1807" i="3"/>
  <c r="I1806" i="3"/>
  <c r="I1805" i="3"/>
  <c r="I1804" i="3"/>
  <c r="I1810" i="3"/>
  <c r="I1811" i="3"/>
  <c r="I1809" i="3"/>
  <c r="I1808" i="3"/>
  <c r="I1815" i="3"/>
  <c r="I1814" i="3"/>
  <c r="I1813" i="3"/>
  <c r="I1812" i="3"/>
  <c r="I1796" i="3"/>
  <c r="I1797" i="3"/>
  <c r="I1798" i="3"/>
  <c r="I1828" i="3"/>
  <c r="I1822" i="3"/>
  <c r="I1834" i="3"/>
  <c r="I1816" i="3"/>
  <c r="I1818" i="3"/>
  <c r="I1824" i="3"/>
  <c r="I1830" i="3"/>
  <c r="I1836" i="3"/>
  <c r="I1821" i="3"/>
  <c r="I1833" i="3"/>
  <c r="I1827" i="3"/>
  <c r="I1839" i="3"/>
  <c r="I1820" i="3"/>
  <c r="I1838" i="3"/>
  <c r="I1826" i="3"/>
  <c r="I1832" i="3"/>
  <c r="I1721" i="3"/>
  <c r="I1720" i="3"/>
  <c r="I1705" i="3"/>
  <c r="I1704" i="3"/>
  <c r="I1703" i="3"/>
  <c r="I1702" i="3"/>
  <c r="I1701" i="3"/>
  <c r="I1700" i="3"/>
  <c r="I1714" i="3"/>
  <c r="I1715" i="3"/>
  <c r="I1716" i="3"/>
  <c r="I1717" i="3"/>
  <c r="I1718" i="3"/>
  <c r="I1719" i="3"/>
  <c r="I1696" i="3"/>
  <c r="I1695" i="3"/>
  <c r="I1712" i="3"/>
  <c r="I1711" i="3"/>
  <c r="I1710" i="3"/>
  <c r="I1709" i="3"/>
  <c r="I1708" i="3"/>
  <c r="I1707" i="3"/>
  <c r="I1706" i="3"/>
  <c r="I1694" i="3"/>
  <c r="I1699" i="3"/>
  <c r="I1698" i="3"/>
  <c r="I1697" i="3"/>
  <c r="I1713" i="3"/>
  <c r="I1688" i="3"/>
  <c r="I1690" i="3"/>
  <c r="I1683" i="3"/>
  <c r="I1682" i="3"/>
  <c r="I1691" i="3"/>
  <c r="I1692" i="3"/>
  <c r="I1693" i="3"/>
  <c r="I1681" i="3"/>
  <c r="I1684" i="3"/>
  <c r="I1722" i="3"/>
  <c r="I1769" i="3"/>
  <c r="I1689" i="3"/>
  <c r="I1685" i="3"/>
  <c r="I1686" i="3"/>
  <c r="I1687" i="3"/>
  <c r="I1765" i="3"/>
  <c r="I1766" i="3"/>
  <c r="I1767" i="3"/>
  <c r="I1768" i="3"/>
  <c r="I1671" i="3"/>
  <c r="I1672" i="3"/>
  <c r="I1673" i="3"/>
  <c r="I1675" i="3"/>
  <c r="I1676" i="3"/>
  <c r="I1677" i="3"/>
  <c r="I1678" i="3"/>
  <c r="I1679" i="3"/>
  <c r="I1674" i="3"/>
  <c r="I1680" i="3"/>
  <c r="I1669" i="3"/>
  <c r="I1665" i="3"/>
  <c r="I1666" i="3"/>
  <c r="I1664" i="3"/>
  <c r="I1663" i="3"/>
  <c r="I1667" i="3"/>
  <c r="I1670" i="3"/>
  <c r="I1668" i="3"/>
  <c r="I1762" i="3"/>
  <c r="I1651" i="3"/>
  <c r="I1776" i="3"/>
  <c r="I1777" i="3"/>
  <c r="I1778" i="3"/>
  <c r="I1779" i="3"/>
  <c r="I1652" i="3"/>
  <c r="I1655" i="3"/>
  <c r="I1656" i="3"/>
  <c r="I1657" i="3"/>
  <c r="I1658" i="3"/>
  <c r="I1659" i="3"/>
  <c r="I1764" i="3"/>
  <c r="I1763" i="3"/>
  <c r="I1761" i="3"/>
  <c r="I1660" i="3"/>
  <c r="I1661" i="3"/>
  <c r="I1662" i="3"/>
  <c r="I1650" i="3"/>
  <c r="I1653" i="3"/>
  <c r="I1654" i="3"/>
  <c r="I1645" i="3"/>
  <c r="I1637" i="3"/>
  <c r="I1784" i="3"/>
  <c r="I1785" i="3"/>
  <c r="I1786" i="3"/>
  <c r="I1787" i="3"/>
  <c r="I1638" i="3"/>
  <c r="I1639" i="3"/>
  <c r="I1643" i="3"/>
  <c r="I1644" i="3"/>
  <c r="I1646" i="3"/>
  <c r="I1648" i="3"/>
  <c r="I1647" i="3"/>
  <c r="I1636" i="3"/>
  <c r="I1635" i="3"/>
  <c r="I1634" i="3"/>
  <c r="I1633" i="3"/>
  <c r="I1632" i="3"/>
  <c r="I1649" i="3"/>
  <c r="I1630" i="3"/>
  <c r="I1642" i="3"/>
  <c r="I1641" i="3"/>
  <c r="I1640" i="3"/>
  <c r="I1631" i="3"/>
  <c r="I1759" i="3"/>
  <c r="I1760" i="3"/>
  <c r="I1628" i="3"/>
  <c r="I1629" i="3"/>
  <c r="I1618" i="3"/>
  <c r="I1615" i="3"/>
  <c r="I1613" i="3"/>
  <c r="I1610" i="3"/>
  <c r="I1612" i="3"/>
  <c r="I1611" i="3"/>
  <c r="I1758" i="3"/>
  <c r="I1609" i="3"/>
  <c r="I1755" i="3"/>
  <c r="I1756" i="3"/>
  <c r="I1757" i="3"/>
  <c r="I1604" i="3"/>
  <c r="I1605" i="3"/>
  <c r="I1614" i="3"/>
  <c r="I1622" i="3"/>
  <c r="I1627" i="3"/>
  <c r="I1626" i="3"/>
  <c r="I1625" i="3"/>
  <c r="I1623" i="3"/>
  <c r="I1619" i="3"/>
  <c r="I1621" i="3"/>
  <c r="I1620" i="3"/>
  <c r="I1617" i="3"/>
  <c r="I1624" i="3"/>
  <c r="I1616" i="3"/>
  <c r="I1590" i="3"/>
  <c r="I1591" i="3"/>
  <c r="I1748" i="3"/>
  <c r="I1750" i="3"/>
  <c r="I1749" i="3"/>
  <c r="I1747" i="3"/>
  <c r="I1589" i="3"/>
  <c r="I1588" i="3"/>
  <c r="I1587" i="3"/>
  <c r="I1586" i="3"/>
  <c r="I1585" i="3"/>
  <c r="I1584" i="3"/>
  <c r="I1583" i="3"/>
  <c r="I1582" i="3"/>
  <c r="I1581" i="3"/>
  <c r="I1580" i="3"/>
  <c r="I1606" i="3"/>
  <c r="I1608" i="3"/>
  <c r="I1607" i="3"/>
  <c r="I1745" i="3"/>
  <c r="I1746" i="3"/>
  <c r="I1754" i="3"/>
  <c r="I1753" i="3"/>
  <c r="I1579" i="3"/>
  <c r="I1578" i="3"/>
  <c r="I1577" i="3"/>
  <c r="I1576" i="3"/>
  <c r="I1575" i="3"/>
  <c r="I1592" i="3"/>
  <c r="I1744" i="3"/>
  <c r="I1752" i="3"/>
  <c r="I1751" i="3"/>
  <c r="I1743" i="3"/>
  <c r="I1563" i="3"/>
  <c r="I1603" i="3"/>
  <c r="I1602" i="3"/>
  <c r="I1601" i="3"/>
  <c r="I1600" i="3"/>
  <c r="I1599" i="3"/>
  <c r="I1598" i="3"/>
  <c r="I1597" i="3"/>
  <c r="I1596" i="3"/>
  <c r="I1595" i="3"/>
  <c r="I1594" i="3"/>
  <c r="I1593" i="3"/>
  <c r="I1573" i="3"/>
  <c r="I1572" i="3"/>
  <c r="I1571" i="3"/>
  <c r="I1570" i="3"/>
  <c r="I1569" i="3"/>
  <c r="I1568" i="3"/>
  <c r="I1567" i="3"/>
  <c r="I1566" i="3"/>
  <c r="I1565" i="3"/>
  <c r="I1564" i="3"/>
  <c r="I1562" i="3"/>
  <c r="I1560" i="3"/>
  <c r="I1555" i="3"/>
  <c r="I1554" i="3"/>
  <c r="I1559" i="3"/>
  <c r="I1558" i="3"/>
  <c r="I1552" i="3"/>
  <c r="I1551" i="3"/>
  <c r="I1557" i="3"/>
  <c r="I1553" i="3"/>
  <c r="I1556" i="3"/>
  <c r="I1561" i="3"/>
  <c r="I1534" i="3"/>
  <c r="I1535" i="3"/>
  <c r="I1536" i="3"/>
  <c r="I1537" i="3"/>
  <c r="I1539" i="3"/>
  <c r="I1538" i="3"/>
  <c r="I1545" i="3"/>
  <c r="I1546" i="3"/>
  <c r="I1547" i="3"/>
  <c r="I1548" i="3"/>
  <c r="I1549" i="3"/>
  <c r="I1544" i="3"/>
  <c r="I1772" i="3"/>
  <c r="I1773" i="3"/>
  <c r="I1741" i="3"/>
  <c r="I1740" i="3"/>
  <c r="I1529" i="3"/>
  <c r="I1528" i="3"/>
  <c r="I1526" i="3"/>
  <c r="I1525" i="3"/>
  <c r="I1533" i="3"/>
  <c r="I1532" i="3"/>
  <c r="I1531" i="3"/>
  <c r="I1530" i="3"/>
  <c r="I1541" i="3"/>
  <c r="I1774" i="3"/>
  <c r="I1522" i="3"/>
  <c r="I1543" i="3"/>
  <c r="I1550" i="3"/>
  <c r="I1739" i="3"/>
  <c r="I1540" i="3"/>
  <c r="I1742" i="3"/>
  <c r="I1775" i="3"/>
  <c r="I1523" i="3"/>
  <c r="I1459" i="3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<sst xmlns="http://schemas.openxmlformats.org/spreadsheetml/2006/main" count="12185" uniqueCount="177">
  <si>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</si>
  <si>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</si>
  <si>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</si>
  <si>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</si>
  <si>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</si>
  <si>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</si>
  <si>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</si>
  <si>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</si>
  <si>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</si>
  <si>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</si>
  <si>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</si>
  <si>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</si>
  <si>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</si>
  <si>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</si>
  <si>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</si>
  <si>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</si>
  <si>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</si>
  <si>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</si>
  <si>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</si>
  <si>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</si>
  <si>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</si>
  <si>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</si>
  <si>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</si>
  <si>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</si>
  <si>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</si>
  <si>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</si>
  <si>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</si>
  <si>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</si>
  <si>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</si>
  <si>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</si>
  <si>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</si>
  <si>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</si>
  <si>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</si>
  <si>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</si>
  <si>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</si>
  <si>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</si>
  <si>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</si>
  <si>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</si>
  <si>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</si>
  <si>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</si>
  <si>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</si>
  <si>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</si>
  <si>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</si>
  <si>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</si>
  <si>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</si>
  <si>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</si>
  <si>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</si>
  <si>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</si>
  <si>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</si>
  <si>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</si>
  <si>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</si>
  <si>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</si>
  <si>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</si>
  <si>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</si>
  <si>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</si>
  <si>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</si>
  <si>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</si>
  <si>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</si>
  <si>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</si>
  <si>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</si>
  <si>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</si>
  <si>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</si>
  <si>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</si>
  <si>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</si>
  <si>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</si>
  <si>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</si>
  <si>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</si>
  <si>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</si>
  <si>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</si>
  <si>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</si>
  <si>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</si>
  <si>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</si>
  <si>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</si>
  <si>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</si>
  <si>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</si>
  <si>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</si>
  <si>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</si>
  <si>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</si>
  <si>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</si>
  <si>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</si>
  <si>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</si>
  <si>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</si>
  <si>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</si>
  <si>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</si>
  <si>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</si>
  <si>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</si>
  <si>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</si>
  <si>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</si>
  <si>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</si>
  <si>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</si>
  <si>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</si>
  <si>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</si>
  <si>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</si>
  <si>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</si>
  <si>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</si>
  <si>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</si>
  <si>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</si>
  <si>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</si>
  <si>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</si>
  <si>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</si>
  <si>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</si>
  <si>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</si>
  <si>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</si>
  <si>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</si>
  <si>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</si>
  <si>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</si>
  <si>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</si>
  <si>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</si>
  <si>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</si>
  <si>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</si>
  <si>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</si>
  <si>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</si>
  <si>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</si>
  <si>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</si>
  <si>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</si>
  <si>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</si>
  <si>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</si>
  <si>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</si>
  <si>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</si>
  <si>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</si>
  <si>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</si>
  <si>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</si>
  <si>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</si>
  <si>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</si>
  <si>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</si>
  <si>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</si>
  <si>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</si>
  <si>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</si>
  <si>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</si>
  <si>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</si>
  <si>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</si>
  <si>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</si>
  <si>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</si>
  <si>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</si>
  <si>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</si>
  <si>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</si>
  <si>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</si>
  <si>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</si>
  <si>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</si>
  <si>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</si>
  <si>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</si>
  <si>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</si>
  <si>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</si>
  <si>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</si>
  <si>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</si>
  <si>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</si>
  <si>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</si>
  <si>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</si>
  <si>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</si>
  <si>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</si>
  <si>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</si>
  <si>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</si>
  <si>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</si>
  <si>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</si>
  <si>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</si>
  <si>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</si>
  <si>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</si>
  <si>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</si>
  <si>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</si>
  <si>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</si>
  <si>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</si>
  <si>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</si>
  <si>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Leve:1</t>
  </si>
  <si>
    <t>Desconto:15%</t>
  </si>
  <si>
    <t>Leve:2</t>
  </si>
  <si>
    <t>Pague:1</t>
  </si>
  <si>
    <t>GCAD P1</t>
  </si>
  <si>
    <t>GCAD P1,5</t>
  </si>
  <si>
    <t>PCB P2</t>
  </si>
  <si>
    <t>GCAD P2</t>
  </si>
  <si>
    <t>GCAD LT 350</t>
  </si>
  <si>
    <t>GCAD LT269</t>
  </si>
  <si>
    <t>PCB LT269</t>
  </si>
  <si>
    <t>AC/RR</t>
  </si>
  <si>
    <t>PCB269.png</t>
  </si>
  <si>
    <t>GCAD269.png</t>
  </si>
  <si>
    <t>GCAD350.png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</si>
</sst>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64"/>
  <sheetViews>
    <sheetView workbookViewId="0">
      <selection activeCell="F63" sqref="F63"/>
    </sheetView>
  </sheetViews>
  <sheetFormatPr defaultRowHeight="14.5" x14ac:dyDescent="0.35"/>
  <cols>
    <col min="2" max="2" width="11.26953125" bestFit="1" customWidth="1"/>
    <col min="4" max="4" width="11.54296875" bestFit="1" customWidth="1"/>
    <col min="5" max="5" width="10.7265625" bestFit="1" customWidth="1"/>
    <col min="6" max="6" width="14.7265625" bestFit="1" customWidth="1"/>
  </cols>
  <sheetData>
    <row r="1" spans="1:6" x14ac:dyDescent="0.3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3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3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3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3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3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3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3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3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3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3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3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3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3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3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3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3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3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3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3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3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3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3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3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3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3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3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3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3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3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3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3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3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3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3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3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3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3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3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3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3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3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3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3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3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3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3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3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3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3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3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3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3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3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3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3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3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:F61" si="7">E57&amp;".png"</f>
        <v>PC350.png</v>
      </c>
    </row>
    <row r="58" spans="1:6" x14ac:dyDescent="0.35">
      <c r="A58" t="s">
        <v>61</v>
      </c>
      <c r="B58">
        <v>11556</v>
      </c>
      <c r="C58">
        <v>115568</v>
      </c>
      <c r="D58" t="s">
        <v>166</v>
      </c>
      <c r="E58" t="str">
        <f t="shared" ref="E58:E64" si="8">SUBSTITUTE(D58," ","")</f>
        <v>GCADP1</v>
      </c>
      <c r="F58" t="str">
        <f t="shared" si="7"/>
        <v>GCADP1.png</v>
      </c>
    </row>
    <row r="59" spans="1:6" x14ac:dyDescent="0.35">
      <c r="A59" t="s">
        <v>61</v>
      </c>
      <c r="B59">
        <v>8413</v>
      </c>
      <c r="C59">
        <v>84137</v>
      </c>
      <c r="D59" t="s">
        <v>167</v>
      </c>
      <c r="E59" t="str">
        <f t="shared" si="8"/>
        <v>GCADP1,5</v>
      </c>
      <c r="F59" t="str">
        <f t="shared" si="7"/>
        <v>GCADP1,5.png</v>
      </c>
    </row>
    <row r="60" spans="1:6" x14ac:dyDescent="0.35">
      <c r="A60" t="s">
        <v>61</v>
      </c>
      <c r="B60" t="s">
        <v>153</v>
      </c>
      <c r="C60" t="s">
        <v>153</v>
      </c>
      <c r="D60" t="s">
        <v>168</v>
      </c>
      <c r="E60" t="str">
        <f t="shared" si="8"/>
        <v>PCBP2</v>
      </c>
      <c r="F60" t="str">
        <f t="shared" si="7"/>
        <v>PCBP2.png</v>
      </c>
    </row>
    <row r="61" spans="1:6" x14ac:dyDescent="0.35">
      <c r="A61" t="s">
        <v>61</v>
      </c>
      <c r="B61">
        <v>2353</v>
      </c>
      <c r="C61">
        <v>23531</v>
      </c>
      <c r="D61" t="s">
        <v>169</v>
      </c>
      <c r="E61" t="str">
        <f t="shared" si="8"/>
        <v>GCADP2</v>
      </c>
      <c r="F61" t="str">
        <f t="shared" si="7"/>
        <v>GCADP2.png</v>
      </c>
    </row>
    <row r="62" spans="1:6" x14ac:dyDescent="0.35">
      <c r="A62" t="s">
        <v>61</v>
      </c>
      <c r="B62">
        <v>9085</v>
      </c>
      <c r="C62">
        <v>90852</v>
      </c>
      <c r="D62" t="s">
        <v>170</v>
      </c>
      <c r="E62" t="str">
        <f t="shared" si="8"/>
        <v>GCADLT350</v>
      </c>
      <c r="F62" t="s">
        <v>176</v>
      </c>
    </row>
    <row r="63" spans="1:6" x14ac:dyDescent="0.35">
      <c r="A63" t="s">
        <v>61</v>
      </c>
      <c r="B63">
        <v>12360</v>
      </c>
      <c r="C63">
        <v>123604</v>
      </c>
      <c r="D63" t="s">
        <v>171</v>
      </c>
      <c r="E63" t="str">
        <f t="shared" si="8"/>
        <v>GCADLT269</v>
      </c>
      <c r="F63" t="s">
        <v>175</v>
      </c>
    </row>
    <row r="64" spans="1:6" x14ac:dyDescent="0.35">
      <c r="A64" t="s">
        <v>61</v>
      </c>
      <c r="B64">
        <v>33597</v>
      </c>
      <c r="C64">
        <v>335976</v>
      </c>
      <c r="D64" t="s">
        <v>172</v>
      </c>
      <c r="E64" t="str">
        <f t="shared" si="8"/>
        <v>PCBLT269</v>
      </c>
      <c r="F64" t="s">
        <v>174</v>
      </c>
    </row>
  </sheetData>
  <autoFilter ref="A1:F64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24" workbookViewId="0">
      <selection activeCell="B564" sqref="B564"/>
    </sheetView>
  </sheetViews>
  <sheetFormatPr defaultRowHeight="14.5" x14ac:dyDescent="0.35"/>
  <cols>
    <col min="2" max="2" width="10.7265625" bestFit="1" customWidth="1"/>
    <col min="3" max="3" width="9" bestFit="1" customWidth="1"/>
  </cols>
  <sheetData>
    <row r="1" spans="1:3" x14ac:dyDescent="0.35">
      <c r="A1" s="1" t="s">
        <v>7</v>
      </c>
      <c r="B1" s="1" t="s">
        <v>0</v>
      </c>
      <c r="C1" s="1" t="s">
        <v>1</v>
      </c>
    </row>
    <row r="2" spans="1:3" x14ac:dyDescent="0.35">
      <c r="A2" t="s">
        <v>61</v>
      </c>
      <c r="B2" s="3">
        <v>46174</v>
      </c>
      <c r="C2" t="s">
        <v>20</v>
      </c>
    </row>
    <row r="3" spans="1:3" x14ac:dyDescent="0.35">
      <c r="A3" t="s">
        <v>61</v>
      </c>
      <c r="B3" s="5">
        <v>46175</v>
      </c>
      <c r="C3" t="s">
        <v>20</v>
      </c>
    </row>
    <row r="4" spans="1:3" x14ac:dyDescent="0.35">
      <c r="A4" t="s">
        <v>61</v>
      </c>
      <c r="B4" s="5">
        <v>46176</v>
      </c>
      <c r="C4" t="s">
        <v>20</v>
      </c>
    </row>
    <row r="5" spans="1:3" x14ac:dyDescent="0.35">
      <c r="A5" t="s">
        <v>61</v>
      </c>
      <c r="B5" s="5">
        <v>46177</v>
      </c>
      <c r="C5" t="s">
        <v>20</v>
      </c>
    </row>
    <row r="6" spans="1:3" x14ac:dyDescent="0.35">
      <c r="A6" t="s">
        <v>61</v>
      </c>
      <c r="B6" s="5">
        <v>46178</v>
      </c>
      <c r="C6" t="s">
        <v>20</v>
      </c>
    </row>
    <row r="7" spans="1:3" x14ac:dyDescent="0.35">
      <c r="A7" t="s">
        <v>61</v>
      </c>
      <c r="B7" s="5">
        <v>46179</v>
      </c>
      <c r="C7" t="s">
        <v>20</v>
      </c>
    </row>
    <row r="8" spans="1:3" x14ac:dyDescent="0.35">
      <c r="A8" t="s">
        <v>61</v>
      </c>
      <c r="B8" s="5">
        <v>46180</v>
      </c>
      <c r="C8" t="s">
        <v>20</v>
      </c>
    </row>
    <row r="9" spans="1:3" x14ac:dyDescent="0.35">
      <c r="A9" t="s">
        <v>61</v>
      </c>
      <c r="B9" s="5">
        <v>46181</v>
      </c>
      <c r="C9" t="s">
        <v>20</v>
      </c>
    </row>
    <row r="10" spans="1:3" x14ac:dyDescent="0.35">
      <c r="A10" t="s">
        <v>61</v>
      </c>
      <c r="B10" s="5">
        <v>46182</v>
      </c>
      <c r="C10" t="s">
        <v>20</v>
      </c>
    </row>
    <row r="11" spans="1:3" x14ac:dyDescent="0.35">
      <c r="A11" t="s">
        <v>61</v>
      </c>
      <c r="B11" s="5">
        <v>46183</v>
      </c>
      <c r="C11" t="s">
        <v>20</v>
      </c>
    </row>
    <row r="12" spans="1:3" x14ac:dyDescent="0.35">
      <c r="A12" t="s">
        <v>61</v>
      </c>
      <c r="B12" s="5">
        <v>46184</v>
      </c>
      <c r="C12" t="s">
        <v>20</v>
      </c>
    </row>
    <row r="13" spans="1:3" x14ac:dyDescent="0.35">
      <c r="A13" t="s">
        <v>61</v>
      </c>
      <c r="B13" s="5">
        <v>46185</v>
      </c>
      <c r="C13" t="s">
        <v>20</v>
      </c>
    </row>
    <row r="14" spans="1:3" x14ac:dyDescent="0.35">
      <c r="A14" t="s">
        <v>61</v>
      </c>
      <c r="B14" s="5">
        <v>46186</v>
      </c>
      <c r="C14" t="s">
        <v>20</v>
      </c>
    </row>
    <row r="15" spans="1:3" x14ac:dyDescent="0.35">
      <c r="A15" t="s">
        <v>61</v>
      </c>
      <c r="B15" s="5">
        <v>46187</v>
      </c>
      <c r="C15" t="s">
        <v>20</v>
      </c>
    </row>
    <row r="16" spans="1:3" x14ac:dyDescent="0.35">
      <c r="A16" t="s">
        <v>61</v>
      </c>
      <c r="B16" s="5">
        <v>46188</v>
      </c>
      <c r="C16" t="s">
        <v>21</v>
      </c>
    </row>
    <row r="17" spans="1:3" x14ac:dyDescent="0.35">
      <c r="A17" t="s">
        <v>61</v>
      </c>
      <c r="B17" s="5">
        <v>46189</v>
      </c>
      <c r="C17" t="s">
        <v>21</v>
      </c>
    </row>
    <row r="18" spans="1:3" x14ac:dyDescent="0.35">
      <c r="A18" t="s">
        <v>61</v>
      </c>
      <c r="B18" s="5">
        <v>46190</v>
      </c>
      <c r="C18" t="s">
        <v>21</v>
      </c>
    </row>
    <row r="19" spans="1:3" x14ac:dyDescent="0.35">
      <c r="A19" t="s">
        <v>61</v>
      </c>
      <c r="B19" s="5">
        <v>46191</v>
      </c>
      <c r="C19" t="s">
        <v>21</v>
      </c>
    </row>
    <row r="20" spans="1:3" x14ac:dyDescent="0.35">
      <c r="A20" t="s">
        <v>61</v>
      </c>
      <c r="B20" s="5">
        <v>46192</v>
      </c>
      <c r="C20" t="s">
        <v>21</v>
      </c>
    </row>
    <row r="21" spans="1:3" x14ac:dyDescent="0.35">
      <c r="A21" t="s">
        <v>61</v>
      </c>
      <c r="B21" s="5">
        <v>46193</v>
      </c>
      <c r="C21" t="s">
        <v>21</v>
      </c>
    </row>
    <row r="22" spans="1:3" x14ac:dyDescent="0.35">
      <c r="A22" t="s">
        <v>61</v>
      </c>
      <c r="B22" s="5">
        <v>46194</v>
      </c>
      <c r="C22" t="s">
        <v>21</v>
      </c>
    </row>
    <row r="23" spans="1:3" x14ac:dyDescent="0.35">
      <c r="A23" t="s">
        <v>61</v>
      </c>
      <c r="B23" s="5">
        <v>46195</v>
      </c>
      <c r="C23" t="s">
        <v>21</v>
      </c>
    </row>
    <row r="24" spans="1:3" x14ac:dyDescent="0.35">
      <c r="A24" t="s">
        <v>61</v>
      </c>
      <c r="B24" s="5">
        <v>46196</v>
      </c>
      <c r="C24" t="s">
        <v>21</v>
      </c>
    </row>
    <row r="25" spans="1:3" x14ac:dyDescent="0.35">
      <c r="A25" t="s">
        <v>61</v>
      </c>
      <c r="B25" s="5">
        <v>46197</v>
      </c>
      <c r="C25" t="s">
        <v>21</v>
      </c>
    </row>
    <row r="26" spans="1:3" x14ac:dyDescent="0.35">
      <c r="A26" t="s">
        <v>61</v>
      </c>
      <c r="B26" s="5">
        <v>46198</v>
      </c>
      <c r="C26" t="s">
        <v>21</v>
      </c>
    </row>
    <row r="27" spans="1:3" x14ac:dyDescent="0.35">
      <c r="A27" t="s">
        <v>61</v>
      </c>
      <c r="B27" s="5">
        <v>46199</v>
      </c>
      <c r="C27" t="s">
        <v>21</v>
      </c>
    </row>
    <row r="28" spans="1:3" x14ac:dyDescent="0.35">
      <c r="A28" t="s">
        <v>61</v>
      </c>
      <c r="B28" s="5">
        <v>46200</v>
      </c>
      <c r="C28" t="s">
        <v>21</v>
      </c>
    </row>
    <row r="29" spans="1:3" x14ac:dyDescent="0.35">
      <c r="A29" t="s">
        <v>61</v>
      </c>
      <c r="B29" s="5">
        <v>46201</v>
      </c>
      <c r="C29" t="s">
        <v>21</v>
      </c>
    </row>
    <row r="30" spans="1:3" x14ac:dyDescent="0.35">
      <c r="A30" t="s">
        <v>61</v>
      </c>
      <c r="B30" s="5">
        <v>46205</v>
      </c>
      <c r="C30" t="s">
        <v>20</v>
      </c>
    </row>
    <row r="31" spans="1:3" x14ac:dyDescent="0.35">
      <c r="A31" t="s">
        <v>61</v>
      </c>
      <c r="B31" s="5">
        <v>46206</v>
      </c>
      <c r="C31" t="s">
        <v>20</v>
      </c>
    </row>
    <row r="32" spans="1:3" x14ac:dyDescent="0.35">
      <c r="A32" t="s">
        <v>61</v>
      </c>
      <c r="B32" s="5">
        <v>46207</v>
      </c>
      <c r="C32" t="s">
        <v>20</v>
      </c>
    </row>
    <row r="33" spans="1:3" x14ac:dyDescent="0.35">
      <c r="A33" t="s">
        <v>61</v>
      </c>
      <c r="B33" s="5">
        <v>46208</v>
      </c>
      <c r="C33" t="s">
        <v>20</v>
      </c>
    </row>
    <row r="34" spans="1:3" x14ac:dyDescent="0.35">
      <c r="A34" t="s">
        <v>61</v>
      </c>
      <c r="B34" s="5">
        <v>46209</v>
      </c>
      <c r="C34" t="s">
        <v>20</v>
      </c>
    </row>
    <row r="35" spans="1:3" x14ac:dyDescent="0.35">
      <c r="A35" t="s">
        <v>61</v>
      </c>
      <c r="B35" s="5">
        <v>46210</v>
      </c>
      <c r="C35" t="s">
        <v>20</v>
      </c>
    </row>
    <row r="36" spans="1:3" x14ac:dyDescent="0.35">
      <c r="A36" t="s">
        <v>61</v>
      </c>
      <c r="B36" s="5">
        <v>46211</v>
      </c>
      <c r="C36" t="s">
        <v>20</v>
      </c>
    </row>
    <row r="37" spans="1:3" x14ac:dyDescent="0.35">
      <c r="A37" t="s">
        <v>61</v>
      </c>
      <c r="B37" s="5">
        <v>46212</v>
      </c>
      <c r="C37" t="s">
        <v>20</v>
      </c>
    </row>
    <row r="38" spans="1:3" x14ac:dyDescent="0.35">
      <c r="A38" t="s">
        <v>61</v>
      </c>
      <c r="B38" s="5">
        <v>46213</v>
      </c>
      <c r="C38" t="s">
        <v>20</v>
      </c>
    </row>
    <row r="39" spans="1:3" x14ac:dyDescent="0.35">
      <c r="A39" t="s">
        <v>61</v>
      </c>
      <c r="B39" s="5">
        <v>46214</v>
      </c>
      <c r="C39" t="s">
        <v>20</v>
      </c>
    </row>
    <row r="40" spans="1:3" x14ac:dyDescent="0.35">
      <c r="A40" t="s">
        <v>61</v>
      </c>
      <c r="B40" s="5">
        <v>46215</v>
      </c>
      <c r="C40" t="s">
        <v>20</v>
      </c>
    </row>
    <row r="41" spans="1:3" x14ac:dyDescent="0.35">
      <c r="A41" t="s">
        <v>61</v>
      </c>
      <c r="B41" s="5">
        <v>46216</v>
      </c>
      <c r="C41" t="s">
        <v>21</v>
      </c>
    </row>
    <row r="42" spans="1:3" x14ac:dyDescent="0.35">
      <c r="A42" t="s">
        <v>61</v>
      </c>
      <c r="B42" s="5">
        <v>46217</v>
      </c>
      <c r="C42" t="s">
        <v>21</v>
      </c>
    </row>
    <row r="43" spans="1:3" x14ac:dyDescent="0.35">
      <c r="A43" t="s">
        <v>61</v>
      </c>
      <c r="B43" s="5">
        <v>46218</v>
      </c>
      <c r="C43" t="s">
        <v>21</v>
      </c>
    </row>
    <row r="44" spans="1:3" x14ac:dyDescent="0.35">
      <c r="A44" t="s">
        <v>61</v>
      </c>
      <c r="B44" s="5">
        <v>46219</v>
      </c>
      <c r="C44" t="s">
        <v>21</v>
      </c>
    </row>
    <row r="45" spans="1:3" x14ac:dyDescent="0.35">
      <c r="A45" t="s">
        <v>61</v>
      </c>
      <c r="B45" s="5">
        <v>46220</v>
      </c>
      <c r="C45" t="s">
        <v>21</v>
      </c>
    </row>
    <row r="46" spans="1:3" x14ac:dyDescent="0.35">
      <c r="A46" t="s">
        <v>61</v>
      </c>
      <c r="B46" s="5">
        <v>46221</v>
      </c>
      <c r="C46" t="s">
        <v>21</v>
      </c>
    </row>
    <row r="47" spans="1:3" x14ac:dyDescent="0.35">
      <c r="A47" t="s">
        <v>61</v>
      </c>
      <c r="B47" s="5">
        <v>46222</v>
      </c>
      <c r="C47" t="s">
        <v>21</v>
      </c>
    </row>
    <row r="48" spans="1:3" x14ac:dyDescent="0.35">
      <c r="A48" t="s">
        <v>61</v>
      </c>
      <c r="B48" s="5">
        <v>46223</v>
      </c>
      <c r="C48" t="s">
        <v>21</v>
      </c>
    </row>
    <row r="49" spans="1:3" x14ac:dyDescent="0.35">
      <c r="A49" t="s">
        <v>61</v>
      </c>
      <c r="B49" s="5">
        <v>46224</v>
      </c>
      <c r="C49" t="s">
        <v>21</v>
      </c>
    </row>
    <row r="50" spans="1:3" x14ac:dyDescent="0.35">
      <c r="A50" t="s">
        <v>61</v>
      </c>
      <c r="B50" s="5">
        <v>46225</v>
      </c>
      <c r="C50" t="s">
        <v>21</v>
      </c>
    </row>
    <row r="51" spans="1:3" x14ac:dyDescent="0.35">
      <c r="A51" t="s">
        <v>61</v>
      </c>
      <c r="B51" s="5">
        <v>46226</v>
      </c>
      <c r="C51" t="s">
        <v>21</v>
      </c>
    </row>
    <row r="52" spans="1:3" x14ac:dyDescent="0.35">
      <c r="A52" t="s">
        <v>61</v>
      </c>
      <c r="B52" s="5">
        <v>46227</v>
      </c>
      <c r="C52" t="s">
        <v>21</v>
      </c>
    </row>
    <row r="53" spans="1:3" x14ac:dyDescent="0.35">
      <c r="A53" t="s">
        <v>61</v>
      </c>
      <c r="B53" s="5">
        <v>46228</v>
      </c>
      <c r="C53" t="s">
        <v>21</v>
      </c>
    </row>
    <row r="54" spans="1:3" x14ac:dyDescent="0.35">
      <c r="A54" t="s">
        <v>61</v>
      </c>
      <c r="B54" s="5">
        <v>46229</v>
      </c>
      <c r="C54" t="s">
        <v>21</v>
      </c>
    </row>
    <row r="55" spans="1:3" x14ac:dyDescent="0.35">
      <c r="A55" t="s">
        <v>61</v>
      </c>
      <c r="B55" s="5">
        <v>46230</v>
      </c>
      <c r="C55" t="s">
        <v>21</v>
      </c>
    </row>
    <row r="56" spans="1:3" x14ac:dyDescent="0.35">
      <c r="A56" t="s">
        <v>61</v>
      </c>
      <c r="B56" s="5">
        <v>46231</v>
      </c>
      <c r="C56" t="s">
        <v>21</v>
      </c>
    </row>
    <row r="57" spans="1:3" x14ac:dyDescent="0.35">
      <c r="A57" t="s">
        <v>61</v>
      </c>
      <c r="B57" s="5">
        <v>46232</v>
      </c>
      <c r="C57" t="s">
        <v>21</v>
      </c>
    </row>
    <row r="58" spans="1:3" x14ac:dyDescent="0.35">
      <c r="A58" t="s">
        <v>61</v>
      </c>
      <c r="B58" s="5">
        <v>46233</v>
      </c>
      <c r="C58" t="s">
        <v>21</v>
      </c>
    </row>
    <row r="59" spans="1:3" x14ac:dyDescent="0.35">
      <c r="A59" t="s">
        <v>61</v>
      </c>
      <c r="B59" s="5">
        <v>46234</v>
      </c>
      <c r="C59" t="s">
        <v>21</v>
      </c>
    </row>
    <row r="60" spans="1:3" x14ac:dyDescent="0.35">
      <c r="A60" t="s">
        <v>61</v>
      </c>
      <c r="B60" s="5">
        <v>46237</v>
      </c>
      <c r="C60" t="s">
        <v>20</v>
      </c>
    </row>
    <row r="61" spans="1:3" x14ac:dyDescent="0.35">
      <c r="A61" t="s">
        <v>61</v>
      </c>
      <c r="B61" s="5">
        <v>46238</v>
      </c>
      <c r="C61" t="s">
        <v>20</v>
      </c>
    </row>
    <row r="62" spans="1:3" x14ac:dyDescent="0.35">
      <c r="A62" t="s">
        <v>61</v>
      </c>
      <c r="B62" s="5">
        <v>46239</v>
      </c>
      <c r="C62" t="s">
        <v>20</v>
      </c>
    </row>
    <row r="63" spans="1:3" x14ac:dyDescent="0.35">
      <c r="A63" t="s">
        <v>61</v>
      </c>
      <c r="B63" s="5">
        <v>46240</v>
      </c>
      <c r="C63" t="s">
        <v>20</v>
      </c>
    </row>
    <row r="64" spans="1:3" x14ac:dyDescent="0.35">
      <c r="A64" t="s">
        <v>61</v>
      </c>
      <c r="B64" s="5">
        <v>46241</v>
      </c>
      <c r="C64" t="s">
        <v>20</v>
      </c>
    </row>
    <row r="65" spans="1:3" x14ac:dyDescent="0.35">
      <c r="A65" t="s">
        <v>61</v>
      </c>
      <c r="B65" s="5">
        <v>46242</v>
      </c>
      <c r="C65" t="s">
        <v>20</v>
      </c>
    </row>
    <row r="66" spans="1:3" x14ac:dyDescent="0.35">
      <c r="A66" t="s">
        <v>61</v>
      </c>
      <c r="B66" s="5">
        <v>46243</v>
      </c>
      <c r="C66" t="s">
        <v>20</v>
      </c>
    </row>
    <row r="67" spans="1:3" x14ac:dyDescent="0.35">
      <c r="A67" t="s">
        <v>61</v>
      </c>
      <c r="B67" s="5">
        <v>46244</v>
      </c>
      <c r="C67" t="s">
        <v>20</v>
      </c>
    </row>
    <row r="68" spans="1:3" x14ac:dyDescent="0.35">
      <c r="A68" t="s">
        <v>61</v>
      </c>
      <c r="B68" s="5">
        <v>46245</v>
      </c>
      <c r="C68" t="s">
        <v>20</v>
      </c>
    </row>
    <row r="69" spans="1:3" x14ac:dyDescent="0.35">
      <c r="A69" t="s">
        <v>61</v>
      </c>
      <c r="B69" s="5">
        <v>46246</v>
      </c>
      <c r="C69" t="s">
        <v>20</v>
      </c>
    </row>
    <row r="70" spans="1:3" x14ac:dyDescent="0.35">
      <c r="A70" t="s">
        <v>61</v>
      </c>
      <c r="B70" s="5">
        <v>46247</v>
      </c>
      <c r="C70" t="s">
        <v>20</v>
      </c>
    </row>
    <row r="71" spans="1:3" x14ac:dyDescent="0.35">
      <c r="A71" t="s">
        <v>61</v>
      </c>
      <c r="B71" s="5">
        <v>46248</v>
      </c>
      <c r="C71" t="s">
        <v>20</v>
      </c>
    </row>
    <row r="72" spans="1:3" x14ac:dyDescent="0.35">
      <c r="A72" t="s">
        <v>61</v>
      </c>
      <c r="B72" s="5">
        <v>46249</v>
      </c>
      <c r="C72" t="s">
        <v>20</v>
      </c>
    </row>
    <row r="73" spans="1:3" x14ac:dyDescent="0.35">
      <c r="A73" t="s">
        <v>61</v>
      </c>
      <c r="B73" s="5">
        <v>46250</v>
      </c>
      <c r="C73" t="s">
        <v>20</v>
      </c>
    </row>
    <row r="74" spans="1:3" x14ac:dyDescent="0.35">
      <c r="A74" t="s">
        <v>61</v>
      </c>
      <c r="B74" s="5">
        <v>46251</v>
      </c>
      <c r="C74" t="s">
        <v>21</v>
      </c>
    </row>
    <row r="75" spans="1:3" x14ac:dyDescent="0.35">
      <c r="A75" t="s">
        <v>61</v>
      </c>
      <c r="B75" s="5">
        <v>46252</v>
      </c>
      <c r="C75" t="s">
        <v>21</v>
      </c>
    </row>
    <row r="76" spans="1:3" x14ac:dyDescent="0.35">
      <c r="A76" t="s">
        <v>61</v>
      </c>
      <c r="B76" s="5">
        <v>46253</v>
      </c>
      <c r="C76" t="s">
        <v>21</v>
      </c>
    </row>
    <row r="77" spans="1:3" x14ac:dyDescent="0.35">
      <c r="A77" t="s">
        <v>61</v>
      </c>
      <c r="B77" s="5">
        <v>46254</v>
      </c>
      <c r="C77" t="s">
        <v>21</v>
      </c>
    </row>
    <row r="78" spans="1:3" x14ac:dyDescent="0.35">
      <c r="A78" t="s">
        <v>61</v>
      </c>
      <c r="B78" s="5">
        <v>46255</v>
      </c>
      <c r="C78" t="s">
        <v>21</v>
      </c>
    </row>
    <row r="79" spans="1:3" x14ac:dyDescent="0.35">
      <c r="A79" t="s">
        <v>61</v>
      </c>
      <c r="B79" s="5">
        <v>46256</v>
      </c>
      <c r="C79" t="s">
        <v>21</v>
      </c>
    </row>
    <row r="80" spans="1:3" x14ac:dyDescent="0.35">
      <c r="A80" t="s">
        <v>61</v>
      </c>
      <c r="B80" s="5">
        <v>46257</v>
      </c>
      <c r="C80" t="s">
        <v>21</v>
      </c>
    </row>
    <row r="81" spans="1:3" x14ac:dyDescent="0.35">
      <c r="A81" t="s">
        <v>61</v>
      </c>
      <c r="B81" s="5">
        <v>46258</v>
      </c>
      <c r="C81" t="s">
        <v>21</v>
      </c>
    </row>
    <row r="82" spans="1:3" x14ac:dyDescent="0.35">
      <c r="A82" t="s">
        <v>61</v>
      </c>
      <c r="B82" s="5">
        <v>46259</v>
      </c>
      <c r="C82" t="s">
        <v>21</v>
      </c>
    </row>
    <row r="83" spans="1:3" x14ac:dyDescent="0.35">
      <c r="A83" t="s">
        <v>61</v>
      </c>
      <c r="B83" s="5">
        <v>46260</v>
      </c>
      <c r="C83" t="s">
        <v>21</v>
      </c>
    </row>
    <row r="84" spans="1:3" x14ac:dyDescent="0.35">
      <c r="A84" t="s">
        <v>61</v>
      </c>
      <c r="B84" s="5">
        <v>46261</v>
      </c>
      <c r="C84" t="s">
        <v>21</v>
      </c>
    </row>
    <row r="85" spans="1:3" x14ac:dyDescent="0.35">
      <c r="A85" t="s">
        <v>61</v>
      </c>
      <c r="B85" s="5">
        <v>46262</v>
      </c>
      <c r="C85" t="s">
        <v>21</v>
      </c>
    </row>
    <row r="86" spans="1:3" x14ac:dyDescent="0.35">
      <c r="A86" t="s">
        <v>61</v>
      </c>
      <c r="B86" s="5">
        <v>46263</v>
      </c>
      <c r="C86" t="s">
        <v>21</v>
      </c>
    </row>
    <row r="87" spans="1:3" x14ac:dyDescent="0.35">
      <c r="A87" t="s">
        <v>61</v>
      </c>
      <c r="B87" s="5">
        <v>46264</v>
      </c>
      <c r="C87" t="s">
        <v>21</v>
      </c>
    </row>
    <row r="88" spans="1:3" x14ac:dyDescent="0.35">
      <c r="A88" t="s">
        <v>61</v>
      </c>
      <c r="B88" s="5">
        <v>46265</v>
      </c>
      <c r="C88" t="s">
        <v>21</v>
      </c>
    </row>
    <row r="89" spans="1:3" x14ac:dyDescent="0.35">
      <c r="A89" t="s">
        <v>61</v>
      </c>
      <c r="B89" s="3">
        <v>46266</v>
      </c>
      <c r="C89" s="2" t="s">
        <v>20</v>
      </c>
    </row>
    <row r="90" spans="1:3" x14ac:dyDescent="0.35">
      <c r="A90" t="s">
        <v>61</v>
      </c>
      <c r="B90" s="3">
        <v>46267</v>
      </c>
      <c r="C90" s="2" t="s">
        <v>20</v>
      </c>
    </row>
    <row r="91" spans="1:3" x14ac:dyDescent="0.35">
      <c r="A91" t="s">
        <v>61</v>
      </c>
      <c r="B91" s="3">
        <v>46268</v>
      </c>
      <c r="C91" s="2" t="s">
        <v>20</v>
      </c>
    </row>
    <row r="92" spans="1:3" x14ac:dyDescent="0.35">
      <c r="A92" t="s">
        <v>61</v>
      </c>
      <c r="B92" s="3">
        <v>46269</v>
      </c>
      <c r="C92" s="2" t="s">
        <v>20</v>
      </c>
    </row>
    <row r="93" spans="1:3" x14ac:dyDescent="0.35">
      <c r="A93" t="s">
        <v>61</v>
      </c>
      <c r="B93" s="3">
        <v>46270</v>
      </c>
      <c r="C93" s="2" t="s">
        <v>20</v>
      </c>
    </row>
    <row r="94" spans="1:3" x14ac:dyDescent="0.35">
      <c r="A94" t="s">
        <v>61</v>
      </c>
      <c r="B94" s="3">
        <v>46271</v>
      </c>
      <c r="C94" s="2" t="s">
        <v>20</v>
      </c>
    </row>
    <row r="95" spans="1:3" x14ac:dyDescent="0.35">
      <c r="A95" t="s">
        <v>61</v>
      </c>
      <c r="B95" s="3">
        <v>46272</v>
      </c>
      <c r="C95" s="2" t="s">
        <v>20</v>
      </c>
    </row>
    <row r="96" spans="1:3" x14ac:dyDescent="0.35">
      <c r="A96" t="s">
        <v>61</v>
      </c>
      <c r="B96" s="3">
        <v>46273</v>
      </c>
      <c r="C96" s="2" t="s">
        <v>20</v>
      </c>
    </row>
    <row r="97" spans="1:3" x14ac:dyDescent="0.35">
      <c r="A97" t="s">
        <v>61</v>
      </c>
      <c r="B97" s="3">
        <v>46274</v>
      </c>
      <c r="C97" s="2" t="s">
        <v>20</v>
      </c>
    </row>
    <row r="98" spans="1:3" x14ac:dyDescent="0.35">
      <c r="A98" t="s">
        <v>61</v>
      </c>
      <c r="B98" s="3">
        <v>46275</v>
      </c>
      <c r="C98" s="2" t="s">
        <v>20</v>
      </c>
    </row>
    <row r="99" spans="1:3" x14ac:dyDescent="0.35">
      <c r="A99" t="s">
        <v>61</v>
      </c>
      <c r="B99" s="3">
        <v>46276</v>
      </c>
      <c r="C99" s="2" t="s">
        <v>20</v>
      </c>
    </row>
    <row r="100" spans="1:3" x14ac:dyDescent="0.35">
      <c r="A100" t="s">
        <v>61</v>
      </c>
      <c r="B100" s="3">
        <v>46277</v>
      </c>
      <c r="C100" s="2" t="s">
        <v>20</v>
      </c>
    </row>
    <row r="101" spans="1:3" x14ac:dyDescent="0.35">
      <c r="A101" t="s">
        <v>61</v>
      </c>
      <c r="B101" s="3">
        <v>46278</v>
      </c>
      <c r="C101" s="2" t="s">
        <v>20</v>
      </c>
    </row>
    <row r="102" spans="1:3" x14ac:dyDescent="0.35">
      <c r="A102" t="s">
        <v>61</v>
      </c>
      <c r="B102" s="3">
        <v>46279</v>
      </c>
      <c r="C102" s="2" t="s">
        <v>21</v>
      </c>
    </row>
    <row r="103" spans="1:3" x14ac:dyDescent="0.35">
      <c r="A103" t="s">
        <v>61</v>
      </c>
      <c r="B103" s="3">
        <v>46280</v>
      </c>
      <c r="C103" s="2" t="s">
        <v>21</v>
      </c>
    </row>
    <row r="104" spans="1:3" x14ac:dyDescent="0.35">
      <c r="A104" t="s">
        <v>61</v>
      </c>
      <c r="B104" s="3">
        <v>46281</v>
      </c>
      <c r="C104" s="2" t="s">
        <v>21</v>
      </c>
    </row>
    <row r="105" spans="1:3" x14ac:dyDescent="0.35">
      <c r="A105" t="s">
        <v>61</v>
      </c>
      <c r="B105" s="3">
        <v>46282</v>
      </c>
      <c r="C105" s="2" t="s">
        <v>21</v>
      </c>
    </row>
    <row r="106" spans="1:3" x14ac:dyDescent="0.35">
      <c r="A106" t="s">
        <v>61</v>
      </c>
      <c r="B106" s="3">
        <v>46283</v>
      </c>
      <c r="C106" s="2" t="s">
        <v>21</v>
      </c>
    </row>
    <row r="107" spans="1:3" x14ac:dyDescent="0.35">
      <c r="A107" t="s">
        <v>61</v>
      </c>
      <c r="B107" s="3">
        <v>46284</v>
      </c>
      <c r="C107" s="2" t="s">
        <v>21</v>
      </c>
    </row>
    <row r="108" spans="1:3" x14ac:dyDescent="0.35">
      <c r="A108" t="s">
        <v>61</v>
      </c>
      <c r="B108" s="3">
        <v>46285</v>
      </c>
      <c r="C108" s="2" t="s">
        <v>21</v>
      </c>
    </row>
    <row r="109" spans="1:3" x14ac:dyDescent="0.35">
      <c r="A109" t="s">
        <v>61</v>
      </c>
      <c r="B109" s="3">
        <v>46286</v>
      </c>
      <c r="C109" s="2" t="s">
        <v>21</v>
      </c>
    </row>
    <row r="110" spans="1:3" x14ac:dyDescent="0.35">
      <c r="A110" t="s">
        <v>61</v>
      </c>
      <c r="B110" s="3">
        <v>46287</v>
      </c>
      <c r="C110" s="2" t="s">
        <v>21</v>
      </c>
    </row>
    <row r="111" spans="1:3" x14ac:dyDescent="0.35">
      <c r="A111" t="s">
        <v>61</v>
      </c>
      <c r="B111" s="3">
        <v>46288</v>
      </c>
      <c r="C111" s="2" t="s">
        <v>21</v>
      </c>
    </row>
    <row r="112" spans="1:3" x14ac:dyDescent="0.35">
      <c r="A112" t="s">
        <v>61</v>
      </c>
      <c r="B112" s="3">
        <v>46289</v>
      </c>
      <c r="C112" s="2" t="s">
        <v>21</v>
      </c>
    </row>
    <row r="113" spans="1:3" x14ac:dyDescent="0.35">
      <c r="A113" t="s">
        <v>61</v>
      </c>
      <c r="B113" s="3">
        <v>46290</v>
      </c>
      <c r="C113" s="2" t="s">
        <v>21</v>
      </c>
    </row>
    <row r="114" spans="1:3" x14ac:dyDescent="0.35">
      <c r="A114" t="s">
        <v>61</v>
      </c>
      <c r="B114" s="3">
        <v>46291</v>
      </c>
      <c r="C114" s="2" t="s">
        <v>21</v>
      </c>
    </row>
    <row r="115" spans="1:3" x14ac:dyDescent="0.35">
      <c r="A115" t="s">
        <v>61</v>
      </c>
      <c r="B115" s="3">
        <v>46292</v>
      </c>
      <c r="C115" s="2" t="s">
        <v>21</v>
      </c>
    </row>
    <row r="116" spans="1:3" x14ac:dyDescent="0.35">
      <c r="A116" t="s">
        <v>61</v>
      </c>
      <c r="B116" s="3">
        <v>46300</v>
      </c>
      <c r="C116" s="2" t="s">
        <v>20</v>
      </c>
    </row>
    <row r="117" spans="1:3" x14ac:dyDescent="0.35">
      <c r="A117" t="s">
        <v>61</v>
      </c>
      <c r="B117" s="3">
        <v>46301</v>
      </c>
      <c r="C117" s="2" t="s">
        <v>20</v>
      </c>
    </row>
    <row r="118" spans="1:3" x14ac:dyDescent="0.35">
      <c r="A118" t="s">
        <v>61</v>
      </c>
      <c r="B118" s="3">
        <v>46302</v>
      </c>
      <c r="C118" s="2" t="s">
        <v>20</v>
      </c>
    </row>
    <row r="119" spans="1:3" x14ac:dyDescent="0.35">
      <c r="A119" t="s">
        <v>61</v>
      </c>
      <c r="B119" s="3">
        <v>46303</v>
      </c>
      <c r="C119" s="2" t="s">
        <v>20</v>
      </c>
    </row>
    <row r="120" spans="1:3" x14ac:dyDescent="0.35">
      <c r="A120" t="s">
        <v>61</v>
      </c>
      <c r="B120" s="3">
        <v>46304</v>
      </c>
      <c r="C120" s="2" t="s">
        <v>20</v>
      </c>
    </row>
    <row r="121" spans="1:3" x14ac:dyDescent="0.35">
      <c r="A121" t="s">
        <v>61</v>
      </c>
      <c r="B121" s="3">
        <v>46305</v>
      </c>
      <c r="C121" s="2" t="s">
        <v>20</v>
      </c>
    </row>
    <row r="122" spans="1:3" x14ac:dyDescent="0.35">
      <c r="A122" t="s">
        <v>61</v>
      </c>
      <c r="B122" s="3">
        <v>46306</v>
      </c>
      <c r="C122" s="2" t="s">
        <v>20</v>
      </c>
    </row>
    <row r="123" spans="1:3" x14ac:dyDescent="0.35">
      <c r="A123" t="s">
        <v>61</v>
      </c>
      <c r="B123" s="3">
        <v>46307</v>
      </c>
      <c r="C123" s="2" t="s">
        <v>20</v>
      </c>
    </row>
    <row r="124" spans="1:3" x14ac:dyDescent="0.35">
      <c r="A124" t="s">
        <v>61</v>
      </c>
      <c r="B124" s="3">
        <v>46308</v>
      </c>
      <c r="C124" s="2" t="s">
        <v>21</v>
      </c>
    </row>
    <row r="125" spans="1:3" x14ac:dyDescent="0.35">
      <c r="A125" t="s">
        <v>61</v>
      </c>
      <c r="B125" s="3">
        <v>46309</v>
      </c>
      <c r="C125" s="2" t="s">
        <v>21</v>
      </c>
    </row>
    <row r="126" spans="1:3" x14ac:dyDescent="0.35">
      <c r="A126" t="s">
        <v>61</v>
      </c>
      <c r="B126" s="3">
        <v>46310</v>
      </c>
      <c r="C126" s="2" t="s">
        <v>21</v>
      </c>
    </row>
    <row r="127" spans="1:3" x14ac:dyDescent="0.35">
      <c r="A127" t="s">
        <v>61</v>
      </c>
      <c r="B127" s="3">
        <v>46311</v>
      </c>
      <c r="C127" s="2" t="s">
        <v>21</v>
      </c>
    </row>
    <row r="128" spans="1:3" x14ac:dyDescent="0.35">
      <c r="A128" t="s">
        <v>61</v>
      </c>
      <c r="B128" s="3">
        <v>46312</v>
      </c>
      <c r="C128" s="2" t="s">
        <v>21</v>
      </c>
    </row>
    <row r="129" spans="1:3" x14ac:dyDescent="0.35">
      <c r="A129" t="s">
        <v>61</v>
      </c>
      <c r="B129" s="3">
        <v>46313</v>
      </c>
      <c r="C129" s="2" t="s">
        <v>21</v>
      </c>
    </row>
    <row r="130" spans="1:3" x14ac:dyDescent="0.35">
      <c r="A130" t="s">
        <v>61</v>
      </c>
      <c r="B130" s="3">
        <v>46314</v>
      </c>
      <c r="C130" s="2" t="s">
        <v>21</v>
      </c>
    </row>
    <row r="131" spans="1:3" x14ac:dyDescent="0.35">
      <c r="A131" t="s">
        <v>61</v>
      </c>
      <c r="B131" s="3">
        <v>46315</v>
      </c>
      <c r="C131" s="2" t="s">
        <v>21</v>
      </c>
    </row>
    <row r="132" spans="1:3" x14ac:dyDescent="0.35">
      <c r="A132" t="s">
        <v>61</v>
      </c>
      <c r="B132" s="3">
        <v>46316</v>
      </c>
      <c r="C132" s="2" t="s">
        <v>21</v>
      </c>
    </row>
    <row r="133" spans="1:3" x14ac:dyDescent="0.35">
      <c r="A133" t="s">
        <v>61</v>
      </c>
      <c r="B133" s="3">
        <v>46317</v>
      </c>
      <c r="C133" s="2" t="s">
        <v>21</v>
      </c>
    </row>
    <row r="134" spans="1:3" x14ac:dyDescent="0.35">
      <c r="A134" t="s">
        <v>61</v>
      </c>
      <c r="B134" s="3">
        <v>46318</v>
      </c>
      <c r="C134" s="2" t="s">
        <v>21</v>
      </c>
    </row>
    <row r="135" spans="1:3" x14ac:dyDescent="0.35">
      <c r="A135" t="s">
        <v>61</v>
      </c>
      <c r="B135" s="3">
        <v>46319</v>
      </c>
      <c r="C135" s="2" t="s">
        <v>21</v>
      </c>
    </row>
    <row r="136" spans="1:3" x14ac:dyDescent="0.35">
      <c r="A136" t="s">
        <v>61</v>
      </c>
      <c r="B136" s="3">
        <v>46320</v>
      </c>
      <c r="C136" s="2" t="s">
        <v>21</v>
      </c>
    </row>
    <row r="137" spans="1:3" x14ac:dyDescent="0.35">
      <c r="A137" t="s">
        <v>62</v>
      </c>
      <c r="B137" s="3">
        <v>46174</v>
      </c>
      <c r="C137" t="s">
        <v>20</v>
      </c>
    </row>
    <row r="138" spans="1:3" x14ac:dyDescent="0.35">
      <c r="A138" t="s">
        <v>62</v>
      </c>
      <c r="B138" s="5">
        <v>46175</v>
      </c>
      <c r="C138" t="s">
        <v>20</v>
      </c>
    </row>
    <row r="139" spans="1:3" x14ac:dyDescent="0.35">
      <c r="A139" t="s">
        <v>62</v>
      </c>
      <c r="B139" s="5">
        <v>46176</v>
      </c>
      <c r="C139" t="s">
        <v>20</v>
      </c>
    </row>
    <row r="140" spans="1:3" x14ac:dyDescent="0.35">
      <c r="A140" t="s">
        <v>62</v>
      </c>
      <c r="B140" s="5">
        <v>46177</v>
      </c>
      <c r="C140" t="s">
        <v>20</v>
      </c>
    </row>
    <row r="141" spans="1:3" x14ac:dyDescent="0.35">
      <c r="A141" t="s">
        <v>62</v>
      </c>
      <c r="B141" s="5">
        <v>46178</v>
      </c>
      <c r="C141" t="s">
        <v>20</v>
      </c>
    </row>
    <row r="142" spans="1:3" x14ac:dyDescent="0.35">
      <c r="A142" t="s">
        <v>62</v>
      </c>
      <c r="B142" s="5">
        <v>46179</v>
      </c>
      <c r="C142" t="s">
        <v>20</v>
      </c>
    </row>
    <row r="143" spans="1:3" x14ac:dyDescent="0.35">
      <c r="A143" t="s">
        <v>62</v>
      </c>
      <c r="B143" s="5">
        <v>46180</v>
      </c>
      <c r="C143" t="s">
        <v>20</v>
      </c>
    </row>
    <row r="144" spans="1:3" x14ac:dyDescent="0.35">
      <c r="A144" t="s">
        <v>62</v>
      </c>
      <c r="B144" s="5">
        <v>46181</v>
      </c>
      <c r="C144" t="s">
        <v>20</v>
      </c>
    </row>
    <row r="145" spans="1:3" x14ac:dyDescent="0.35">
      <c r="A145" t="s">
        <v>62</v>
      </c>
      <c r="B145" s="5">
        <v>46182</v>
      </c>
      <c r="C145" t="s">
        <v>20</v>
      </c>
    </row>
    <row r="146" spans="1:3" x14ac:dyDescent="0.35">
      <c r="A146" t="s">
        <v>62</v>
      </c>
      <c r="B146" s="5">
        <v>46183</v>
      </c>
      <c r="C146" t="s">
        <v>20</v>
      </c>
    </row>
    <row r="147" spans="1:3" x14ac:dyDescent="0.35">
      <c r="A147" t="s">
        <v>62</v>
      </c>
      <c r="B147" s="5">
        <v>46184</v>
      </c>
      <c r="C147" t="s">
        <v>20</v>
      </c>
    </row>
    <row r="148" spans="1:3" x14ac:dyDescent="0.35">
      <c r="A148" t="s">
        <v>62</v>
      </c>
      <c r="B148" s="5">
        <v>46185</v>
      </c>
      <c r="C148" t="s">
        <v>20</v>
      </c>
    </row>
    <row r="149" spans="1:3" x14ac:dyDescent="0.35">
      <c r="A149" t="s">
        <v>62</v>
      </c>
      <c r="B149" s="5">
        <v>46186</v>
      </c>
      <c r="C149" t="s">
        <v>20</v>
      </c>
    </row>
    <row r="150" spans="1:3" x14ac:dyDescent="0.35">
      <c r="A150" t="s">
        <v>62</v>
      </c>
      <c r="B150" s="5">
        <v>46187</v>
      </c>
      <c r="C150" t="s">
        <v>20</v>
      </c>
    </row>
    <row r="151" spans="1:3" x14ac:dyDescent="0.35">
      <c r="A151" t="s">
        <v>62</v>
      </c>
      <c r="B151" s="5">
        <v>46188</v>
      </c>
      <c r="C151" t="s">
        <v>21</v>
      </c>
    </row>
    <row r="152" spans="1:3" x14ac:dyDescent="0.35">
      <c r="A152" t="s">
        <v>62</v>
      </c>
      <c r="B152" s="5">
        <v>46189</v>
      </c>
      <c r="C152" t="s">
        <v>21</v>
      </c>
    </row>
    <row r="153" spans="1:3" x14ac:dyDescent="0.35">
      <c r="A153" t="s">
        <v>62</v>
      </c>
      <c r="B153" s="5">
        <v>46190</v>
      </c>
      <c r="C153" t="s">
        <v>21</v>
      </c>
    </row>
    <row r="154" spans="1:3" x14ac:dyDescent="0.35">
      <c r="A154" t="s">
        <v>62</v>
      </c>
      <c r="B154" s="5">
        <v>46191</v>
      </c>
      <c r="C154" t="s">
        <v>21</v>
      </c>
    </row>
    <row r="155" spans="1:3" x14ac:dyDescent="0.35">
      <c r="A155" t="s">
        <v>62</v>
      </c>
      <c r="B155" s="5">
        <v>46192</v>
      </c>
      <c r="C155" t="s">
        <v>21</v>
      </c>
    </row>
    <row r="156" spans="1:3" x14ac:dyDescent="0.35">
      <c r="A156" t="s">
        <v>62</v>
      </c>
      <c r="B156" s="5">
        <v>46193</v>
      </c>
      <c r="C156" t="s">
        <v>21</v>
      </c>
    </row>
    <row r="157" spans="1:3" x14ac:dyDescent="0.35">
      <c r="A157" t="s">
        <v>62</v>
      </c>
      <c r="B157" s="5">
        <v>46194</v>
      </c>
      <c r="C157" t="s">
        <v>21</v>
      </c>
    </row>
    <row r="158" spans="1:3" x14ac:dyDescent="0.35">
      <c r="A158" t="s">
        <v>62</v>
      </c>
      <c r="B158" s="5">
        <v>46195</v>
      </c>
      <c r="C158" t="s">
        <v>21</v>
      </c>
    </row>
    <row r="159" spans="1:3" x14ac:dyDescent="0.35">
      <c r="A159" t="s">
        <v>62</v>
      </c>
      <c r="B159" s="5">
        <v>46196</v>
      </c>
      <c r="C159" t="s">
        <v>21</v>
      </c>
    </row>
    <row r="160" spans="1:3" x14ac:dyDescent="0.35">
      <c r="A160" t="s">
        <v>62</v>
      </c>
      <c r="B160" s="5">
        <v>46197</v>
      </c>
      <c r="C160" t="s">
        <v>21</v>
      </c>
    </row>
    <row r="161" spans="1:3" x14ac:dyDescent="0.35">
      <c r="A161" t="s">
        <v>62</v>
      </c>
      <c r="B161" s="5">
        <v>46198</v>
      </c>
      <c r="C161" t="s">
        <v>21</v>
      </c>
    </row>
    <row r="162" spans="1:3" x14ac:dyDescent="0.35">
      <c r="A162" t="s">
        <v>62</v>
      </c>
      <c r="B162" s="5">
        <v>46199</v>
      </c>
      <c r="C162" t="s">
        <v>21</v>
      </c>
    </row>
    <row r="163" spans="1:3" x14ac:dyDescent="0.35">
      <c r="A163" t="s">
        <v>62</v>
      </c>
      <c r="B163" s="5">
        <v>46200</v>
      </c>
      <c r="C163" t="s">
        <v>21</v>
      </c>
    </row>
    <row r="164" spans="1:3" x14ac:dyDescent="0.35">
      <c r="A164" t="s">
        <v>62</v>
      </c>
      <c r="B164" s="5">
        <v>46201</v>
      </c>
      <c r="C164" t="s">
        <v>21</v>
      </c>
    </row>
    <row r="165" spans="1:3" x14ac:dyDescent="0.35">
      <c r="A165" t="s">
        <v>62</v>
      </c>
      <c r="B165" s="5">
        <v>46205</v>
      </c>
      <c r="C165" t="s">
        <v>20</v>
      </c>
    </row>
    <row r="166" spans="1:3" x14ac:dyDescent="0.35">
      <c r="A166" t="s">
        <v>62</v>
      </c>
      <c r="B166" s="5">
        <v>46206</v>
      </c>
      <c r="C166" t="s">
        <v>20</v>
      </c>
    </row>
    <row r="167" spans="1:3" x14ac:dyDescent="0.35">
      <c r="A167" t="s">
        <v>62</v>
      </c>
      <c r="B167" s="5">
        <v>46207</v>
      </c>
      <c r="C167" t="s">
        <v>20</v>
      </c>
    </row>
    <row r="168" spans="1:3" x14ac:dyDescent="0.35">
      <c r="A168" t="s">
        <v>62</v>
      </c>
      <c r="B168" s="5">
        <v>46208</v>
      </c>
      <c r="C168" t="s">
        <v>20</v>
      </c>
    </row>
    <row r="169" spans="1:3" x14ac:dyDescent="0.35">
      <c r="A169" t="s">
        <v>62</v>
      </c>
      <c r="B169" s="5">
        <v>46209</v>
      </c>
      <c r="C169" t="s">
        <v>20</v>
      </c>
    </row>
    <row r="170" spans="1:3" x14ac:dyDescent="0.35">
      <c r="A170" t="s">
        <v>62</v>
      </c>
      <c r="B170" s="5">
        <v>46210</v>
      </c>
      <c r="C170" t="s">
        <v>20</v>
      </c>
    </row>
    <row r="171" spans="1:3" x14ac:dyDescent="0.35">
      <c r="A171" t="s">
        <v>62</v>
      </c>
      <c r="B171" s="5">
        <v>46211</v>
      </c>
      <c r="C171" t="s">
        <v>20</v>
      </c>
    </row>
    <row r="172" spans="1:3" x14ac:dyDescent="0.35">
      <c r="A172" t="s">
        <v>62</v>
      </c>
      <c r="B172" s="5">
        <v>46212</v>
      </c>
      <c r="C172" t="s">
        <v>20</v>
      </c>
    </row>
    <row r="173" spans="1:3" x14ac:dyDescent="0.35">
      <c r="A173" t="s">
        <v>62</v>
      </c>
      <c r="B173" s="5">
        <v>46213</v>
      </c>
      <c r="C173" t="s">
        <v>20</v>
      </c>
    </row>
    <row r="174" spans="1:3" x14ac:dyDescent="0.35">
      <c r="A174" t="s">
        <v>62</v>
      </c>
      <c r="B174" s="5">
        <v>46214</v>
      </c>
      <c r="C174" t="s">
        <v>20</v>
      </c>
    </row>
    <row r="175" spans="1:3" x14ac:dyDescent="0.35">
      <c r="A175" t="s">
        <v>62</v>
      </c>
      <c r="B175" s="5">
        <v>46215</v>
      </c>
      <c r="C175" t="s">
        <v>20</v>
      </c>
    </row>
    <row r="176" spans="1:3" x14ac:dyDescent="0.35">
      <c r="A176" t="s">
        <v>62</v>
      </c>
      <c r="B176" s="5">
        <v>46216</v>
      </c>
      <c r="C176" t="s">
        <v>21</v>
      </c>
    </row>
    <row r="177" spans="1:3" x14ac:dyDescent="0.35">
      <c r="A177" t="s">
        <v>62</v>
      </c>
      <c r="B177" s="5">
        <v>46217</v>
      </c>
      <c r="C177" t="s">
        <v>21</v>
      </c>
    </row>
    <row r="178" spans="1:3" x14ac:dyDescent="0.35">
      <c r="A178" t="s">
        <v>62</v>
      </c>
      <c r="B178" s="5">
        <v>46218</v>
      </c>
      <c r="C178" t="s">
        <v>21</v>
      </c>
    </row>
    <row r="179" spans="1:3" x14ac:dyDescent="0.35">
      <c r="A179" t="s">
        <v>62</v>
      </c>
      <c r="B179" s="5">
        <v>46219</v>
      </c>
      <c r="C179" t="s">
        <v>21</v>
      </c>
    </row>
    <row r="180" spans="1:3" x14ac:dyDescent="0.35">
      <c r="A180" t="s">
        <v>62</v>
      </c>
      <c r="B180" s="5">
        <v>46220</v>
      </c>
      <c r="C180" t="s">
        <v>21</v>
      </c>
    </row>
    <row r="181" spans="1:3" x14ac:dyDescent="0.35">
      <c r="A181" t="s">
        <v>62</v>
      </c>
      <c r="B181" s="5">
        <v>46221</v>
      </c>
      <c r="C181" t="s">
        <v>21</v>
      </c>
    </row>
    <row r="182" spans="1:3" x14ac:dyDescent="0.35">
      <c r="A182" t="s">
        <v>62</v>
      </c>
      <c r="B182" s="5">
        <v>46222</v>
      </c>
      <c r="C182" t="s">
        <v>21</v>
      </c>
    </row>
    <row r="183" spans="1:3" x14ac:dyDescent="0.35">
      <c r="A183" t="s">
        <v>62</v>
      </c>
      <c r="B183" s="5">
        <v>46223</v>
      </c>
      <c r="C183" t="s">
        <v>21</v>
      </c>
    </row>
    <row r="184" spans="1:3" x14ac:dyDescent="0.35">
      <c r="A184" t="s">
        <v>62</v>
      </c>
      <c r="B184" s="5">
        <v>46224</v>
      </c>
      <c r="C184" t="s">
        <v>21</v>
      </c>
    </row>
    <row r="185" spans="1:3" x14ac:dyDescent="0.35">
      <c r="A185" t="s">
        <v>62</v>
      </c>
      <c r="B185" s="5">
        <v>46225</v>
      </c>
      <c r="C185" t="s">
        <v>21</v>
      </c>
    </row>
    <row r="186" spans="1:3" x14ac:dyDescent="0.35">
      <c r="A186" t="s">
        <v>62</v>
      </c>
      <c r="B186" s="5">
        <v>46226</v>
      </c>
      <c r="C186" t="s">
        <v>21</v>
      </c>
    </row>
    <row r="187" spans="1:3" x14ac:dyDescent="0.35">
      <c r="A187" t="s">
        <v>62</v>
      </c>
      <c r="B187" s="5">
        <v>46227</v>
      </c>
      <c r="C187" t="s">
        <v>21</v>
      </c>
    </row>
    <row r="188" spans="1:3" x14ac:dyDescent="0.35">
      <c r="A188" t="s">
        <v>62</v>
      </c>
      <c r="B188" s="5">
        <v>46228</v>
      </c>
      <c r="C188" t="s">
        <v>21</v>
      </c>
    </row>
    <row r="189" spans="1:3" x14ac:dyDescent="0.35">
      <c r="A189" t="s">
        <v>62</v>
      </c>
      <c r="B189" s="5">
        <v>46229</v>
      </c>
      <c r="C189" t="s">
        <v>21</v>
      </c>
    </row>
    <row r="190" spans="1:3" x14ac:dyDescent="0.35">
      <c r="A190" t="s">
        <v>62</v>
      </c>
      <c r="B190" s="5">
        <v>46230</v>
      </c>
      <c r="C190" t="s">
        <v>21</v>
      </c>
    </row>
    <row r="191" spans="1:3" x14ac:dyDescent="0.35">
      <c r="A191" t="s">
        <v>62</v>
      </c>
      <c r="B191" s="5">
        <v>46231</v>
      </c>
      <c r="C191" t="s">
        <v>21</v>
      </c>
    </row>
    <row r="192" spans="1:3" x14ac:dyDescent="0.35">
      <c r="A192" t="s">
        <v>62</v>
      </c>
      <c r="B192" s="5">
        <v>46232</v>
      </c>
      <c r="C192" t="s">
        <v>21</v>
      </c>
    </row>
    <row r="193" spans="1:3" x14ac:dyDescent="0.35">
      <c r="A193" t="s">
        <v>62</v>
      </c>
      <c r="B193" s="5">
        <v>46233</v>
      </c>
      <c r="C193" t="s">
        <v>21</v>
      </c>
    </row>
    <row r="194" spans="1:3" x14ac:dyDescent="0.35">
      <c r="A194" t="s">
        <v>62</v>
      </c>
      <c r="B194" s="5">
        <v>46234</v>
      </c>
      <c r="C194" t="s">
        <v>21</v>
      </c>
    </row>
    <row r="195" spans="1:3" x14ac:dyDescent="0.35">
      <c r="A195" t="s">
        <v>62</v>
      </c>
      <c r="B195" s="5">
        <v>46237</v>
      </c>
      <c r="C195" t="s">
        <v>20</v>
      </c>
    </row>
    <row r="196" spans="1:3" x14ac:dyDescent="0.35">
      <c r="A196" t="s">
        <v>62</v>
      </c>
      <c r="B196" s="5">
        <v>46238</v>
      </c>
      <c r="C196" t="s">
        <v>20</v>
      </c>
    </row>
    <row r="197" spans="1:3" x14ac:dyDescent="0.35">
      <c r="A197" t="s">
        <v>62</v>
      </c>
      <c r="B197" s="5">
        <v>46239</v>
      </c>
      <c r="C197" t="s">
        <v>20</v>
      </c>
    </row>
    <row r="198" spans="1:3" x14ac:dyDescent="0.35">
      <c r="A198" t="s">
        <v>62</v>
      </c>
      <c r="B198" s="5">
        <v>46240</v>
      </c>
      <c r="C198" t="s">
        <v>20</v>
      </c>
    </row>
    <row r="199" spans="1:3" x14ac:dyDescent="0.35">
      <c r="A199" t="s">
        <v>62</v>
      </c>
      <c r="B199" s="5">
        <v>46241</v>
      </c>
      <c r="C199" t="s">
        <v>20</v>
      </c>
    </row>
    <row r="200" spans="1:3" x14ac:dyDescent="0.35">
      <c r="A200" t="s">
        <v>62</v>
      </c>
      <c r="B200" s="5">
        <v>46242</v>
      </c>
      <c r="C200" t="s">
        <v>20</v>
      </c>
    </row>
    <row r="201" spans="1:3" x14ac:dyDescent="0.35">
      <c r="A201" t="s">
        <v>62</v>
      </c>
      <c r="B201" s="5">
        <v>46243</v>
      </c>
      <c r="C201" t="s">
        <v>20</v>
      </c>
    </row>
    <row r="202" spans="1:3" x14ac:dyDescent="0.35">
      <c r="A202" t="s">
        <v>62</v>
      </c>
      <c r="B202" s="5">
        <v>46244</v>
      </c>
      <c r="C202" t="s">
        <v>20</v>
      </c>
    </row>
    <row r="203" spans="1:3" x14ac:dyDescent="0.35">
      <c r="A203" t="s">
        <v>62</v>
      </c>
      <c r="B203" s="5">
        <v>46245</v>
      </c>
      <c r="C203" t="s">
        <v>20</v>
      </c>
    </row>
    <row r="204" spans="1:3" x14ac:dyDescent="0.35">
      <c r="A204" t="s">
        <v>62</v>
      </c>
      <c r="B204" s="5">
        <v>46246</v>
      </c>
      <c r="C204" t="s">
        <v>20</v>
      </c>
    </row>
    <row r="205" spans="1:3" x14ac:dyDescent="0.35">
      <c r="A205" t="s">
        <v>62</v>
      </c>
      <c r="B205" s="5">
        <v>46247</v>
      </c>
      <c r="C205" t="s">
        <v>20</v>
      </c>
    </row>
    <row r="206" spans="1:3" x14ac:dyDescent="0.35">
      <c r="A206" t="s">
        <v>62</v>
      </c>
      <c r="B206" s="5">
        <v>46248</v>
      </c>
      <c r="C206" t="s">
        <v>20</v>
      </c>
    </row>
    <row r="207" spans="1:3" x14ac:dyDescent="0.35">
      <c r="A207" t="s">
        <v>62</v>
      </c>
      <c r="B207" s="5">
        <v>46249</v>
      </c>
      <c r="C207" t="s">
        <v>20</v>
      </c>
    </row>
    <row r="208" spans="1:3" x14ac:dyDescent="0.35">
      <c r="A208" t="s">
        <v>62</v>
      </c>
      <c r="B208" s="5">
        <v>46250</v>
      </c>
      <c r="C208" t="s">
        <v>20</v>
      </c>
    </row>
    <row r="209" spans="1:3" x14ac:dyDescent="0.35">
      <c r="A209" t="s">
        <v>62</v>
      </c>
      <c r="B209" s="5">
        <v>46251</v>
      </c>
      <c r="C209" t="s">
        <v>21</v>
      </c>
    </row>
    <row r="210" spans="1:3" x14ac:dyDescent="0.35">
      <c r="A210" t="s">
        <v>62</v>
      </c>
      <c r="B210" s="5">
        <v>46252</v>
      </c>
      <c r="C210" t="s">
        <v>21</v>
      </c>
    </row>
    <row r="211" spans="1:3" x14ac:dyDescent="0.35">
      <c r="A211" t="s">
        <v>62</v>
      </c>
      <c r="B211" s="5">
        <v>46253</v>
      </c>
      <c r="C211" t="s">
        <v>21</v>
      </c>
    </row>
    <row r="212" spans="1:3" x14ac:dyDescent="0.35">
      <c r="A212" t="s">
        <v>62</v>
      </c>
      <c r="B212" s="5">
        <v>46254</v>
      </c>
      <c r="C212" t="s">
        <v>21</v>
      </c>
    </row>
    <row r="213" spans="1:3" x14ac:dyDescent="0.35">
      <c r="A213" t="s">
        <v>62</v>
      </c>
      <c r="B213" s="5">
        <v>46255</v>
      </c>
      <c r="C213" t="s">
        <v>21</v>
      </c>
    </row>
    <row r="214" spans="1:3" x14ac:dyDescent="0.35">
      <c r="A214" t="s">
        <v>62</v>
      </c>
      <c r="B214" s="5">
        <v>46256</v>
      </c>
      <c r="C214" t="s">
        <v>21</v>
      </c>
    </row>
    <row r="215" spans="1:3" x14ac:dyDescent="0.35">
      <c r="A215" t="s">
        <v>62</v>
      </c>
      <c r="B215" s="5">
        <v>46257</v>
      </c>
      <c r="C215" t="s">
        <v>21</v>
      </c>
    </row>
    <row r="216" spans="1:3" x14ac:dyDescent="0.35">
      <c r="A216" t="s">
        <v>62</v>
      </c>
      <c r="B216" s="5">
        <v>46258</v>
      </c>
      <c r="C216" t="s">
        <v>21</v>
      </c>
    </row>
    <row r="217" spans="1:3" x14ac:dyDescent="0.35">
      <c r="A217" t="s">
        <v>62</v>
      </c>
      <c r="B217" s="5">
        <v>46259</v>
      </c>
      <c r="C217" t="s">
        <v>21</v>
      </c>
    </row>
    <row r="218" spans="1:3" x14ac:dyDescent="0.35">
      <c r="A218" t="s">
        <v>62</v>
      </c>
      <c r="B218" s="5">
        <v>46260</v>
      </c>
      <c r="C218" t="s">
        <v>21</v>
      </c>
    </row>
    <row r="219" spans="1:3" x14ac:dyDescent="0.35">
      <c r="A219" t="s">
        <v>62</v>
      </c>
      <c r="B219" s="5">
        <v>46261</v>
      </c>
      <c r="C219" t="s">
        <v>21</v>
      </c>
    </row>
    <row r="220" spans="1:3" x14ac:dyDescent="0.35">
      <c r="A220" t="s">
        <v>62</v>
      </c>
      <c r="B220" s="5">
        <v>46262</v>
      </c>
      <c r="C220" t="s">
        <v>21</v>
      </c>
    </row>
    <row r="221" spans="1:3" x14ac:dyDescent="0.35">
      <c r="A221" t="s">
        <v>62</v>
      </c>
      <c r="B221" s="5">
        <v>46263</v>
      </c>
      <c r="C221" t="s">
        <v>21</v>
      </c>
    </row>
    <row r="222" spans="1:3" x14ac:dyDescent="0.35">
      <c r="A222" t="s">
        <v>62</v>
      </c>
      <c r="B222" s="5">
        <v>46264</v>
      </c>
      <c r="C222" t="s">
        <v>21</v>
      </c>
    </row>
    <row r="223" spans="1:3" x14ac:dyDescent="0.35">
      <c r="A223" t="s">
        <v>62</v>
      </c>
      <c r="B223" s="5">
        <v>46265</v>
      </c>
      <c r="C223" t="s">
        <v>21</v>
      </c>
    </row>
    <row r="224" spans="1:3" x14ac:dyDescent="0.35">
      <c r="A224" t="s">
        <v>62</v>
      </c>
      <c r="B224" s="3">
        <v>46266</v>
      </c>
      <c r="C224" s="2" t="s">
        <v>20</v>
      </c>
    </row>
    <row r="225" spans="1:3" x14ac:dyDescent="0.35">
      <c r="A225" t="s">
        <v>62</v>
      </c>
      <c r="B225" s="3">
        <v>46267</v>
      </c>
      <c r="C225" s="2" t="s">
        <v>20</v>
      </c>
    </row>
    <row r="226" spans="1:3" x14ac:dyDescent="0.35">
      <c r="A226" t="s">
        <v>62</v>
      </c>
      <c r="B226" s="3">
        <v>46268</v>
      </c>
      <c r="C226" s="2" t="s">
        <v>20</v>
      </c>
    </row>
    <row r="227" spans="1:3" x14ac:dyDescent="0.35">
      <c r="A227" t="s">
        <v>62</v>
      </c>
      <c r="B227" s="3">
        <v>46269</v>
      </c>
      <c r="C227" s="2" t="s">
        <v>20</v>
      </c>
    </row>
    <row r="228" spans="1:3" x14ac:dyDescent="0.35">
      <c r="A228" t="s">
        <v>62</v>
      </c>
      <c r="B228" s="3">
        <v>46270</v>
      </c>
      <c r="C228" s="2" t="s">
        <v>20</v>
      </c>
    </row>
    <row r="229" spans="1:3" x14ac:dyDescent="0.35">
      <c r="A229" t="s">
        <v>62</v>
      </c>
      <c r="B229" s="3">
        <v>46271</v>
      </c>
      <c r="C229" s="2" t="s">
        <v>20</v>
      </c>
    </row>
    <row r="230" spans="1:3" x14ac:dyDescent="0.35">
      <c r="A230" t="s">
        <v>62</v>
      </c>
      <c r="B230" s="3">
        <v>46272</v>
      </c>
      <c r="C230" s="2" t="s">
        <v>20</v>
      </c>
    </row>
    <row r="231" spans="1:3" x14ac:dyDescent="0.35">
      <c r="A231" t="s">
        <v>62</v>
      </c>
      <c r="B231" s="3">
        <v>46273</v>
      </c>
      <c r="C231" s="2" t="s">
        <v>20</v>
      </c>
    </row>
    <row r="232" spans="1:3" x14ac:dyDescent="0.35">
      <c r="A232" t="s">
        <v>62</v>
      </c>
      <c r="B232" s="3">
        <v>46274</v>
      </c>
      <c r="C232" s="2" t="s">
        <v>20</v>
      </c>
    </row>
    <row r="233" spans="1:3" x14ac:dyDescent="0.35">
      <c r="A233" t="s">
        <v>62</v>
      </c>
      <c r="B233" s="3">
        <v>46275</v>
      </c>
      <c r="C233" s="2" t="s">
        <v>20</v>
      </c>
    </row>
    <row r="234" spans="1:3" x14ac:dyDescent="0.35">
      <c r="A234" t="s">
        <v>62</v>
      </c>
      <c r="B234" s="3">
        <v>46276</v>
      </c>
      <c r="C234" s="2" t="s">
        <v>20</v>
      </c>
    </row>
    <row r="235" spans="1:3" x14ac:dyDescent="0.35">
      <c r="A235" t="s">
        <v>62</v>
      </c>
      <c r="B235" s="3">
        <v>46277</v>
      </c>
      <c r="C235" s="2" t="s">
        <v>20</v>
      </c>
    </row>
    <row r="236" spans="1:3" x14ac:dyDescent="0.35">
      <c r="A236" t="s">
        <v>62</v>
      </c>
      <c r="B236" s="3">
        <v>46278</v>
      </c>
      <c r="C236" s="2" t="s">
        <v>20</v>
      </c>
    </row>
    <row r="237" spans="1:3" x14ac:dyDescent="0.35">
      <c r="A237" t="s">
        <v>62</v>
      </c>
      <c r="B237" s="3">
        <v>46279</v>
      </c>
      <c r="C237" s="2" t="s">
        <v>21</v>
      </c>
    </row>
    <row r="238" spans="1:3" x14ac:dyDescent="0.35">
      <c r="A238" t="s">
        <v>62</v>
      </c>
      <c r="B238" s="3">
        <v>46280</v>
      </c>
      <c r="C238" s="2" t="s">
        <v>21</v>
      </c>
    </row>
    <row r="239" spans="1:3" x14ac:dyDescent="0.35">
      <c r="A239" t="s">
        <v>62</v>
      </c>
      <c r="B239" s="3">
        <v>46281</v>
      </c>
      <c r="C239" s="2" t="s">
        <v>21</v>
      </c>
    </row>
    <row r="240" spans="1:3" x14ac:dyDescent="0.35">
      <c r="A240" t="s">
        <v>62</v>
      </c>
      <c r="B240" s="3">
        <v>46282</v>
      </c>
      <c r="C240" s="2" t="s">
        <v>21</v>
      </c>
    </row>
    <row r="241" spans="1:3" x14ac:dyDescent="0.35">
      <c r="A241" t="s">
        <v>62</v>
      </c>
      <c r="B241" s="3">
        <v>46283</v>
      </c>
      <c r="C241" s="2" t="s">
        <v>21</v>
      </c>
    </row>
    <row r="242" spans="1:3" x14ac:dyDescent="0.35">
      <c r="A242" t="s">
        <v>62</v>
      </c>
      <c r="B242" s="3">
        <v>46284</v>
      </c>
      <c r="C242" s="2" t="s">
        <v>21</v>
      </c>
    </row>
    <row r="243" spans="1:3" x14ac:dyDescent="0.35">
      <c r="A243" t="s">
        <v>62</v>
      </c>
      <c r="B243" s="3">
        <v>46285</v>
      </c>
      <c r="C243" s="2" t="s">
        <v>21</v>
      </c>
    </row>
    <row r="244" spans="1:3" x14ac:dyDescent="0.35">
      <c r="A244" t="s">
        <v>62</v>
      </c>
      <c r="B244" s="3">
        <v>46286</v>
      </c>
      <c r="C244" s="2" t="s">
        <v>21</v>
      </c>
    </row>
    <row r="245" spans="1:3" x14ac:dyDescent="0.35">
      <c r="A245" t="s">
        <v>62</v>
      </c>
      <c r="B245" s="3">
        <v>46287</v>
      </c>
      <c r="C245" s="2" t="s">
        <v>21</v>
      </c>
    </row>
    <row r="246" spans="1:3" x14ac:dyDescent="0.35">
      <c r="A246" t="s">
        <v>62</v>
      </c>
      <c r="B246" s="3">
        <v>46288</v>
      </c>
      <c r="C246" s="2" t="s">
        <v>21</v>
      </c>
    </row>
    <row r="247" spans="1:3" x14ac:dyDescent="0.35">
      <c r="A247" t="s">
        <v>62</v>
      </c>
      <c r="B247" s="3">
        <v>46289</v>
      </c>
      <c r="C247" s="2" t="s">
        <v>21</v>
      </c>
    </row>
    <row r="248" spans="1:3" x14ac:dyDescent="0.35">
      <c r="A248" t="s">
        <v>62</v>
      </c>
      <c r="B248" s="3">
        <v>46290</v>
      </c>
      <c r="C248" s="2" t="s">
        <v>21</v>
      </c>
    </row>
    <row r="249" spans="1:3" x14ac:dyDescent="0.35">
      <c r="A249" t="s">
        <v>62</v>
      </c>
      <c r="B249" s="3">
        <v>46291</v>
      </c>
      <c r="C249" s="2" t="s">
        <v>21</v>
      </c>
    </row>
    <row r="250" spans="1:3" x14ac:dyDescent="0.35">
      <c r="A250" t="s">
        <v>62</v>
      </c>
      <c r="B250" s="3">
        <v>46292</v>
      </c>
      <c r="C250" s="2" t="s">
        <v>21</v>
      </c>
    </row>
    <row r="251" spans="1:3" x14ac:dyDescent="0.35">
      <c r="A251" t="s">
        <v>62</v>
      </c>
      <c r="B251" s="3">
        <v>46296</v>
      </c>
      <c r="C251" s="2" t="s">
        <v>20</v>
      </c>
    </row>
    <row r="252" spans="1:3" x14ac:dyDescent="0.35">
      <c r="A252" t="s">
        <v>62</v>
      </c>
      <c r="B252" s="3">
        <v>46297</v>
      </c>
      <c r="C252" s="2" t="s">
        <v>20</v>
      </c>
    </row>
    <row r="253" spans="1:3" x14ac:dyDescent="0.35">
      <c r="A253" t="s">
        <v>62</v>
      </c>
      <c r="B253" s="3">
        <v>46298</v>
      </c>
      <c r="C253" s="2" t="s">
        <v>20</v>
      </c>
    </row>
    <row r="254" spans="1:3" x14ac:dyDescent="0.35">
      <c r="A254" t="s">
        <v>62</v>
      </c>
      <c r="B254" s="3">
        <v>46299</v>
      </c>
      <c r="C254" s="2" t="s">
        <v>20</v>
      </c>
    </row>
    <row r="255" spans="1:3" x14ac:dyDescent="0.35">
      <c r="A255" t="s">
        <v>62</v>
      </c>
      <c r="B255" s="3">
        <v>46300</v>
      </c>
      <c r="C255" s="2" t="s">
        <v>20</v>
      </c>
    </row>
    <row r="256" spans="1:3" x14ac:dyDescent="0.35">
      <c r="A256" t="s">
        <v>62</v>
      </c>
      <c r="B256" s="3">
        <v>46301</v>
      </c>
      <c r="C256" s="2" t="s">
        <v>20</v>
      </c>
    </row>
    <row r="257" spans="1:3" x14ac:dyDescent="0.35">
      <c r="A257" t="s">
        <v>62</v>
      </c>
      <c r="B257" s="3">
        <v>46302</v>
      </c>
      <c r="C257" s="2" t="s">
        <v>20</v>
      </c>
    </row>
    <row r="258" spans="1:3" x14ac:dyDescent="0.35">
      <c r="A258" t="s">
        <v>62</v>
      </c>
      <c r="B258" s="3">
        <v>46303</v>
      </c>
      <c r="C258" s="2" t="s">
        <v>20</v>
      </c>
    </row>
    <row r="259" spans="1:3" x14ac:dyDescent="0.35">
      <c r="A259" t="s">
        <v>62</v>
      </c>
      <c r="B259" s="3">
        <v>46304</v>
      </c>
      <c r="C259" s="2" t="s">
        <v>20</v>
      </c>
    </row>
    <row r="260" spans="1:3" x14ac:dyDescent="0.35">
      <c r="A260" t="s">
        <v>62</v>
      </c>
      <c r="B260" s="3">
        <v>46305</v>
      </c>
      <c r="C260" s="2" t="s">
        <v>20</v>
      </c>
    </row>
    <row r="261" spans="1:3" x14ac:dyDescent="0.35">
      <c r="A261" t="s">
        <v>62</v>
      </c>
      <c r="B261" s="3">
        <v>46306</v>
      </c>
      <c r="C261" s="2" t="s">
        <v>20</v>
      </c>
    </row>
    <row r="262" spans="1:3" x14ac:dyDescent="0.35">
      <c r="A262" t="s">
        <v>62</v>
      </c>
      <c r="B262" s="3">
        <v>46307</v>
      </c>
      <c r="C262" s="2" t="s">
        <v>20</v>
      </c>
    </row>
    <row r="263" spans="1:3" x14ac:dyDescent="0.35">
      <c r="A263" t="s">
        <v>62</v>
      </c>
      <c r="B263" s="3">
        <v>46308</v>
      </c>
      <c r="C263" s="2" t="s">
        <v>21</v>
      </c>
    </row>
    <row r="264" spans="1:3" x14ac:dyDescent="0.35">
      <c r="A264" t="s">
        <v>62</v>
      </c>
      <c r="B264" s="3">
        <v>46309</v>
      </c>
      <c r="C264" s="2" t="s">
        <v>21</v>
      </c>
    </row>
    <row r="265" spans="1:3" x14ac:dyDescent="0.35">
      <c r="A265" t="s">
        <v>62</v>
      </c>
      <c r="B265" s="3">
        <v>46310</v>
      </c>
      <c r="C265" s="2" t="s">
        <v>21</v>
      </c>
    </row>
    <row r="266" spans="1:3" x14ac:dyDescent="0.35">
      <c r="A266" t="s">
        <v>62</v>
      </c>
      <c r="B266" s="3">
        <v>46311</v>
      </c>
      <c r="C266" s="2" t="s">
        <v>21</v>
      </c>
    </row>
    <row r="267" spans="1:3" x14ac:dyDescent="0.35">
      <c r="A267" t="s">
        <v>62</v>
      </c>
      <c r="B267" s="3">
        <v>46312</v>
      </c>
      <c r="C267" s="2" t="s">
        <v>21</v>
      </c>
    </row>
    <row r="268" spans="1:3" x14ac:dyDescent="0.35">
      <c r="A268" t="s">
        <v>62</v>
      </c>
      <c r="B268" s="3">
        <v>46313</v>
      </c>
      <c r="C268" s="2" t="s">
        <v>21</v>
      </c>
    </row>
    <row r="269" spans="1:3" x14ac:dyDescent="0.35">
      <c r="A269" t="s">
        <v>62</v>
      </c>
      <c r="B269" s="3">
        <v>46314</v>
      </c>
      <c r="C269" s="2" t="s">
        <v>21</v>
      </c>
    </row>
    <row r="270" spans="1:3" x14ac:dyDescent="0.35">
      <c r="A270" t="s">
        <v>62</v>
      </c>
      <c r="B270" s="3">
        <v>46315</v>
      </c>
      <c r="C270" s="2" t="s">
        <v>21</v>
      </c>
    </row>
    <row r="271" spans="1:3" x14ac:dyDescent="0.35">
      <c r="A271" t="s">
        <v>62</v>
      </c>
      <c r="B271" s="3">
        <v>46316</v>
      </c>
      <c r="C271" s="2" t="s">
        <v>21</v>
      </c>
    </row>
    <row r="272" spans="1:3" x14ac:dyDescent="0.35">
      <c r="A272" t="s">
        <v>62</v>
      </c>
      <c r="B272" s="3">
        <v>46317</v>
      </c>
      <c r="C272" s="2" t="s">
        <v>21</v>
      </c>
    </row>
    <row r="273" spans="1:3" x14ac:dyDescent="0.35">
      <c r="A273" t="s">
        <v>62</v>
      </c>
      <c r="B273" s="3">
        <v>46318</v>
      </c>
      <c r="C273" s="2" t="s">
        <v>21</v>
      </c>
    </row>
    <row r="274" spans="1:3" x14ac:dyDescent="0.35">
      <c r="A274" t="s">
        <v>62</v>
      </c>
      <c r="B274" s="3">
        <v>46319</v>
      </c>
      <c r="C274" s="2" t="s">
        <v>21</v>
      </c>
    </row>
    <row r="275" spans="1:3" x14ac:dyDescent="0.35">
      <c r="A275" t="s">
        <v>62</v>
      </c>
      <c r="B275" s="3">
        <v>46320</v>
      </c>
      <c r="C275" s="2" t="s">
        <v>21</v>
      </c>
    </row>
    <row r="328" spans="1:3" x14ac:dyDescent="0.35">
      <c r="A328" t="s">
        <v>104</v>
      </c>
      <c r="B328" s="3">
        <v>46174</v>
      </c>
      <c r="C328" t="s">
        <v>20</v>
      </c>
    </row>
    <row r="329" spans="1:3" x14ac:dyDescent="0.35">
      <c r="A329" t="s">
        <v>104</v>
      </c>
      <c r="B329" s="5">
        <v>46175</v>
      </c>
      <c r="C329" t="s">
        <v>20</v>
      </c>
    </row>
    <row r="330" spans="1:3" x14ac:dyDescent="0.35">
      <c r="A330" t="s">
        <v>104</v>
      </c>
      <c r="B330" s="5">
        <v>46176</v>
      </c>
      <c r="C330" t="s">
        <v>20</v>
      </c>
    </row>
    <row r="331" spans="1:3" x14ac:dyDescent="0.35">
      <c r="A331" t="s">
        <v>104</v>
      </c>
      <c r="B331" s="5">
        <v>46177</v>
      </c>
      <c r="C331" t="s">
        <v>20</v>
      </c>
    </row>
    <row r="332" spans="1:3" x14ac:dyDescent="0.35">
      <c r="A332" t="s">
        <v>104</v>
      </c>
      <c r="B332" s="5">
        <v>46178</v>
      </c>
      <c r="C332" t="s">
        <v>20</v>
      </c>
    </row>
    <row r="333" spans="1:3" x14ac:dyDescent="0.35">
      <c r="A333" t="s">
        <v>104</v>
      </c>
      <c r="B333" s="5">
        <v>46179</v>
      </c>
      <c r="C333" t="s">
        <v>20</v>
      </c>
    </row>
    <row r="334" spans="1:3" x14ac:dyDescent="0.35">
      <c r="A334" t="s">
        <v>104</v>
      </c>
      <c r="B334" s="5">
        <v>46180</v>
      </c>
      <c r="C334" t="s">
        <v>20</v>
      </c>
    </row>
    <row r="335" spans="1:3" x14ac:dyDescent="0.35">
      <c r="A335" t="s">
        <v>104</v>
      </c>
      <c r="B335" s="5">
        <v>46181</v>
      </c>
      <c r="C335" t="s">
        <v>20</v>
      </c>
    </row>
    <row r="336" spans="1:3" x14ac:dyDescent="0.35">
      <c r="A336" t="s">
        <v>104</v>
      </c>
      <c r="B336" s="5">
        <v>46182</v>
      </c>
      <c r="C336" t="s">
        <v>20</v>
      </c>
    </row>
    <row r="337" spans="1:3" x14ac:dyDescent="0.35">
      <c r="A337" t="s">
        <v>104</v>
      </c>
      <c r="B337" s="5">
        <v>46183</v>
      </c>
      <c r="C337" t="s">
        <v>20</v>
      </c>
    </row>
    <row r="338" spans="1:3" x14ac:dyDescent="0.35">
      <c r="A338" t="s">
        <v>104</v>
      </c>
      <c r="B338" s="5">
        <v>46184</v>
      </c>
      <c r="C338" t="s">
        <v>20</v>
      </c>
    </row>
    <row r="339" spans="1:3" x14ac:dyDescent="0.35">
      <c r="A339" t="s">
        <v>104</v>
      </c>
      <c r="B339" s="5">
        <v>46185</v>
      </c>
      <c r="C339" t="s">
        <v>20</v>
      </c>
    </row>
    <row r="340" spans="1:3" x14ac:dyDescent="0.35">
      <c r="A340" t="s">
        <v>104</v>
      </c>
      <c r="B340" s="5">
        <v>46186</v>
      </c>
      <c r="C340" t="s">
        <v>20</v>
      </c>
    </row>
    <row r="341" spans="1:3" x14ac:dyDescent="0.35">
      <c r="A341" t="s">
        <v>104</v>
      </c>
      <c r="B341" s="5">
        <v>46187</v>
      </c>
      <c r="C341" t="s">
        <v>20</v>
      </c>
    </row>
    <row r="342" spans="1:3" x14ac:dyDescent="0.35">
      <c r="A342" t="s">
        <v>104</v>
      </c>
      <c r="B342" s="5">
        <v>46188</v>
      </c>
      <c r="C342" t="s">
        <v>21</v>
      </c>
    </row>
    <row r="343" spans="1:3" x14ac:dyDescent="0.35">
      <c r="A343" t="s">
        <v>104</v>
      </c>
      <c r="B343" s="5">
        <v>46189</v>
      </c>
      <c r="C343" t="s">
        <v>21</v>
      </c>
    </row>
    <row r="344" spans="1:3" x14ac:dyDescent="0.35">
      <c r="A344" t="s">
        <v>104</v>
      </c>
      <c r="B344" s="5">
        <v>46190</v>
      </c>
      <c r="C344" t="s">
        <v>21</v>
      </c>
    </row>
    <row r="345" spans="1:3" x14ac:dyDescent="0.35">
      <c r="A345" t="s">
        <v>104</v>
      </c>
      <c r="B345" s="5">
        <v>46191</v>
      </c>
      <c r="C345" t="s">
        <v>21</v>
      </c>
    </row>
    <row r="346" spans="1:3" x14ac:dyDescent="0.35">
      <c r="A346" t="s">
        <v>104</v>
      </c>
      <c r="B346" s="5">
        <v>46192</v>
      </c>
      <c r="C346" t="s">
        <v>21</v>
      </c>
    </row>
    <row r="347" spans="1:3" x14ac:dyDescent="0.35">
      <c r="A347" t="s">
        <v>104</v>
      </c>
      <c r="B347" s="5">
        <v>46193</v>
      </c>
      <c r="C347" t="s">
        <v>21</v>
      </c>
    </row>
    <row r="348" spans="1:3" x14ac:dyDescent="0.35">
      <c r="A348" t="s">
        <v>104</v>
      </c>
      <c r="B348" s="5">
        <v>46194</v>
      </c>
      <c r="C348" t="s">
        <v>21</v>
      </c>
    </row>
    <row r="349" spans="1:3" x14ac:dyDescent="0.35">
      <c r="A349" t="s">
        <v>104</v>
      </c>
      <c r="B349" s="5">
        <v>46195</v>
      </c>
      <c r="C349" t="s">
        <v>21</v>
      </c>
    </row>
    <row r="350" spans="1:3" x14ac:dyDescent="0.35">
      <c r="A350" t="s">
        <v>104</v>
      </c>
      <c r="B350" s="5">
        <v>46196</v>
      </c>
      <c r="C350" t="s">
        <v>21</v>
      </c>
    </row>
    <row r="351" spans="1:3" x14ac:dyDescent="0.35">
      <c r="A351" t="s">
        <v>104</v>
      </c>
      <c r="B351" s="5">
        <v>46197</v>
      </c>
      <c r="C351" t="s">
        <v>21</v>
      </c>
    </row>
    <row r="352" spans="1:3" x14ac:dyDescent="0.35">
      <c r="A352" t="s">
        <v>104</v>
      </c>
      <c r="B352" s="5">
        <v>46198</v>
      </c>
      <c r="C352" t="s">
        <v>21</v>
      </c>
    </row>
    <row r="353" spans="1:3" x14ac:dyDescent="0.35">
      <c r="A353" t="s">
        <v>104</v>
      </c>
      <c r="B353" s="5">
        <v>46199</v>
      </c>
      <c r="C353" t="s">
        <v>21</v>
      </c>
    </row>
    <row r="354" spans="1:3" x14ac:dyDescent="0.35">
      <c r="A354" t="s">
        <v>104</v>
      </c>
      <c r="B354" s="5">
        <v>46200</v>
      </c>
      <c r="C354" t="s">
        <v>21</v>
      </c>
    </row>
    <row r="355" spans="1:3" x14ac:dyDescent="0.35">
      <c r="A355" t="s">
        <v>104</v>
      </c>
      <c r="B355" s="5">
        <v>46201</v>
      </c>
      <c r="C355" t="s">
        <v>21</v>
      </c>
    </row>
    <row r="356" spans="1:3" x14ac:dyDescent="0.35">
      <c r="A356" t="s">
        <v>104</v>
      </c>
      <c r="B356" s="5">
        <v>46205</v>
      </c>
      <c r="C356" t="s">
        <v>20</v>
      </c>
    </row>
    <row r="357" spans="1:3" x14ac:dyDescent="0.35">
      <c r="A357" t="s">
        <v>104</v>
      </c>
      <c r="B357" s="5">
        <v>46206</v>
      </c>
      <c r="C357" t="s">
        <v>20</v>
      </c>
    </row>
    <row r="358" spans="1:3" x14ac:dyDescent="0.35">
      <c r="A358" t="s">
        <v>104</v>
      </c>
      <c r="B358" s="5">
        <v>46207</v>
      </c>
      <c r="C358" t="s">
        <v>20</v>
      </c>
    </row>
    <row r="359" spans="1:3" x14ac:dyDescent="0.35">
      <c r="A359" t="s">
        <v>104</v>
      </c>
      <c r="B359" s="5">
        <v>46208</v>
      </c>
      <c r="C359" t="s">
        <v>20</v>
      </c>
    </row>
    <row r="360" spans="1:3" x14ac:dyDescent="0.35">
      <c r="A360" t="s">
        <v>104</v>
      </c>
      <c r="B360" s="5">
        <v>46209</v>
      </c>
      <c r="C360" t="s">
        <v>20</v>
      </c>
    </row>
    <row r="361" spans="1:3" x14ac:dyDescent="0.35">
      <c r="A361" t="s">
        <v>104</v>
      </c>
      <c r="B361" s="5">
        <v>46210</v>
      </c>
      <c r="C361" t="s">
        <v>20</v>
      </c>
    </row>
    <row r="362" spans="1:3" x14ac:dyDescent="0.35">
      <c r="A362" t="s">
        <v>104</v>
      </c>
      <c r="B362" s="5">
        <v>46211</v>
      </c>
      <c r="C362" t="s">
        <v>20</v>
      </c>
    </row>
    <row r="363" spans="1:3" x14ac:dyDescent="0.35">
      <c r="A363" t="s">
        <v>104</v>
      </c>
      <c r="B363" s="5">
        <v>46212</v>
      </c>
      <c r="C363" t="s">
        <v>20</v>
      </c>
    </row>
    <row r="364" spans="1:3" x14ac:dyDescent="0.35">
      <c r="A364" t="s">
        <v>104</v>
      </c>
      <c r="B364" s="5">
        <v>46213</v>
      </c>
      <c r="C364" t="s">
        <v>20</v>
      </c>
    </row>
    <row r="365" spans="1:3" x14ac:dyDescent="0.35">
      <c r="A365" t="s">
        <v>104</v>
      </c>
      <c r="B365" s="5">
        <v>46214</v>
      </c>
      <c r="C365" t="s">
        <v>20</v>
      </c>
    </row>
    <row r="366" spans="1:3" x14ac:dyDescent="0.35">
      <c r="A366" t="s">
        <v>104</v>
      </c>
      <c r="B366" s="5">
        <v>46215</v>
      </c>
      <c r="C366" t="s">
        <v>20</v>
      </c>
    </row>
    <row r="367" spans="1:3" x14ac:dyDescent="0.35">
      <c r="A367" t="s">
        <v>104</v>
      </c>
      <c r="B367" s="5">
        <v>46216</v>
      </c>
      <c r="C367" t="s">
        <v>21</v>
      </c>
    </row>
    <row r="368" spans="1:3" x14ac:dyDescent="0.35">
      <c r="A368" t="s">
        <v>104</v>
      </c>
      <c r="B368" s="5">
        <v>46217</v>
      </c>
      <c r="C368" t="s">
        <v>21</v>
      </c>
    </row>
    <row r="369" spans="1:3" x14ac:dyDescent="0.35">
      <c r="A369" t="s">
        <v>104</v>
      </c>
      <c r="B369" s="5">
        <v>46218</v>
      </c>
      <c r="C369" t="s">
        <v>21</v>
      </c>
    </row>
    <row r="370" spans="1:3" x14ac:dyDescent="0.35">
      <c r="A370" t="s">
        <v>104</v>
      </c>
      <c r="B370" s="5">
        <v>46219</v>
      </c>
      <c r="C370" t="s">
        <v>21</v>
      </c>
    </row>
    <row r="371" spans="1:3" x14ac:dyDescent="0.35">
      <c r="A371" t="s">
        <v>104</v>
      </c>
      <c r="B371" s="5">
        <v>46220</v>
      </c>
      <c r="C371" t="s">
        <v>21</v>
      </c>
    </row>
    <row r="372" spans="1:3" x14ac:dyDescent="0.35">
      <c r="A372" t="s">
        <v>104</v>
      </c>
      <c r="B372" s="5">
        <v>46221</v>
      </c>
      <c r="C372" t="s">
        <v>21</v>
      </c>
    </row>
    <row r="373" spans="1:3" x14ac:dyDescent="0.35">
      <c r="A373" t="s">
        <v>104</v>
      </c>
      <c r="B373" s="5">
        <v>46222</v>
      </c>
      <c r="C373" t="s">
        <v>21</v>
      </c>
    </row>
    <row r="374" spans="1:3" x14ac:dyDescent="0.35">
      <c r="A374" t="s">
        <v>104</v>
      </c>
      <c r="B374" s="5">
        <v>46223</v>
      </c>
      <c r="C374" t="s">
        <v>21</v>
      </c>
    </row>
    <row r="375" spans="1:3" x14ac:dyDescent="0.35">
      <c r="A375" t="s">
        <v>104</v>
      </c>
      <c r="B375" s="5">
        <v>46224</v>
      </c>
      <c r="C375" t="s">
        <v>21</v>
      </c>
    </row>
    <row r="376" spans="1:3" x14ac:dyDescent="0.35">
      <c r="A376" t="s">
        <v>104</v>
      </c>
      <c r="B376" s="5">
        <v>46225</v>
      </c>
      <c r="C376" t="s">
        <v>21</v>
      </c>
    </row>
    <row r="377" spans="1:3" x14ac:dyDescent="0.35">
      <c r="A377" t="s">
        <v>104</v>
      </c>
      <c r="B377" s="5">
        <v>46226</v>
      </c>
      <c r="C377" t="s">
        <v>21</v>
      </c>
    </row>
    <row r="378" spans="1:3" x14ac:dyDescent="0.35">
      <c r="A378" t="s">
        <v>104</v>
      </c>
      <c r="B378" s="5">
        <v>46227</v>
      </c>
      <c r="C378" t="s">
        <v>21</v>
      </c>
    </row>
    <row r="379" spans="1:3" x14ac:dyDescent="0.35">
      <c r="A379" t="s">
        <v>104</v>
      </c>
      <c r="B379" s="5">
        <v>46228</v>
      </c>
      <c r="C379" t="s">
        <v>21</v>
      </c>
    </row>
    <row r="380" spans="1:3" x14ac:dyDescent="0.35">
      <c r="A380" t="s">
        <v>104</v>
      </c>
      <c r="B380" s="5">
        <v>46229</v>
      </c>
      <c r="C380" t="s">
        <v>21</v>
      </c>
    </row>
    <row r="381" spans="1:3" x14ac:dyDescent="0.35">
      <c r="A381" t="s">
        <v>104</v>
      </c>
      <c r="B381" s="5">
        <v>46230</v>
      </c>
      <c r="C381" t="s">
        <v>21</v>
      </c>
    </row>
    <row r="382" spans="1:3" x14ac:dyDescent="0.35">
      <c r="A382" t="s">
        <v>104</v>
      </c>
      <c r="B382" s="5">
        <v>46231</v>
      </c>
      <c r="C382" t="s">
        <v>21</v>
      </c>
    </row>
    <row r="383" spans="1:3" x14ac:dyDescent="0.35">
      <c r="A383" t="s">
        <v>104</v>
      </c>
      <c r="B383" s="5">
        <v>46232</v>
      </c>
      <c r="C383" t="s">
        <v>21</v>
      </c>
    </row>
    <row r="384" spans="1:3" x14ac:dyDescent="0.35">
      <c r="A384" t="s">
        <v>104</v>
      </c>
      <c r="B384" s="5">
        <v>46233</v>
      </c>
      <c r="C384" t="s">
        <v>21</v>
      </c>
    </row>
    <row r="385" spans="1:3" x14ac:dyDescent="0.35">
      <c r="A385" t="s">
        <v>104</v>
      </c>
      <c r="B385" s="5">
        <v>46234</v>
      </c>
      <c r="C385" t="s">
        <v>21</v>
      </c>
    </row>
    <row r="386" spans="1:3" x14ac:dyDescent="0.35">
      <c r="A386" t="s">
        <v>104</v>
      </c>
      <c r="B386" s="5">
        <v>46237</v>
      </c>
      <c r="C386" t="s">
        <v>20</v>
      </c>
    </row>
    <row r="387" spans="1:3" x14ac:dyDescent="0.35">
      <c r="A387" t="s">
        <v>104</v>
      </c>
      <c r="B387" s="5">
        <v>46238</v>
      </c>
      <c r="C387" t="s">
        <v>20</v>
      </c>
    </row>
    <row r="388" spans="1:3" x14ac:dyDescent="0.35">
      <c r="A388" t="s">
        <v>104</v>
      </c>
      <c r="B388" s="5">
        <v>46239</v>
      </c>
      <c r="C388" t="s">
        <v>20</v>
      </c>
    </row>
    <row r="389" spans="1:3" x14ac:dyDescent="0.35">
      <c r="A389" t="s">
        <v>104</v>
      </c>
      <c r="B389" s="5">
        <v>46240</v>
      </c>
      <c r="C389" t="s">
        <v>20</v>
      </c>
    </row>
    <row r="390" spans="1:3" x14ac:dyDescent="0.35">
      <c r="A390" t="s">
        <v>104</v>
      </c>
      <c r="B390" s="5">
        <v>46241</v>
      </c>
      <c r="C390" t="s">
        <v>20</v>
      </c>
    </row>
    <row r="391" spans="1:3" x14ac:dyDescent="0.35">
      <c r="A391" t="s">
        <v>104</v>
      </c>
      <c r="B391" s="5">
        <v>46242</v>
      </c>
      <c r="C391" t="s">
        <v>20</v>
      </c>
    </row>
    <row r="392" spans="1:3" x14ac:dyDescent="0.35">
      <c r="A392" t="s">
        <v>104</v>
      </c>
      <c r="B392" s="5">
        <v>46243</v>
      </c>
      <c r="C392" t="s">
        <v>20</v>
      </c>
    </row>
    <row r="393" spans="1:3" x14ac:dyDescent="0.35">
      <c r="A393" t="s">
        <v>104</v>
      </c>
      <c r="B393" s="5">
        <v>46244</v>
      </c>
      <c r="C393" t="s">
        <v>20</v>
      </c>
    </row>
    <row r="394" spans="1:3" x14ac:dyDescent="0.35">
      <c r="A394" t="s">
        <v>104</v>
      </c>
      <c r="B394" s="5">
        <v>46245</v>
      </c>
      <c r="C394" t="s">
        <v>20</v>
      </c>
    </row>
    <row r="395" spans="1:3" x14ac:dyDescent="0.35">
      <c r="A395" t="s">
        <v>104</v>
      </c>
      <c r="B395" s="5">
        <v>46246</v>
      </c>
      <c r="C395" t="s">
        <v>20</v>
      </c>
    </row>
    <row r="396" spans="1:3" x14ac:dyDescent="0.35">
      <c r="A396" t="s">
        <v>104</v>
      </c>
      <c r="B396" s="5">
        <v>46247</v>
      </c>
      <c r="C396" t="s">
        <v>20</v>
      </c>
    </row>
    <row r="397" spans="1:3" x14ac:dyDescent="0.35">
      <c r="A397" t="s">
        <v>104</v>
      </c>
      <c r="B397" s="5">
        <v>46248</v>
      </c>
      <c r="C397" t="s">
        <v>20</v>
      </c>
    </row>
    <row r="398" spans="1:3" x14ac:dyDescent="0.35">
      <c r="A398" t="s">
        <v>104</v>
      </c>
      <c r="B398" s="5">
        <v>46249</v>
      </c>
      <c r="C398" t="s">
        <v>20</v>
      </c>
    </row>
    <row r="399" spans="1:3" x14ac:dyDescent="0.35">
      <c r="A399" t="s">
        <v>104</v>
      </c>
      <c r="B399" s="5">
        <v>46250</v>
      </c>
      <c r="C399" t="s">
        <v>20</v>
      </c>
    </row>
    <row r="400" spans="1:3" x14ac:dyDescent="0.35">
      <c r="A400" t="s">
        <v>104</v>
      </c>
      <c r="B400" s="5">
        <v>46251</v>
      </c>
      <c r="C400" t="s">
        <v>21</v>
      </c>
    </row>
    <row r="401" spans="1:3" x14ac:dyDescent="0.35">
      <c r="A401" t="s">
        <v>104</v>
      </c>
      <c r="B401" s="5">
        <v>46252</v>
      </c>
      <c r="C401" t="s">
        <v>21</v>
      </c>
    </row>
    <row r="402" spans="1:3" x14ac:dyDescent="0.35">
      <c r="A402" t="s">
        <v>104</v>
      </c>
      <c r="B402" s="5">
        <v>46253</v>
      </c>
      <c r="C402" t="s">
        <v>21</v>
      </c>
    </row>
    <row r="403" spans="1:3" x14ac:dyDescent="0.35">
      <c r="A403" t="s">
        <v>104</v>
      </c>
      <c r="B403" s="5">
        <v>46254</v>
      </c>
      <c r="C403" t="s">
        <v>21</v>
      </c>
    </row>
    <row r="404" spans="1:3" x14ac:dyDescent="0.35">
      <c r="A404" t="s">
        <v>104</v>
      </c>
      <c r="B404" s="5">
        <v>46255</v>
      </c>
      <c r="C404" t="s">
        <v>21</v>
      </c>
    </row>
    <row r="405" spans="1:3" x14ac:dyDescent="0.35">
      <c r="A405" t="s">
        <v>104</v>
      </c>
      <c r="B405" s="5">
        <v>46256</v>
      </c>
      <c r="C405" t="s">
        <v>21</v>
      </c>
    </row>
    <row r="406" spans="1:3" x14ac:dyDescent="0.35">
      <c r="A406" t="s">
        <v>104</v>
      </c>
      <c r="B406" s="5">
        <v>46257</v>
      </c>
      <c r="C406" t="s">
        <v>21</v>
      </c>
    </row>
    <row r="407" spans="1:3" x14ac:dyDescent="0.35">
      <c r="A407" t="s">
        <v>104</v>
      </c>
      <c r="B407" s="5">
        <v>46258</v>
      </c>
      <c r="C407" t="s">
        <v>21</v>
      </c>
    </row>
    <row r="408" spans="1:3" x14ac:dyDescent="0.35">
      <c r="A408" t="s">
        <v>104</v>
      </c>
      <c r="B408" s="5">
        <v>46259</v>
      </c>
      <c r="C408" t="s">
        <v>21</v>
      </c>
    </row>
    <row r="409" spans="1:3" x14ac:dyDescent="0.35">
      <c r="A409" t="s">
        <v>104</v>
      </c>
      <c r="B409" s="5">
        <v>46260</v>
      </c>
      <c r="C409" t="s">
        <v>21</v>
      </c>
    </row>
    <row r="410" spans="1:3" x14ac:dyDescent="0.35">
      <c r="A410" t="s">
        <v>104</v>
      </c>
      <c r="B410" s="5">
        <v>46261</v>
      </c>
      <c r="C410" t="s">
        <v>21</v>
      </c>
    </row>
    <row r="411" spans="1:3" x14ac:dyDescent="0.35">
      <c r="A411" t="s">
        <v>104</v>
      </c>
      <c r="B411" s="5">
        <v>46262</v>
      </c>
      <c r="C411" t="s">
        <v>21</v>
      </c>
    </row>
    <row r="412" spans="1:3" x14ac:dyDescent="0.35">
      <c r="A412" t="s">
        <v>104</v>
      </c>
      <c r="B412" s="5">
        <v>46263</v>
      </c>
      <c r="C412" t="s">
        <v>21</v>
      </c>
    </row>
    <row r="413" spans="1:3" x14ac:dyDescent="0.35">
      <c r="A413" t="s">
        <v>104</v>
      </c>
      <c r="B413" s="5">
        <v>46264</v>
      </c>
      <c r="C413" t="s">
        <v>21</v>
      </c>
    </row>
    <row r="414" spans="1:3" x14ac:dyDescent="0.35">
      <c r="A414" t="s">
        <v>104</v>
      </c>
      <c r="B414" s="5">
        <v>46265</v>
      </c>
      <c r="C414" t="s">
        <v>21</v>
      </c>
    </row>
    <row r="415" spans="1:3" x14ac:dyDescent="0.35">
      <c r="A415" t="s">
        <v>104</v>
      </c>
      <c r="B415" s="3">
        <v>46266</v>
      </c>
      <c r="C415" s="2" t="s">
        <v>20</v>
      </c>
    </row>
    <row r="416" spans="1:3" x14ac:dyDescent="0.35">
      <c r="A416" t="s">
        <v>104</v>
      </c>
      <c r="B416" s="3">
        <v>46267</v>
      </c>
      <c r="C416" s="2" t="s">
        <v>20</v>
      </c>
    </row>
    <row r="417" spans="1:3" x14ac:dyDescent="0.35">
      <c r="A417" t="s">
        <v>104</v>
      </c>
      <c r="B417" s="3">
        <v>46268</v>
      </c>
      <c r="C417" s="2" t="s">
        <v>20</v>
      </c>
    </row>
    <row r="418" spans="1:3" x14ac:dyDescent="0.35">
      <c r="A418" t="s">
        <v>104</v>
      </c>
      <c r="B418" s="3">
        <v>46269</v>
      </c>
      <c r="C418" s="2" t="s">
        <v>20</v>
      </c>
    </row>
    <row r="419" spans="1:3" x14ac:dyDescent="0.35">
      <c r="A419" t="s">
        <v>104</v>
      </c>
      <c r="B419" s="3">
        <v>46270</v>
      </c>
      <c r="C419" s="2" t="s">
        <v>20</v>
      </c>
    </row>
    <row r="420" spans="1:3" x14ac:dyDescent="0.35">
      <c r="A420" t="s">
        <v>104</v>
      </c>
      <c r="B420" s="3">
        <v>46271</v>
      </c>
      <c r="C420" s="2" t="s">
        <v>20</v>
      </c>
    </row>
    <row r="421" spans="1:3" x14ac:dyDescent="0.35">
      <c r="A421" t="s">
        <v>104</v>
      </c>
      <c r="B421" s="3">
        <v>46272</v>
      </c>
      <c r="C421" s="2" t="s">
        <v>20</v>
      </c>
    </row>
    <row r="422" spans="1:3" x14ac:dyDescent="0.35">
      <c r="A422" t="s">
        <v>104</v>
      </c>
      <c r="B422" s="3">
        <v>46273</v>
      </c>
      <c r="C422" s="2" t="s">
        <v>20</v>
      </c>
    </row>
    <row r="423" spans="1:3" x14ac:dyDescent="0.35">
      <c r="A423" t="s">
        <v>104</v>
      </c>
      <c r="B423" s="3">
        <v>46274</v>
      </c>
      <c r="C423" s="2" t="s">
        <v>20</v>
      </c>
    </row>
    <row r="424" spans="1:3" x14ac:dyDescent="0.35">
      <c r="A424" t="s">
        <v>104</v>
      </c>
      <c r="B424" s="3">
        <v>46275</v>
      </c>
      <c r="C424" s="2" t="s">
        <v>20</v>
      </c>
    </row>
    <row r="425" spans="1:3" x14ac:dyDescent="0.35">
      <c r="A425" t="s">
        <v>104</v>
      </c>
      <c r="B425" s="3">
        <v>46276</v>
      </c>
      <c r="C425" s="2" t="s">
        <v>20</v>
      </c>
    </row>
    <row r="426" spans="1:3" x14ac:dyDescent="0.35">
      <c r="A426" t="s">
        <v>104</v>
      </c>
      <c r="B426" s="3">
        <v>46277</v>
      </c>
      <c r="C426" s="2" t="s">
        <v>20</v>
      </c>
    </row>
    <row r="427" spans="1:3" x14ac:dyDescent="0.35">
      <c r="A427" t="s">
        <v>104</v>
      </c>
      <c r="B427" s="3">
        <v>46278</v>
      </c>
      <c r="C427" s="2" t="s">
        <v>20</v>
      </c>
    </row>
    <row r="428" spans="1:3" x14ac:dyDescent="0.35">
      <c r="A428" t="s">
        <v>104</v>
      </c>
      <c r="B428" s="3">
        <v>46279</v>
      </c>
      <c r="C428" s="2" t="s">
        <v>21</v>
      </c>
    </row>
    <row r="429" spans="1:3" x14ac:dyDescent="0.35">
      <c r="A429" t="s">
        <v>104</v>
      </c>
      <c r="B429" s="3">
        <v>46280</v>
      </c>
      <c r="C429" s="2" t="s">
        <v>21</v>
      </c>
    </row>
    <row r="430" spans="1:3" x14ac:dyDescent="0.35">
      <c r="A430" t="s">
        <v>104</v>
      </c>
      <c r="B430" s="3">
        <v>46281</v>
      </c>
      <c r="C430" s="2" t="s">
        <v>21</v>
      </c>
    </row>
    <row r="431" spans="1:3" x14ac:dyDescent="0.35">
      <c r="A431" t="s">
        <v>104</v>
      </c>
      <c r="B431" s="3">
        <v>46282</v>
      </c>
      <c r="C431" s="2" t="s">
        <v>21</v>
      </c>
    </row>
    <row r="432" spans="1:3" x14ac:dyDescent="0.35">
      <c r="A432" t="s">
        <v>104</v>
      </c>
      <c r="B432" s="3">
        <v>46283</v>
      </c>
      <c r="C432" s="2" t="s">
        <v>21</v>
      </c>
    </row>
    <row r="433" spans="1:3" x14ac:dyDescent="0.35">
      <c r="A433" t="s">
        <v>104</v>
      </c>
      <c r="B433" s="3">
        <v>46284</v>
      </c>
      <c r="C433" s="2" t="s">
        <v>21</v>
      </c>
    </row>
    <row r="434" spans="1:3" x14ac:dyDescent="0.35">
      <c r="A434" t="s">
        <v>104</v>
      </c>
      <c r="B434" s="3">
        <v>46285</v>
      </c>
      <c r="C434" s="2" t="s">
        <v>21</v>
      </c>
    </row>
    <row r="435" spans="1:3" x14ac:dyDescent="0.35">
      <c r="A435" t="s">
        <v>104</v>
      </c>
      <c r="B435" s="3">
        <v>46286</v>
      </c>
      <c r="C435" s="2" t="s">
        <v>21</v>
      </c>
    </row>
    <row r="436" spans="1:3" x14ac:dyDescent="0.35">
      <c r="A436" t="s">
        <v>104</v>
      </c>
      <c r="B436" s="3">
        <v>46287</v>
      </c>
      <c r="C436" s="2" t="s">
        <v>21</v>
      </c>
    </row>
    <row r="437" spans="1:3" x14ac:dyDescent="0.35">
      <c r="A437" t="s">
        <v>104</v>
      </c>
      <c r="B437" s="3">
        <v>46288</v>
      </c>
      <c r="C437" s="2" t="s">
        <v>21</v>
      </c>
    </row>
    <row r="438" spans="1:3" x14ac:dyDescent="0.35">
      <c r="A438" t="s">
        <v>104</v>
      </c>
      <c r="B438" s="3">
        <v>46289</v>
      </c>
      <c r="C438" s="2" t="s">
        <v>21</v>
      </c>
    </row>
    <row r="439" spans="1:3" x14ac:dyDescent="0.35">
      <c r="A439" t="s">
        <v>104</v>
      </c>
      <c r="B439" s="3">
        <v>46290</v>
      </c>
      <c r="C439" s="2" t="s">
        <v>21</v>
      </c>
    </row>
    <row r="440" spans="1:3" x14ac:dyDescent="0.35">
      <c r="A440" t="s">
        <v>104</v>
      </c>
      <c r="B440" s="3">
        <v>46291</v>
      </c>
      <c r="C440" s="2" t="s">
        <v>21</v>
      </c>
    </row>
    <row r="441" spans="1:3" x14ac:dyDescent="0.35">
      <c r="A441" t="s">
        <v>104</v>
      </c>
      <c r="B441" s="3">
        <v>46292</v>
      </c>
      <c r="C441" s="2" t="s">
        <v>21</v>
      </c>
    </row>
    <row r="442" spans="1:3" x14ac:dyDescent="0.35">
      <c r="A442" t="s">
        <v>104</v>
      </c>
      <c r="B442" s="3">
        <v>46296</v>
      </c>
      <c r="C442" s="2" t="s">
        <v>20</v>
      </c>
    </row>
    <row r="443" spans="1:3" x14ac:dyDescent="0.35">
      <c r="A443" t="s">
        <v>104</v>
      </c>
      <c r="B443" s="3">
        <v>46297</v>
      </c>
      <c r="C443" s="2" t="s">
        <v>20</v>
      </c>
    </row>
    <row r="444" spans="1:3" x14ac:dyDescent="0.35">
      <c r="A444" t="s">
        <v>104</v>
      </c>
      <c r="B444" s="3">
        <v>46298</v>
      </c>
      <c r="C444" s="2" t="s">
        <v>20</v>
      </c>
    </row>
    <row r="445" spans="1:3" x14ac:dyDescent="0.35">
      <c r="A445" t="s">
        <v>104</v>
      </c>
      <c r="B445" s="3">
        <v>46299</v>
      </c>
      <c r="C445" s="2" t="s">
        <v>20</v>
      </c>
    </row>
    <row r="446" spans="1:3" x14ac:dyDescent="0.35">
      <c r="A446" t="s">
        <v>104</v>
      </c>
      <c r="B446" s="3">
        <v>46300</v>
      </c>
      <c r="C446" s="2" t="s">
        <v>20</v>
      </c>
    </row>
    <row r="447" spans="1:3" x14ac:dyDescent="0.35">
      <c r="A447" t="s">
        <v>104</v>
      </c>
      <c r="B447" s="3">
        <v>46301</v>
      </c>
      <c r="C447" s="2" t="s">
        <v>20</v>
      </c>
    </row>
    <row r="448" spans="1:3" x14ac:dyDescent="0.35">
      <c r="A448" t="s">
        <v>104</v>
      </c>
      <c r="B448" s="3">
        <v>46302</v>
      </c>
      <c r="C448" s="2" t="s">
        <v>20</v>
      </c>
    </row>
    <row r="449" spans="1:3" x14ac:dyDescent="0.35">
      <c r="A449" t="s">
        <v>104</v>
      </c>
      <c r="B449" s="3">
        <v>46303</v>
      </c>
      <c r="C449" s="2" t="s">
        <v>20</v>
      </c>
    </row>
    <row r="450" spans="1:3" x14ac:dyDescent="0.35">
      <c r="A450" t="s">
        <v>104</v>
      </c>
      <c r="B450" s="3">
        <v>46304</v>
      </c>
      <c r="C450" s="2" t="s">
        <v>20</v>
      </c>
    </row>
    <row r="451" spans="1:3" x14ac:dyDescent="0.35">
      <c r="A451" t="s">
        <v>104</v>
      </c>
      <c r="B451" s="3">
        <v>46305</v>
      </c>
      <c r="C451" s="2" t="s">
        <v>20</v>
      </c>
    </row>
    <row r="452" spans="1:3" x14ac:dyDescent="0.35">
      <c r="A452" t="s">
        <v>104</v>
      </c>
      <c r="B452" s="3">
        <v>46306</v>
      </c>
      <c r="C452" s="2" t="s">
        <v>20</v>
      </c>
    </row>
    <row r="453" spans="1:3" x14ac:dyDescent="0.35">
      <c r="A453" t="s">
        <v>104</v>
      </c>
      <c r="B453" s="3">
        <v>46307</v>
      </c>
      <c r="C453" s="2" t="s">
        <v>20</v>
      </c>
    </row>
    <row r="454" spans="1:3" x14ac:dyDescent="0.35">
      <c r="A454" t="s">
        <v>104</v>
      </c>
      <c r="B454" s="3">
        <v>46308</v>
      </c>
      <c r="C454" s="2" t="s">
        <v>21</v>
      </c>
    </row>
    <row r="455" spans="1:3" x14ac:dyDescent="0.35">
      <c r="A455" t="s">
        <v>104</v>
      </c>
      <c r="B455" s="3">
        <v>46309</v>
      </c>
      <c r="C455" s="2" t="s">
        <v>21</v>
      </c>
    </row>
    <row r="456" spans="1:3" x14ac:dyDescent="0.35">
      <c r="A456" t="s">
        <v>104</v>
      </c>
      <c r="B456" s="3">
        <v>46310</v>
      </c>
      <c r="C456" s="2" t="s">
        <v>21</v>
      </c>
    </row>
    <row r="457" spans="1:3" x14ac:dyDescent="0.35">
      <c r="A457" t="s">
        <v>104</v>
      </c>
      <c r="B457" s="3">
        <v>46311</v>
      </c>
      <c r="C457" s="2" t="s">
        <v>21</v>
      </c>
    </row>
    <row r="458" spans="1:3" x14ac:dyDescent="0.35">
      <c r="A458" t="s">
        <v>104</v>
      </c>
      <c r="B458" s="3">
        <v>46312</v>
      </c>
      <c r="C458" s="2" t="s">
        <v>21</v>
      </c>
    </row>
    <row r="459" spans="1:3" x14ac:dyDescent="0.35">
      <c r="A459" t="s">
        <v>104</v>
      </c>
      <c r="B459" s="3">
        <v>46313</v>
      </c>
      <c r="C459" s="2" t="s">
        <v>21</v>
      </c>
    </row>
    <row r="460" spans="1:3" x14ac:dyDescent="0.35">
      <c r="A460" t="s">
        <v>104</v>
      </c>
      <c r="B460" s="3">
        <v>46314</v>
      </c>
      <c r="C460" s="2" t="s">
        <v>21</v>
      </c>
    </row>
    <row r="461" spans="1:3" x14ac:dyDescent="0.35">
      <c r="A461" t="s">
        <v>104</v>
      </c>
      <c r="B461" s="3">
        <v>46315</v>
      </c>
      <c r="C461" s="2" t="s">
        <v>21</v>
      </c>
    </row>
    <row r="462" spans="1:3" x14ac:dyDescent="0.35">
      <c r="A462" t="s">
        <v>104</v>
      </c>
      <c r="B462" s="3">
        <v>46316</v>
      </c>
      <c r="C462" s="2" t="s">
        <v>21</v>
      </c>
    </row>
    <row r="463" spans="1:3" x14ac:dyDescent="0.35">
      <c r="A463" t="s">
        <v>104</v>
      </c>
      <c r="B463" s="3">
        <v>46317</v>
      </c>
      <c r="C463" s="2" t="s">
        <v>21</v>
      </c>
    </row>
    <row r="464" spans="1:3" x14ac:dyDescent="0.35">
      <c r="A464" t="s">
        <v>104</v>
      </c>
      <c r="B464" s="3">
        <v>46318</v>
      </c>
      <c r="C464" s="2" t="s">
        <v>21</v>
      </c>
    </row>
    <row r="465" spans="1:3" x14ac:dyDescent="0.35">
      <c r="A465" t="s">
        <v>104</v>
      </c>
      <c r="B465" s="3">
        <v>46319</v>
      </c>
      <c r="C465" s="2" t="s">
        <v>21</v>
      </c>
    </row>
    <row r="466" spans="1:3" x14ac:dyDescent="0.35">
      <c r="A466" t="s">
        <v>104</v>
      </c>
      <c r="B466" s="3">
        <v>46320</v>
      </c>
      <c r="C466" s="2" t="s">
        <v>21</v>
      </c>
    </row>
    <row r="467" spans="1:3" x14ac:dyDescent="0.35">
      <c r="A467" t="s">
        <v>127</v>
      </c>
      <c r="B467" s="3">
        <v>46296</v>
      </c>
      <c r="C467" s="2" t="s">
        <v>20</v>
      </c>
    </row>
    <row r="468" spans="1:3" x14ac:dyDescent="0.35">
      <c r="A468" t="s">
        <v>127</v>
      </c>
      <c r="B468" s="3">
        <v>46297</v>
      </c>
      <c r="C468" s="2" t="s">
        <v>20</v>
      </c>
    </row>
    <row r="469" spans="1:3" x14ac:dyDescent="0.35">
      <c r="A469" t="s">
        <v>127</v>
      </c>
      <c r="B469" s="3">
        <v>46298</v>
      </c>
      <c r="C469" s="2" t="s">
        <v>20</v>
      </c>
    </row>
    <row r="470" spans="1:3" x14ac:dyDescent="0.35">
      <c r="A470" t="s">
        <v>127</v>
      </c>
      <c r="B470" s="3">
        <v>46299</v>
      </c>
      <c r="C470" s="2" t="s">
        <v>20</v>
      </c>
    </row>
    <row r="471" spans="1:3" x14ac:dyDescent="0.35">
      <c r="A471" t="s">
        <v>127</v>
      </c>
      <c r="B471" s="3">
        <v>46300</v>
      </c>
      <c r="C471" s="2" t="s">
        <v>20</v>
      </c>
    </row>
    <row r="472" spans="1:3" x14ac:dyDescent="0.35">
      <c r="A472" t="s">
        <v>127</v>
      </c>
      <c r="B472" s="3">
        <v>46301</v>
      </c>
      <c r="C472" s="2" t="s">
        <v>20</v>
      </c>
    </row>
    <row r="473" spans="1:3" x14ac:dyDescent="0.35">
      <c r="A473" t="s">
        <v>127</v>
      </c>
      <c r="B473" s="3">
        <v>46302</v>
      </c>
      <c r="C473" s="2" t="s">
        <v>20</v>
      </c>
    </row>
    <row r="474" spans="1:3" x14ac:dyDescent="0.35">
      <c r="A474" t="s">
        <v>127</v>
      </c>
      <c r="B474" s="3">
        <v>46303</v>
      </c>
      <c r="C474" s="2" t="s">
        <v>20</v>
      </c>
    </row>
    <row r="475" spans="1:3" x14ac:dyDescent="0.35">
      <c r="A475" t="s">
        <v>127</v>
      </c>
      <c r="B475" s="3">
        <v>46304</v>
      </c>
      <c r="C475" s="2" t="s">
        <v>20</v>
      </c>
    </row>
    <row r="476" spans="1:3" x14ac:dyDescent="0.35">
      <c r="A476" t="s">
        <v>127</v>
      </c>
      <c r="B476" s="3">
        <v>46305</v>
      </c>
      <c r="C476" s="2" t="s">
        <v>20</v>
      </c>
    </row>
    <row r="477" spans="1:3" x14ac:dyDescent="0.35">
      <c r="A477" t="s">
        <v>127</v>
      </c>
      <c r="B477" s="3">
        <v>46306</v>
      </c>
      <c r="C477" s="2" t="s">
        <v>20</v>
      </c>
    </row>
    <row r="478" spans="1:3" x14ac:dyDescent="0.35">
      <c r="A478" t="s">
        <v>127</v>
      </c>
      <c r="B478" s="3">
        <v>46307</v>
      </c>
      <c r="C478" s="2" t="s">
        <v>20</v>
      </c>
    </row>
    <row r="479" spans="1:3" x14ac:dyDescent="0.35">
      <c r="A479" t="s">
        <v>127</v>
      </c>
      <c r="B479" s="3">
        <v>46308</v>
      </c>
      <c r="C479" s="2" t="s">
        <v>21</v>
      </c>
    </row>
    <row r="480" spans="1:3" x14ac:dyDescent="0.35">
      <c r="A480" t="s">
        <v>127</v>
      </c>
      <c r="B480" s="3">
        <v>46309</v>
      </c>
      <c r="C480" s="2" t="s">
        <v>21</v>
      </c>
    </row>
    <row r="481" spans="1:3" x14ac:dyDescent="0.35">
      <c r="A481" t="s">
        <v>127</v>
      </c>
      <c r="B481" s="3">
        <v>46310</v>
      </c>
      <c r="C481" s="2" t="s">
        <v>21</v>
      </c>
    </row>
    <row r="482" spans="1:3" x14ac:dyDescent="0.35">
      <c r="A482" t="s">
        <v>127</v>
      </c>
      <c r="B482" s="3">
        <v>46311</v>
      </c>
      <c r="C482" s="2" t="s">
        <v>21</v>
      </c>
    </row>
    <row r="483" spans="1:3" x14ac:dyDescent="0.35">
      <c r="A483" t="s">
        <v>127</v>
      </c>
      <c r="B483" s="3">
        <v>46312</v>
      </c>
      <c r="C483" s="2" t="s">
        <v>21</v>
      </c>
    </row>
    <row r="484" spans="1:3" x14ac:dyDescent="0.35">
      <c r="A484" t="s">
        <v>127</v>
      </c>
      <c r="B484" s="3">
        <v>46313</v>
      </c>
      <c r="C484" s="2" t="s">
        <v>21</v>
      </c>
    </row>
    <row r="485" spans="1:3" x14ac:dyDescent="0.35">
      <c r="A485" t="s">
        <v>127</v>
      </c>
      <c r="B485" s="3">
        <v>46314</v>
      </c>
      <c r="C485" s="2" t="s">
        <v>21</v>
      </c>
    </row>
    <row r="486" spans="1:3" x14ac:dyDescent="0.35">
      <c r="A486" t="s">
        <v>127</v>
      </c>
      <c r="B486" s="3">
        <v>46315</v>
      </c>
      <c r="C486" s="2" t="s">
        <v>21</v>
      </c>
    </row>
    <row r="487" spans="1:3" x14ac:dyDescent="0.35">
      <c r="A487" t="s">
        <v>127</v>
      </c>
      <c r="B487" s="3">
        <v>46316</v>
      </c>
      <c r="C487" s="2" t="s">
        <v>21</v>
      </c>
    </row>
    <row r="488" spans="1:3" x14ac:dyDescent="0.35">
      <c r="A488" t="s">
        <v>127</v>
      </c>
      <c r="B488" s="3">
        <v>46317</v>
      </c>
      <c r="C488" s="2" t="s">
        <v>21</v>
      </c>
    </row>
    <row r="489" spans="1:3" x14ac:dyDescent="0.35">
      <c r="A489" t="s">
        <v>127</v>
      </c>
      <c r="B489" s="3">
        <v>46318</v>
      </c>
      <c r="C489" s="2" t="s">
        <v>21</v>
      </c>
    </row>
    <row r="490" spans="1:3" x14ac:dyDescent="0.35">
      <c r="A490" t="s">
        <v>127</v>
      </c>
      <c r="B490" s="3">
        <v>46319</v>
      </c>
      <c r="C490" s="2" t="s">
        <v>21</v>
      </c>
    </row>
    <row r="491" spans="1:3" x14ac:dyDescent="0.35">
      <c r="A491" t="s">
        <v>127</v>
      </c>
      <c r="B491" s="3">
        <v>46320</v>
      </c>
      <c r="C491" s="2" t="s">
        <v>21</v>
      </c>
    </row>
    <row r="492" spans="1:3" x14ac:dyDescent="0.35">
      <c r="A492" t="s">
        <v>127</v>
      </c>
      <c r="B492" s="5">
        <v>46321</v>
      </c>
      <c r="C492" s="2" t="s">
        <v>21</v>
      </c>
    </row>
    <row r="493" spans="1:3" x14ac:dyDescent="0.35">
      <c r="A493" t="s">
        <v>127</v>
      </c>
      <c r="B493" s="5">
        <v>46322</v>
      </c>
      <c r="C493" s="2" t="s">
        <v>21</v>
      </c>
    </row>
    <row r="494" spans="1:3" x14ac:dyDescent="0.35">
      <c r="A494" t="s">
        <v>127</v>
      </c>
      <c r="B494" s="5">
        <v>46323</v>
      </c>
      <c r="C494" s="2" t="s">
        <v>21</v>
      </c>
    </row>
    <row r="495" spans="1:3" x14ac:dyDescent="0.35">
      <c r="A495" t="s">
        <v>127</v>
      </c>
      <c r="B495" s="5">
        <v>46324</v>
      </c>
      <c r="C495" s="2" t="s">
        <v>21</v>
      </c>
    </row>
    <row r="496" spans="1:3" x14ac:dyDescent="0.35">
      <c r="A496" t="s">
        <v>127</v>
      </c>
      <c r="B496" s="5">
        <v>46325</v>
      </c>
      <c r="C496" s="2" t="s">
        <v>21</v>
      </c>
    </row>
    <row r="497" spans="1:3" x14ac:dyDescent="0.35">
      <c r="A497" t="s">
        <v>127</v>
      </c>
      <c r="B497" s="5">
        <v>46326</v>
      </c>
      <c r="C497" s="2" t="s">
        <v>21</v>
      </c>
    </row>
    <row r="498" spans="1:3" x14ac:dyDescent="0.35">
      <c r="A498" t="s">
        <v>62</v>
      </c>
      <c r="B498" s="3">
        <v>46327</v>
      </c>
      <c r="C498" t="s">
        <v>20</v>
      </c>
    </row>
    <row r="499" spans="1:3" x14ac:dyDescent="0.35">
      <c r="A499" t="s">
        <v>62</v>
      </c>
      <c r="B499" s="3">
        <f>B498+1</f>
        <v>46328</v>
      </c>
      <c r="C499" t="s">
        <v>20</v>
      </c>
    </row>
    <row r="500" spans="1:3" x14ac:dyDescent="0.3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35">
      <c r="A501" t="s">
        <v>62</v>
      </c>
      <c r="B501" s="3">
        <f t="shared" si="0"/>
        <v>46330</v>
      </c>
      <c r="C501" t="s">
        <v>20</v>
      </c>
    </row>
    <row r="502" spans="1:3" x14ac:dyDescent="0.35">
      <c r="A502" t="s">
        <v>62</v>
      </c>
      <c r="B502" s="3">
        <f t="shared" si="0"/>
        <v>46331</v>
      </c>
      <c r="C502" t="s">
        <v>20</v>
      </c>
    </row>
    <row r="503" spans="1:3" x14ac:dyDescent="0.35">
      <c r="A503" t="s">
        <v>62</v>
      </c>
      <c r="B503" s="3">
        <f t="shared" si="0"/>
        <v>46332</v>
      </c>
      <c r="C503" t="s">
        <v>20</v>
      </c>
    </row>
    <row r="504" spans="1:3" x14ac:dyDescent="0.35">
      <c r="A504" t="s">
        <v>62</v>
      </c>
      <c r="B504" s="3">
        <f t="shared" si="0"/>
        <v>46333</v>
      </c>
      <c r="C504" t="s">
        <v>20</v>
      </c>
    </row>
    <row r="505" spans="1:3" x14ac:dyDescent="0.35">
      <c r="A505" t="s">
        <v>62</v>
      </c>
      <c r="B505" s="3">
        <f t="shared" si="0"/>
        <v>46334</v>
      </c>
      <c r="C505" t="s">
        <v>20</v>
      </c>
    </row>
    <row r="506" spans="1:3" x14ac:dyDescent="0.35">
      <c r="A506" t="s">
        <v>62</v>
      </c>
      <c r="B506" s="3">
        <f t="shared" si="0"/>
        <v>46335</v>
      </c>
      <c r="C506" t="s">
        <v>20</v>
      </c>
    </row>
    <row r="507" spans="1:3" x14ac:dyDescent="0.35">
      <c r="A507" t="s">
        <v>62</v>
      </c>
      <c r="B507" s="3">
        <f t="shared" si="0"/>
        <v>46336</v>
      </c>
      <c r="C507" t="s">
        <v>20</v>
      </c>
    </row>
    <row r="508" spans="1:3" x14ac:dyDescent="0.35">
      <c r="A508" t="s">
        <v>62</v>
      </c>
      <c r="B508" s="3">
        <f t="shared" si="0"/>
        <v>46337</v>
      </c>
      <c r="C508" t="s">
        <v>20</v>
      </c>
    </row>
    <row r="509" spans="1:3" x14ac:dyDescent="0.35">
      <c r="A509" t="s">
        <v>62</v>
      </c>
      <c r="B509" s="3">
        <f t="shared" si="0"/>
        <v>46338</v>
      </c>
      <c r="C509" t="s">
        <v>20</v>
      </c>
    </row>
    <row r="510" spans="1:3" x14ac:dyDescent="0.35">
      <c r="A510" t="s">
        <v>62</v>
      </c>
      <c r="B510" s="3">
        <f t="shared" si="0"/>
        <v>46339</v>
      </c>
      <c r="C510" t="s">
        <v>20</v>
      </c>
    </row>
    <row r="511" spans="1:3" x14ac:dyDescent="0.35">
      <c r="A511" t="s">
        <v>62</v>
      </c>
      <c r="B511" s="3">
        <f t="shared" si="0"/>
        <v>46340</v>
      </c>
      <c r="C511" t="s">
        <v>20</v>
      </c>
    </row>
    <row r="512" spans="1:3" x14ac:dyDescent="0.35">
      <c r="A512" t="s">
        <v>62</v>
      </c>
      <c r="B512" s="3">
        <f t="shared" si="0"/>
        <v>46341</v>
      </c>
      <c r="C512" t="s">
        <v>20</v>
      </c>
    </row>
    <row r="513" spans="1:3" x14ac:dyDescent="0.35">
      <c r="A513" t="s">
        <v>62</v>
      </c>
      <c r="B513" s="3">
        <f t="shared" si="0"/>
        <v>46342</v>
      </c>
      <c r="C513" t="s">
        <v>21</v>
      </c>
    </row>
    <row r="514" spans="1:3" x14ac:dyDescent="0.35">
      <c r="A514" t="s">
        <v>62</v>
      </c>
      <c r="B514" s="3">
        <f t="shared" si="0"/>
        <v>46343</v>
      </c>
      <c r="C514" t="s">
        <v>21</v>
      </c>
    </row>
    <row r="515" spans="1:3" x14ac:dyDescent="0.35">
      <c r="A515" t="s">
        <v>62</v>
      </c>
      <c r="B515" s="3">
        <f t="shared" si="0"/>
        <v>46344</v>
      </c>
      <c r="C515" t="s">
        <v>21</v>
      </c>
    </row>
    <row r="516" spans="1:3" x14ac:dyDescent="0.35">
      <c r="A516" t="s">
        <v>62</v>
      </c>
      <c r="B516" s="3">
        <f t="shared" si="0"/>
        <v>46345</v>
      </c>
      <c r="C516" t="s">
        <v>21</v>
      </c>
    </row>
    <row r="517" spans="1:3" x14ac:dyDescent="0.35">
      <c r="A517" t="s">
        <v>62</v>
      </c>
      <c r="B517" s="3">
        <f t="shared" si="0"/>
        <v>46346</v>
      </c>
      <c r="C517" t="s">
        <v>21</v>
      </c>
    </row>
    <row r="518" spans="1:3" x14ac:dyDescent="0.35">
      <c r="A518" t="s">
        <v>62</v>
      </c>
      <c r="B518" s="3">
        <f t="shared" si="0"/>
        <v>46347</v>
      </c>
      <c r="C518" t="s">
        <v>21</v>
      </c>
    </row>
    <row r="519" spans="1:3" x14ac:dyDescent="0.35">
      <c r="A519" t="s">
        <v>62</v>
      </c>
      <c r="B519" s="3">
        <f t="shared" si="0"/>
        <v>46348</v>
      </c>
      <c r="C519" t="s">
        <v>21</v>
      </c>
    </row>
    <row r="520" spans="1:3" x14ac:dyDescent="0.35">
      <c r="A520" t="s">
        <v>62</v>
      </c>
      <c r="B520" s="3">
        <f t="shared" si="0"/>
        <v>46349</v>
      </c>
      <c r="C520" t="s">
        <v>21</v>
      </c>
    </row>
    <row r="521" spans="1:3" x14ac:dyDescent="0.35">
      <c r="A521" t="s">
        <v>62</v>
      </c>
      <c r="B521" s="3">
        <f t="shared" si="0"/>
        <v>46350</v>
      </c>
      <c r="C521" t="s">
        <v>21</v>
      </c>
    </row>
    <row r="522" spans="1:3" x14ac:dyDescent="0.35">
      <c r="A522" t="s">
        <v>62</v>
      </c>
      <c r="B522" s="3">
        <f t="shared" si="0"/>
        <v>46351</v>
      </c>
      <c r="C522" t="s">
        <v>21</v>
      </c>
    </row>
    <row r="523" spans="1:3" x14ac:dyDescent="0.35">
      <c r="A523" t="s">
        <v>62</v>
      </c>
      <c r="B523" s="3">
        <f t="shared" si="0"/>
        <v>46352</v>
      </c>
      <c r="C523" t="s">
        <v>21</v>
      </c>
    </row>
    <row r="524" spans="1:3" x14ac:dyDescent="0.35">
      <c r="A524" t="s">
        <v>62</v>
      </c>
      <c r="B524" s="3">
        <f t="shared" si="0"/>
        <v>46353</v>
      </c>
      <c r="C524" t="s">
        <v>21</v>
      </c>
    </row>
    <row r="525" spans="1:3" x14ac:dyDescent="0.35">
      <c r="A525" t="s">
        <v>62</v>
      </c>
      <c r="B525" s="3">
        <f t="shared" si="0"/>
        <v>46354</v>
      </c>
      <c r="C525" t="s">
        <v>21</v>
      </c>
    </row>
    <row r="526" spans="1:3" x14ac:dyDescent="0.35">
      <c r="A526" t="s">
        <v>62</v>
      </c>
      <c r="B526" s="3">
        <f t="shared" si="0"/>
        <v>46355</v>
      </c>
      <c r="C526" t="s">
        <v>21</v>
      </c>
    </row>
    <row r="527" spans="1:3" x14ac:dyDescent="0.35">
      <c r="A527" t="s">
        <v>61</v>
      </c>
      <c r="B527" s="3">
        <v>46327</v>
      </c>
      <c r="C527" s="2" t="s">
        <v>20</v>
      </c>
    </row>
    <row r="528" spans="1:3" x14ac:dyDescent="0.35">
      <c r="A528" t="s">
        <v>61</v>
      </c>
      <c r="B528" s="3">
        <f>B527+1</f>
        <v>46328</v>
      </c>
      <c r="C528" s="2" t="s">
        <v>20</v>
      </c>
    </row>
    <row r="529" spans="1:3" x14ac:dyDescent="0.3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35">
      <c r="A530" t="s">
        <v>61</v>
      </c>
      <c r="B530" s="3">
        <f t="shared" si="1"/>
        <v>46330</v>
      </c>
      <c r="C530" s="2" t="s">
        <v>20</v>
      </c>
    </row>
    <row r="531" spans="1:3" x14ac:dyDescent="0.35">
      <c r="A531" t="s">
        <v>61</v>
      </c>
      <c r="B531" s="3">
        <f t="shared" si="1"/>
        <v>46331</v>
      </c>
      <c r="C531" s="2" t="s">
        <v>20</v>
      </c>
    </row>
    <row r="532" spans="1:3" x14ac:dyDescent="0.35">
      <c r="A532" t="s">
        <v>61</v>
      </c>
      <c r="B532" s="3">
        <f t="shared" si="1"/>
        <v>46332</v>
      </c>
      <c r="C532" s="2" t="s">
        <v>20</v>
      </c>
    </row>
    <row r="533" spans="1:3" x14ac:dyDescent="0.35">
      <c r="A533" t="s">
        <v>61</v>
      </c>
      <c r="B533" s="3">
        <f t="shared" si="1"/>
        <v>46333</v>
      </c>
      <c r="C533" s="2" t="s">
        <v>20</v>
      </c>
    </row>
    <row r="534" spans="1:3" x14ac:dyDescent="0.35">
      <c r="A534" t="s">
        <v>61</v>
      </c>
      <c r="B534" s="3">
        <f t="shared" si="1"/>
        <v>46334</v>
      </c>
      <c r="C534" s="2" t="s">
        <v>20</v>
      </c>
    </row>
    <row r="535" spans="1:3" x14ac:dyDescent="0.35">
      <c r="A535" t="s">
        <v>61</v>
      </c>
      <c r="B535" s="3">
        <v>46338</v>
      </c>
      <c r="C535" s="2" t="s">
        <v>21</v>
      </c>
    </row>
    <row r="536" spans="1:3" x14ac:dyDescent="0.35">
      <c r="A536" t="s">
        <v>61</v>
      </c>
      <c r="B536" s="3">
        <f t="shared" si="1"/>
        <v>46339</v>
      </c>
      <c r="C536" s="2" t="s">
        <v>21</v>
      </c>
    </row>
    <row r="537" spans="1:3" x14ac:dyDescent="0.35">
      <c r="A537" t="s">
        <v>61</v>
      </c>
      <c r="B537" s="3">
        <f t="shared" si="1"/>
        <v>46340</v>
      </c>
      <c r="C537" s="2" t="s">
        <v>21</v>
      </c>
    </row>
    <row r="538" spans="1:3" x14ac:dyDescent="0.35">
      <c r="A538" t="s">
        <v>61</v>
      </c>
      <c r="B538" s="3">
        <f t="shared" si="1"/>
        <v>46341</v>
      </c>
      <c r="C538" s="2" t="s">
        <v>21</v>
      </c>
    </row>
    <row r="539" spans="1:3" x14ac:dyDescent="0.35">
      <c r="A539" t="s">
        <v>61</v>
      </c>
      <c r="B539" s="3">
        <f t="shared" si="1"/>
        <v>46342</v>
      </c>
      <c r="C539" s="2" t="s">
        <v>21</v>
      </c>
    </row>
    <row r="540" spans="1:3" x14ac:dyDescent="0.35">
      <c r="A540" t="s">
        <v>61</v>
      </c>
      <c r="B540" s="3">
        <f t="shared" si="1"/>
        <v>46343</v>
      </c>
      <c r="C540" s="2" t="s">
        <v>21</v>
      </c>
    </row>
    <row r="541" spans="1:3" x14ac:dyDescent="0.35">
      <c r="A541" t="s">
        <v>61</v>
      </c>
      <c r="B541" s="3">
        <f t="shared" si="1"/>
        <v>46344</v>
      </c>
      <c r="C541" s="2" t="s">
        <v>21</v>
      </c>
    </row>
    <row r="542" spans="1:3" x14ac:dyDescent="0.35">
      <c r="A542" t="s">
        <v>61</v>
      </c>
      <c r="B542" s="3">
        <f t="shared" si="1"/>
        <v>46345</v>
      </c>
      <c r="C542" s="2" t="s">
        <v>21</v>
      </c>
    </row>
    <row r="543" spans="1:3" x14ac:dyDescent="0.35">
      <c r="A543" t="s">
        <v>61</v>
      </c>
      <c r="B543" s="3">
        <f t="shared" si="1"/>
        <v>46346</v>
      </c>
      <c r="C543" s="2" t="s">
        <v>21</v>
      </c>
    </row>
    <row r="544" spans="1:3" x14ac:dyDescent="0.35">
      <c r="A544" t="s">
        <v>61</v>
      </c>
      <c r="B544" s="3">
        <f t="shared" si="1"/>
        <v>46347</v>
      </c>
      <c r="C544" s="2" t="s">
        <v>21</v>
      </c>
    </row>
    <row r="545" spans="1:3" x14ac:dyDescent="0.35">
      <c r="A545" t="s">
        <v>61</v>
      </c>
      <c r="B545" s="3">
        <f t="shared" si="1"/>
        <v>46348</v>
      </c>
      <c r="C545" s="2" t="s">
        <v>21</v>
      </c>
    </row>
    <row r="546" spans="1:3" x14ac:dyDescent="0.35">
      <c r="A546" t="s">
        <v>61</v>
      </c>
      <c r="B546" s="3">
        <f t="shared" si="1"/>
        <v>46349</v>
      </c>
      <c r="C546" s="2" t="s">
        <v>21</v>
      </c>
    </row>
    <row r="547" spans="1:3" x14ac:dyDescent="0.35">
      <c r="A547" t="s">
        <v>61</v>
      </c>
      <c r="B547" s="3">
        <f t="shared" si="1"/>
        <v>46350</v>
      </c>
      <c r="C547" s="2" t="s">
        <v>21</v>
      </c>
    </row>
    <row r="548" spans="1:3" x14ac:dyDescent="0.35">
      <c r="A548" t="s">
        <v>61</v>
      </c>
      <c r="B548" s="3">
        <f t="shared" si="1"/>
        <v>46351</v>
      </c>
      <c r="C548" s="2" t="s">
        <v>21</v>
      </c>
    </row>
    <row r="549" spans="1:3" x14ac:dyDescent="0.35">
      <c r="A549" t="s">
        <v>61</v>
      </c>
      <c r="B549" s="3">
        <f t="shared" si="1"/>
        <v>46352</v>
      </c>
      <c r="C549" s="2" t="s">
        <v>21</v>
      </c>
    </row>
    <row r="550" spans="1:3" x14ac:dyDescent="0.35">
      <c r="A550" t="s">
        <v>61</v>
      </c>
      <c r="B550" s="3">
        <f t="shared" si="1"/>
        <v>46353</v>
      </c>
      <c r="C550" s="2" t="s">
        <v>21</v>
      </c>
    </row>
    <row r="551" spans="1:3" x14ac:dyDescent="0.35">
      <c r="A551" t="s">
        <v>61</v>
      </c>
      <c r="B551" s="3">
        <f t="shared" si="1"/>
        <v>46354</v>
      </c>
      <c r="C551" s="2" t="s">
        <v>21</v>
      </c>
    </row>
    <row r="552" spans="1:3" x14ac:dyDescent="0.35">
      <c r="A552" t="s">
        <v>61</v>
      </c>
      <c r="B552" s="3">
        <f t="shared" si="1"/>
        <v>46355</v>
      </c>
      <c r="C552" s="2" t="s">
        <v>21</v>
      </c>
    </row>
    <row r="553" spans="1:3" x14ac:dyDescent="0.35">
      <c r="A553" t="s">
        <v>104</v>
      </c>
      <c r="B553" s="3">
        <v>46327</v>
      </c>
      <c r="C553" s="2" t="s">
        <v>20</v>
      </c>
    </row>
    <row r="554" spans="1:3" x14ac:dyDescent="0.35">
      <c r="A554" t="s">
        <v>104</v>
      </c>
      <c r="B554" s="3">
        <v>46328</v>
      </c>
      <c r="C554" s="2" t="s">
        <v>20</v>
      </c>
    </row>
    <row r="555" spans="1:3" x14ac:dyDescent="0.35">
      <c r="A555" t="s">
        <v>104</v>
      </c>
      <c r="B555" s="3">
        <v>46329</v>
      </c>
      <c r="C555" s="2" t="s">
        <v>20</v>
      </c>
    </row>
    <row r="556" spans="1:3" x14ac:dyDescent="0.35">
      <c r="A556" t="s">
        <v>104</v>
      </c>
      <c r="B556" s="3">
        <v>46330</v>
      </c>
      <c r="C556" s="2" t="s">
        <v>20</v>
      </c>
    </row>
    <row r="557" spans="1:3" x14ac:dyDescent="0.35">
      <c r="A557" t="s">
        <v>104</v>
      </c>
      <c r="B557" s="3">
        <v>46331</v>
      </c>
      <c r="C557" s="2" t="s">
        <v>20</v>
      </c>
    </row>
    <row r="558" spans="1:3" x14ac:dyDescent="0.35">
      <c r="A558" t="s">
        <v>104</v>
      </c>
      <c r="B558" s="3">
        <v>46332</v>
      </c>
      <c r="C558" s="2" t="s">
        <v>20</v>
      </c>
    </row>
    <row r="559" spans="1:3" x14ac:dyDescent="0.35">
      <c r="A559" t="s">
        <v>104</v>
      </c>
      <c r="B559" s="3">
        <v>46333</v>
      </c>
      <c r="C559" s="2" t="s">
        <v>20</v>
      </c>
    </row>
    <row r="560" spans="1:3" x14ac:dyDescent="0.35">
      <c r="A560" t="s">
        <v>104</v>
      </c>
      <c r="B560" s="3">
        <v>46334</v>
      </c>
      <c r="C560" s="2" t="s">
        <v>20</v>
      </c>
    </row>
    <row r="561" spans="1:3" x14ac:dyDescent="0.35">
      <c r="A561" t="s">
        <v>104</v>
      </c>
      <c r="B561" s="3">
        <v>46338</v>
      </c>
      <c r="C561" s="2" t="s">
        <v>21</v>
      </c>
    </row>
    <row r="562" spans="1:3" x14ac:dyDescent="0.35">
      <c r="A562" t="s">
        <v>104</v>
      </c>
      <c r="B562" s="3">
        <v>46339</v>
      </c>
      <c r="C562" s="2" t="s">
        <v>21</v>
      </c>
    </row>
    <row r="563" spans="1:3" x14ac:dyDescent="0.35">
      <c r="A563" t="s">
        <v>104</v>
      </c>
      <c r="B563" s="3">
        <v>46340</v>
      </c>
      <c r="C563" s="2" t="s">
        <v>21</v>
      </c>
    </row>
    <row r="564" spans="1:3" x14ac:dyDescent="0.35">
      <c r="A564" t="s">
        <v>104</v>
      </c>
      <c r="B564" s="3">
        <v>46341</v>
      </c>
      <c r="C564" s="2" t="s">
        <v>21</v>
      </c>
    </row>
    <row r="565" spans="1:3" x14ac:dyDescent="0.35">
      <c r="A565" t="s">
        <v>104</v>
      </c>
      <c r="B565" s="3">
        <v>46342</v>
      </c>
      <c r="C565" s="2" t="s">
        <v>21</v>
      </c>
    </row>
    <row r="566" spans="1:3" x14ac:dyDescent="0.35">
      <c r="A566" t="s">
        <v>104</v>
      </c>
      <c r="B566" s="3">
        <v>46343</v>
      </c>
      <c r="C566" s="2" t="s">
        <v>21</v>
      </c>
    </row>
    <row r="567" spans="1:3" x14ac:dyDescent="0.35">
      <c r="A567" t="s">
        <v>104</v>
      </c>
      <c r="B567" s="3">
        <v>46344</v>
      </c>
      <c r="C567" s="2" t="s">
        <v>21</v>
      </c>
    </row>
    <row r="568" spans="1:3" x14ac:dyDescent="0.35">
      <c r="A568" t="s">
        <v>104</v>
      </c>
      <c r="B568" s="3">
        <v>46345</v>
      </c>
      <c r="C568" s="2" t="s">
        <v>21</v>
      </c>
    </row>
    <row r="569" spans="1:3" x14ac:dyDescent="0.35">
      <c r="A569" t="s">
        <v>104</v>
      </c>
      <c r="B569" s="3">
        <v>46346</v>
      </c>
      <c r="C569" s="2" t="s">
        <v>21</v>
      </c>
    </row>
    <row r="570" spans="1:3" x14ac:dyDescent="0.35">
      <c r="A570" t="s">
        <v>104</v>
      </c>
      <c r="B570" s="3">
        <v>46347</v>
      </c>
      <c r="C570" s="2" t="s">
        <v>21</v>
      </c>
    </row>
    <row r="571" spans="1:3" x14ac:dyDescent="0.35">
      <c r="A571" t="s">
        <v>104</v>
      </c>
      <c r="B571" s="3">
        <v>46348</v>
      </c>
      <c r="C571" s="2" t="s">
        <v>21</v>
      </c>
    </row>
    <row r="572" spans="1:3" x14ac:dyDescent="0.35">
      <c r="A572" t="s">
        <v>104</v>
      </c>
      <c r="B572" s="3">
        <v>46349</v>
      </c>
      <c r="C572" s="2" t="s">
        <v>21</v>
      </c>
    </row>
    <row r="573" spans="1:3" x14ac:dyDescent="0.35">
      <c r="A573" t="s">
        <v>104</v>
      </c>
      <c r="B573" s="3">
        <v>46350</v>
      </c>
      <c r="C573" s="2" t="s">
        <v>21</v>
      </c>
    </row>
    <row r="574" spans="1:3" x14ac:dyDescent="0.35">
      <c r="A574" t="s">
        <v>104</v>
      </c>
      <c r="B574" s="3">
        <v>46351</v>
      </c>
      <c r="C574" s="2" t="s">
        <v>21</v>
      </c>
    </row>
    <row r="575" spans="1:3" x14ac:dyDescent="0.35">
      <c r="A575" t="s">
        <v>104</v>
      </c>
      <c r="B575" s="3">
        <v>46352</v>
      </c>
      <c r="C575" s="2" t="s">
        <v>21</v>
      </c>
    </row>
    <row r="576" spans="1:3" x14ac:dyDescent="0.35">
      <c r="A576" t="s">
        <v>104</v>
      </c>
      <c r="B576" s="3">
        <v>46353</v>
      </c>
      <c r="C576" s="2" t="s">
        <v>21</v>
      </c>
    </row>
    <row r="577" spans="1:3" x14ac:dyDescent="0.35">
      <c r="A577" t="s">
        <v>104</v>
      </c>
      <c r="B577" s="3">
        <v>46354</v>
      </c>
      <c r="C577" s="2" t="s">
        <v>21</v>
      </c>
    </row>
    <row r="578" spans="1:3" x14ac:dyDescent="0.3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72"/>
  <sheetViews>
    <sheetView topLeftCell="A50" workbookViewId="0">
      <selection activeCell="D76" sqref="D76"/>
    </sheetView>
  </sheetViews>
  <sheetFormatPr defaultRowHeight="14.5" x14ac:dyDescent="0.35"/>
  <cols>
    <col min="4" max="4" width="47.54296875" bestFit="1" customWidth="1"/>
  </cols>
  <sheetData>
    <row r="1" spans="1:4" x14ac:dyDescent="0.3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3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3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3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3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3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3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3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3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3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3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3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3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3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3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3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3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3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3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3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3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3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3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3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3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3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3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3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3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3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3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3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3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3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3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3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3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3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3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3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3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3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3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3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3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3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3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3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3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3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3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3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3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3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3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3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3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3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3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3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3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3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3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3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3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3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3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3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35">
      <c r="A69" s="2" t="s">
        <v>155</v>
      </c>
      <c r="B69" t="s">
        <v>62</v>
      </c>
      <c r="C69" t="s">
        <v>24</v>
      </c>
      <c r="D69" t="s">
        <v>96</v>
      </c>
    </row>
    <row r="70" spans="1:4" x14ac:dyDescent="0.35">
      <c r="A70" s="2" t="s">
        <v>155</v>
      </c>
      <c r="B70" s="2" t="s">
        <v>127</v>
      </c>
      <c r="C70" s="2" t="s">
        <v>127</v>
      </c>
      <c r="D70" s="2" t="s">
        <v>128</v>
      </c>
    </row>
    <row r="71" spans="1:4" x14ac:dyDescent="0.35">
      <c r="A71" s="2" t="s">
        <v>155</v>
      </c>
      <c r="B71" s="2" t="s">
        <v>127</v>
      </c>
      <c r="C71" s="2" t="s">
        <v>127</v>
      </c>
      <c r="D71" s="2" t="s">
        <v>129</v>
      </c>
    </row>
    <row r="72" spans="1:4" x14ac:dyDescent="0.35">
      <c r="A72" s="2" t="s">
        <v>155</v>
      </c>
      <c r="B72" s="2" t="s">
        <v>127</v>
      </c>
      <c r="C72" s="2" t="s">
        <v>127</v>
      </c>
      <c r="D72" s="2" t="s">
        <v>130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2012"/>
  <sheetViews>
    <sheetView tabSelected="1" zoomScale="70" zoomScaleNormal="70" workbookViewId="0">
      <selection activeCell="H1" sqref="H1"/>
    </sheetView>
  </sheetViews>
  <sheetFormatPr defaultRowHeight="14.5" x14ac:dyDescent="0.35"/>
  <cols>
    <col min="2" max="2" width="16.81640625" customWidth="1"/>
    <col min="4" max="4" width="16.81640625" customWidth="1"/>
    <col min="6" max="6" width="20.81640625" customWidth="1"/>
    <col min="7" max="7" width="21.54296875" customWidth="1"/>
    <col min="8" max="8" width="15" customWidth="1"/>
    <col min="9" max="9" width="27.81640625" customWidth="1"/>
  </cols>
  <sheetData>
    <row r="1" spans="1:9" x14ac:dyDescent="0.3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3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3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3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3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3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3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3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3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3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3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3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3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3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3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3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3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3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3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3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3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3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3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3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3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3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3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3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3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3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3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3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3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3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3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3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3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3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3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3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3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3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3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3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3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3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3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3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3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3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3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3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3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3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3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3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3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3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3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3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3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3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3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3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3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3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3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3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3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3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3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3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3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3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3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3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3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3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3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3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3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3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3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3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3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3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3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3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3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3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3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3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3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3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3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3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3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3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3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3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3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3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3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3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3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3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3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3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3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3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3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3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3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3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3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3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3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3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3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3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3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3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3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3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3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3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3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3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3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3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3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3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3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3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3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3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3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3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3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3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3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3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3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3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3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3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3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3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3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3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3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3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3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3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3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3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3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3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3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3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3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3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3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3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3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3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3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3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3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3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3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3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3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3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3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3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3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3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3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3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3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3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3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3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3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3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3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3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3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3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3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3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3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3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3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3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3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3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3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3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3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3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3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3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3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3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3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3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3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3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3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3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3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3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3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3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3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3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3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3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3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3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3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3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3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3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3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3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3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3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3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3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3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3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3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3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3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3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3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3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3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3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3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3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3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3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3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3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3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3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3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3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3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3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3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3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3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3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3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3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3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3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3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3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3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3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3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3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3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3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3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3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3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3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3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3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3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3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3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3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3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3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3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3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3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3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3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3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3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3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3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3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3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3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3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3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3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3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3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3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3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3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3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3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3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3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3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3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3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3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3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3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3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3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3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3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3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3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3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3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3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3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3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3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3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3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3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3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3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3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3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3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3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3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3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3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3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3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3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3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3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3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3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3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3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3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3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3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3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3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3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3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3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3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3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3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3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3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3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3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3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3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3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3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3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3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3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3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3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3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3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3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3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3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3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3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3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3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3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3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3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3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3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3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3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3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3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3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3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3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3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3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3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3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3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3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3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3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3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3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3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3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3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3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3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3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3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3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3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3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3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3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3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3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3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3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3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3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3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3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3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3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3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3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3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3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3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3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3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3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3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3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3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3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3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3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3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3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3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3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3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3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3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3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3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3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3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3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3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3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3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3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3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3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3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3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3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3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3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3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3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3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3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3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3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3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3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3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3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3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3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3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3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3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3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3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3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3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3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3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3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3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3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3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3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3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3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3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3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3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3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3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3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3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3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3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3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3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3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3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3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3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3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3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3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3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3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3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3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3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3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3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3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3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3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3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3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3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3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3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3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3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3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3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3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3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3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3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3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3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3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3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3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3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3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3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3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3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3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3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3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3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3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3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3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3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3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3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3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3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3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3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3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3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3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3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3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3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3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3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3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3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3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3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3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3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3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3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3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3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3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3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3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3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3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3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3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3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3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3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3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3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3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3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3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3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3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3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3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3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3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3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3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3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3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3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3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3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3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3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3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3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3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3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3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3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3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3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3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3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3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3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3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3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3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3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3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3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3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3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3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3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3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3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3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3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3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3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3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3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3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3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3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3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3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3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3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3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3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3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3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3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3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3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3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3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3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3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3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3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3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3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3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3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3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3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3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3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3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3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3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3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3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3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3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3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3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3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3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3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3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3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3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3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3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3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3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3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3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3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3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3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3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3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3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3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3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3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3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3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3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3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3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3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3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3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3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3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3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3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3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3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3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3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3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3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3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3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3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3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3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3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3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3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3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3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3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3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3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3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3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3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3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3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3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3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3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3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3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3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3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3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3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3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3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3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3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3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3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3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3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3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3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3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3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3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3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3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3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3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3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3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3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3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3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3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3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3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3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3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3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3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3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3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3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3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3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3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3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3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3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3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3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3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3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3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3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3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3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3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3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3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3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3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3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3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3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3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3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3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3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3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3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3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3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3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3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3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3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3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3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3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3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3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3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3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3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3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3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3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3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3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3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3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3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3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3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3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3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3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3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3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3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3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3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3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3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3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3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3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3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3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3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3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3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3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3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3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3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3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3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3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3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3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3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3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3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3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3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3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3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3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3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3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3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3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3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3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3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3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3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3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3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3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3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3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3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3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3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3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3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3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3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3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3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3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3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3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3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3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3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3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3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3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3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3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3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3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3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3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3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3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3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3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3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3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3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3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3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3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3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3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3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3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3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3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3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3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3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3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3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3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3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3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3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3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3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3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3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3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3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3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3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3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3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3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3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3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3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3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3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3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3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3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3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3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3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3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3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3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3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3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3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3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3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3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3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3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3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3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3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3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3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3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3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3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3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3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3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3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3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3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3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3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3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3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3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3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3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3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3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3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3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3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3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3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3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3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3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3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3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3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3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3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3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3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3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3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3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3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3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3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3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3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3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3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3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3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3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3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3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3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3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3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3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3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3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3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3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3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3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3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3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3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3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3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3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3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3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3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3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3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3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3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3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3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3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3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3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3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3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3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3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3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3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3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3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3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3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3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3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3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3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3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3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3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3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3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3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3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3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3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3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3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3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3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3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3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3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3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3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3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3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3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3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3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3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3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3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3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3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3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3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3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3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3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3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3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3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3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3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3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3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3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3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3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3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3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3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3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3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3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3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3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3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3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3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3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3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3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3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3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3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3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3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3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3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3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3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3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3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3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3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3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3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3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3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3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3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3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3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3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3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3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3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3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3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3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3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3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3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3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3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3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3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3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3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3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3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3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3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3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3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3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3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3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3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3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3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3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3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3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3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3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3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3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3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3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3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3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3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3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3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3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3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3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3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3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3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3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3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3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3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3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3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3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3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3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3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3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3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3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3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3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3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3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3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3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3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3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3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3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3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3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3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3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3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3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3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3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3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3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3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3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3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3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3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3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3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3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3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3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3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3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3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3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3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3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3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3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3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3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3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3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3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3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3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3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3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3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3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3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3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3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3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3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3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3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3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3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3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3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3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3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3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3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3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3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3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3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3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3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3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3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3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3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3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3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3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3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3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3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3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3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3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3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3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3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3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3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3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3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3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3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3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3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3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3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3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3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3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3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3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3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3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3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3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3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3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3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3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3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3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3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3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3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3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3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3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3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3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3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3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3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3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3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3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3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3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3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3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3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3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3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3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3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3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3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3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3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3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3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3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3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3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3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3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3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3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3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3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3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3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3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3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3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3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3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3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3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3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3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3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3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3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3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3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3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3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3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3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3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3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3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3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3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3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3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3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3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3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3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3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3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3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3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3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3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3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3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3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3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3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3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3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3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3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3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3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3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3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3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3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3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3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3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3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3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3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3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3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3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3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3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x14ac:dyDescent="0.3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x14ac:dyDescent="0.3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x14ac:dyDescent="0.3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x14ac:dyDescent="0.3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x14ac:dyDescent="0.3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x14ac:dyDescent="0.3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x14ac:dyDescent="0.3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x14ac:dyDescent="0.3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x14ac:dyDescent="0.3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x14ac:dyDescent="0.3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x14ac:dyDescent="0.3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x14ac:dyDescent="0.3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x14ac:dyDescent="0.3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x14ac:dyDescent="0.3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x14ac:dyDescent="0.3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x14ac:dyDescent="0.3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x14ac:dyDescent="0.3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x14ac:dyDescent="0.3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x14ac:dyDescent="0.3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x14ac:dyDescent="0.3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x14ac:dyDescent="0.3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x14ac:dyDescent="0.3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x14ac:dyDescent="0.3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x14ac:dyDescent="0.3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x14ac:dyDescent="0.3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x14ac:dyDescent="0.3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x14ac:dyDescent="0.3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x14ac:dyDescent="0.3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x14ac:dyDescent="0.3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x14ac:dyDescent="0.3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x14ac:dyDescent="0.3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x14ac:dyDescent="0.3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x14ac:dyDescent="0.3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x14ac:dyDescent="0.3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x14ac:dyDescent="0.3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x14ac:dyDescent="0.3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x14ac:dyDescent="0.3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x14ac:dyDescent="0.3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x14ac:dyDescent="0.3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3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3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3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3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3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3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3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3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3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3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3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3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3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3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3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3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x14ac:dyDescent="0.3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x14ac:dyDescent="0.3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x14ac:dyDescent="0.3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x14ac:dyDescent="0.3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x14ac:dyDescent="0.3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x14ac:dyDescent="0.3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x14ac:dyDescent="0.3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x14ac:dyDescent="0.3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x14ac:dyDescent="0.3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x14ac:dyDescent="0.3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x14ac:dyDescent="0.3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x14ac:dyDescent="0.3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x14ac:dyDescent="0.3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x14ac:dyDescent="0.3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x14ac:dyDescent="0.3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x14ac:dyDescent="0.3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x14ac:dyDescent="0.3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x14ac:dyDescent="0.3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x14ac:dyDescent="0.3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x14ac:dyDescent="0.3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x14ac:dyDescent="0.3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x14ac:dyDescent="0.3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x14ac:dyDescent="0.3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x14ac:dyDescent="0.3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x14ac:dyDescent="0.3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x14ac:dyDescent="0.3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x14ac:dyDescent="0.3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x14ac:dyDescent="0.3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x14ac:dyDescent="0.3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x14ac:dyDescent="0.3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x14ac:dyDescent="0.3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x14ac:dyDescent="0.3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x14ac:dyDescent="0.3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x14ac:dyDescent="0.3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x14ac:dyDescent="0.3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x14ac:dyDescent="0.3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x14ac:dyDescent="0.3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x14ac:dyDescent="0.3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x14ac:dyDescent="0.3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x14ac:dyDescent="0.3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x14ac:dyDescent="0.3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x14ac:dyDescent="0.3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x14ac:dyDescent="0.3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x14ac:dyDescent="0.3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x14ac:dyDescent="0.3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x14ac:dyDescent="0.3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x14ac:dyDescent="0.3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x14ac:dyDescent="0.3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x14ac:dyDescent="0.3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x14ac:dyDescent="0.3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x14ac:dyDescent="0.3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x14ac:dyDescent="0.3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x14ac:dyDescent="0.3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x14ac:dyDescent="0.3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x14ac:dyDescent="0.3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x14ac:dyDescent="0.3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3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3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3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3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3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3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3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3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3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3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3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3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3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3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3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3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x14ac:dyDescent="0.3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x14ac:dyDescent="0.3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x14ac:dyDescent="0.3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x14ac:dyDescent="0.3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x14ac:dyDescent="0.3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x14ac:dyDescent="0.3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x14ac:dyDescent="0.3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x14ac:dyDescent="0.3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x14ac:dyDescent="0.3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x14ac:dyDescent="0.3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x14ac:dyDescent="0.3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x14ac:dyDescent="0.3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x14ac:dyDescent="0.3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x14ac:dyDescent="0.3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x14ac:dyDescent="0.3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x14ac:dyDescent="0.3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x14ac:dyDescent="0.3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x14ac:dyDescent="0.3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x14ac:dyDescent="0.3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x14ac:dyDescent="0.3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x14ac:dyDescent="0.3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x14ac:dyDescent="0.3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3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3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x14ac:dyDescent="0.3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x14ac:dyDescent="0.3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3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3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x14ac:dyDescent="0.3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x14ac:dyDescent="0.3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x14ac:dyDescent="0.3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x14ac:dyDescent="0.3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3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3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3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3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x14ac:dyDescent="0.3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x14ac:dyDescent="0.3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x14ac:dyDescent="0.3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x14ac:dyDescent="0.3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x14ac:dyDescent="0.3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x14ac:dyDescent="0.3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x14ac:dyDescent="0.3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x14ac:dyDescent="0.3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x14ac:dyDescent="0.3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x14ac:dyDescent="0.3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x14ac:dyDescent="0.3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x14ac:dyDescent="0.3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3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3.69</v>
      </c>
      <c r="H1570">
        <v>3.19</v>
      </c>
      <c r="I1570" s="2" t="str">
        <f>_xlfn.XLOOKUP(F1570,DeparaIMG!D:D,DeparaIMG!F:F,,0)</f>
        <v>BC0350.png</v>
      </c>
    </row>
    <row r="1571" spans="1:9" x14ac:dyDescent="0.3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3.69</v>
      </c>
      <c r="H1571">
        <v>3.19</v>
      </c>
      <c r="I1571" s="2" t="str">
        <f>_xlfn.XLOOKUP(F1571,DeparaIMG!D:D,DeparaIMG!F:F,,0)</f>
        <v>BC0350.png</v>
      </c>
    </row>
    <row r="1572" spans="1:9" x14ac:dyDescent="0.3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x14ac:dyDescent="0.3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x14ac:dyDescent="0.3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x14ac:dyDescent="0.3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x14ac:dyDescent="0.3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x14ac:dyDescent="0.3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x14ac:dyDescent="0.3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x14ac:dyDescent="0.3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x14ac:dyDescent="0.3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x14ac:dyDescent="0.3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x14ac:dyDescent="0.3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x14ac:dyDescent="0.3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x14ac:dyDescent="0.3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x14ac:dyDescent="0.3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x14ac:dyDescent="0.3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x14ac:dyDescent="0.3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x14ac:dyDescent="0.3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x14ac:dyDescent="0.3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x14ac:dyDescent="0.3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x14ac:dyDescent="0.3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x14ac:dyDescent="0.3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x14ac:dyDescent="0.3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x14ac:dyDescent="0.3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x14ac:dyDescent="0.3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x14ac:dyDescent="0.3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x14ac:dyDescent="0.3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x14ac:dyDescent="0.3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x14ac:dyDescent="0.3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x14ac:dyDescent="0.3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x14ac:dyDescent="0.3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3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3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x14ac:dyDescent="0.3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x14ac:dyDescent="0.3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x14ac:dyDescent="0.3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x14ac:dyDescent="0.3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x14ac:dyDescent="0.3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x14ac:dyDescent="0.3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x14ac:dyDescent="0.3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x14ac:dyDescent="0.3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x14ac:dyDescent="0.3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x14ac:dyDescent="0.3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x14ac:dyDescent="0.3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x14ac:dyDescent="0.3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x14ac:dyDescent="0.3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x14ac:dyDescent="0.3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x14ac:dyDescent="0.3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x14ac:dyDescent="0.3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x14ac:dyDescent="0.3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x14ac:dyDescent="0.3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x14ac:dyDescent="0.3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x14ac:dyDescent="0.3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3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3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3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3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x14ac:dyDescent="0.3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x14ac:dyDescent="0.3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x14ac:dyDescent="0.3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x14ac:dyDescent="0.3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x14ac:dyDescent="0.3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x14ac:dyDescent="0.3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x14ac:dyDescent="0.3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x14ac:dyDescent="0.3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x14ac:dyDescent="0.3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x14ac:dyDescent="0.3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x14ac:dyDescent="0.3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x14ac:dyDescent="0.3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x14ac:dyDescent="0.3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x14ac:dyDescent="0.3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x14ac:dyDescent="0.3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x14ac:dyDescent="0.3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x14ac:dyDescent="0.3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3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3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3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3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x14ac:dyDescent="0.3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x14ac:dyDescent="0.3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x14ac:dyDescent="0.3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x14ac:dyDescent="0.3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x14ac:dyDescent="0.3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x14ac:dyDescent="0.3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x14ac:dyDescent="0.3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x14ac:dyDescent="0.3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x14ac:dyDescent="0.3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x14ac:dyDescent="0.3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x14ac:dyDescent="0.3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x14ac:dyDescent="0.3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x14ac:dyDescent="0.3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x14ac:dyDescent="0.3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x14ac:dyDescent="0.3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x14ac:dyDescent="0.3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x14ac:dyDescent="0.3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x14ac:dyDescent="0.3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x14ac:dyDescent="0.3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x14ac:dyDescent="0.3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3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3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x14ac:dyDescent="0.3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x14ac:dyDescent="0.3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x14ac:dyDescent="0.3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x14ac:dyDescent="0.3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x14ac:dyDescent="0.3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x14ac:dyDescent="0.3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x14ac:dyDescent="0.3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x14ac:dyDescent="0.3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x14ac:dyDescent="0.3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x14ac:dyDescent="0.3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x14ac:dyDescent="0.3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3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x14ac:dyDescent="0.3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x14ac:dyDescent="0.3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x14ac:dyDescent="0.3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x14ac:dyDescent="0.3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3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x14ac:dyDescent="0.3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3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x14ac:dyDescent="0.3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x14ac:dyDescent="0.3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x14ac:dyDescent="0.3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x14ac:dyDescent="0.3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x14ac:dyDescent="0.3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x14ac:dyDescent="0.3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3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3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3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3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x14ac:dyDescent="0.3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x14ac:dyDescent="0.3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3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3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3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3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x14ac:dyDescent="0.3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x14ac:dyDescent="0.3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x14ac:dyDescent="0.3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x14ac:dyDescent="0.3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x14ac:dyDescent="0.3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x14ac:dyDescent="0.3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x14ac:dyDescent="0.3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x14ac:dyDescent="0.3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x14ac:dyDescent="0.3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x14ac:dyDescent="0.3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x14ac:dyDescent="0.3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x14ac:dyDescent="0.3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x14ac:dyDescent="0.3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x14ac:dyDescent="0.3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x14ac:dyDescent="0.3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x14ac:dyDescent="0.3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3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3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x14ac:dyDescent="0.3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x14ac:dyDescent="0.3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x14ac:dyDescent="0.3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x14ac:dyDescent="0.3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x14ac:dyDescent="0.3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3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3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x14ac:dyDescent="0.3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x14ac:dyDescent="0.3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x14ac:dyDescent="0.3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x14ac:dyDescent="0.3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x14ac:dyDescent="0.3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3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3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3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x14ac:dyDescent="0.35">
      <c r="A1739" t="s">
        <v>155</v>
      </c>
      <c r="B1739" t="s">
        <v>62</v>
      </c>
      <c r="C1739" t="s">
        <v>89</v>
      </c>
      <c r="D1739" t="s">
        <v>25</v>
      </c>
      <c r="E1739">
        <v>2</v>
      </c>
      <c r="F1739" t="s">
        <v>66</v>
      </c>
      <c r="G1739" s="6">
        <v>3.39</v>
      </c>
      <c r="H1739" s="6">
        <v>3.19</v>
      </c>
      <c r="I1739" s="2" t="str">
        <f>_xlfn.XLOOKUP(F1739,DeparaIMG!D:D,DeparaIMG!F:F,,0)</f>
        <v>SK269.png</v>
      </c>
    </row>
    <row r="1740" spans="1:9" x14ac:dyDescent="0.35">
      <c r="A1740" t="s">
        <v>155</v>
      </c>
      <c r="B1740" t="s">
        <v>62</v>
      </c>
      <c r="C1740" t="s">
        <v>90</v>
      </c>
      <c r="D1740" t="s">
        <v>25</v>
      </c>
      <c r="E1740">
        <v>2</v>
      </c>
      <c r="F1740" t="s">
        <v>67</v>
      </c>
      <c r="G1740" s="6">
        <v>3.39</v>
      </c>
      <c r="H1740" s="6">
        <v>3.0900000000000003</v>
      </c>
      <c r="I1740" s="2" t="str">
        <f>_xlfn.XLOOKUP(F1740,DeparaIMG!D:D,DeparaIMG!F:F,,0)</f>
        <v>AP269.png</v>
      </c>
    </row>
    <row r="1741" spans="1:9" x14ac:dyDescent="0.35">
      <c r="A1741" t="s">
        <v>155</v>
      </c>
      <c r="B1741" t="s">
        <v>62</v>
      </c>
      <c r="C1741" t="s">
        <v>90</v>
      </c>
      <c r="D1741" t="s">
        <v>26</v>
      </c>
      <c r="E1741">
        <v>2</v>
      </c>
      <c r="F1741" t="s">
        <v>67</v>
      </c>
      <c r="G1741" s="6">
        <v>3.39</v>
      </c>
      <c r="H1741" s="6">
        <v>3.0900000000000003</v>
      </c>
      <c r="I1741" s="2" t="str">
        <f>_xlfn.XLOOKUP(F1741,DeparaIMG!D:D,DeparaIMG!F:F,,0)</f>
        <v>AP269.png</v>
      </c>
    </row>
    <row r="1742" spans="1:9" x14ac:dyDescent="0.35">
      <c r="A1742" t="s">
        <v>155</v>
      </c>
      <c r="B1742" t="s">
        <v>62</v>
      </c>
      <c r="C1742" t="s">
        <v>89</v>
      </c>
      <c r="D1742" t="s">
        <v>26</v>
      </c>
      <c r="E1742">
        <v>2</v>
      </c>
      <c r="F1742" t="s">
        <v>66</v>
      </c>
      <c r="G1742" s="6">
        <v>3.39</v>
      </c>
      <c r="H1742" s="6">
        <v>3.19</v>
      </c>
      <c r="I1742" s="2" t="str">
        <f>_xlfn.XLOOKUP(F1742,DeparaIMG!D:D,DeparaIMG!F:F,,0)</f>
        <v>SK269.png</v>
      </c>
    </row>
    <row r="1743" spans="1:9" x14ac:dyDescent="0.35">
      <c r="A1743" t="s">
        <v>155</v>
      </c>
      <c r="B1743" t="s">
        <v>62</v>
      </c>
      <c r="C1743" t="s">
        <v>89</v>
      </c>
      <c r="D1743" t="s">
        <v>25</v>
      </c>
      <c r="E1743">
        <v>2</v>
      </c>
      <c r="F1743" t="s">
        <v>70</v>
      </c>
      <c r="G1743" s="6">
        <v>3.69</v>
      </c>
      <c r="H1743" s="6">
        <v>3.19</v>
      </c>
      <c r="I1743" s="2" t="str">
        <f>_xlfn.XLOOKUP(F1743,DeparaIMG!D:D,DeparaIMG!F:F,,0)</f>
        <v>BC0350.png</v>
      </c>
    </row>
    <row r="1744" spans="1:9" x14ac:dyDescent="0.35">
      <c r="A1744" t="s">
        <v>155</v>
      </c>
      <c r="B1744" t="s">
        <v>62</v>
      </c>
      <c r="C1744" t="s">
        <v>90</v>
      </c>
      <c r="D1744" t="s">
        <v>25</v>
      </c>
      <c r="E1744">
        <v>2</v>
      </c>
      <c r="F1744" t="s">
        <v>70</v>
      </c>
      <c r="G1744" s="6">
        <v>3.69</v>
      </c>
      <c r="H1744" s="6">
        <v>3.19</v>
      </c>
      <c r="I1744" s="2" t="str">
        <f>_xlfn.XLOOKUP(F1744,DeparaIMG!D:D,DeparaIMG!F:F,,0)</f>
        <v>BC0350.png</v>
      </c>
    </row>
    <row r="1745" spans="1:9" x14ac:dyDescent="0.35">
      <c r="A1745" t="s">
        <v>155</v>
      </c>
      <c r="B1745" t="s">
        <v>62</v>
      </c>
      <c r="C1745" t="s">
        <v>89</v>
      </c>
      <c r="D1745" t="s">
        <v>25</v>
      </c>
      <c r="E1745">
        <v>2</v>
      </c>
      <c r="F1745" t="s">
        <v>64</v>
      </c>
      <c r="G1745" s="6">
        <v>3.89</v>
      </c>
      <c r="H1745" s="6">
        <v>3.7869999999999999</v>
      </c>
      <c r="I1745" s="2" t="str">
        <f>_xlfn.XLOOKUP(F1745,DeparaIMG!D:D,DeparaIMG!F:F,,0)</f>
        <v>SKZERO350.png</v>
      </c>
    </row>
    <row r="1746" spans="1:9" x14ac:dyDescent="0.35">
      <c r="A1746" t="s">
        <v>155</v>
      </c>
      <c r="B1746" t="s">
        <v>62</v>
      </c>
      <c r="C1746" t="s">
        <v>90</v>
      </c>
      <c r="D1746" t="s">
        <v>25</v>
      </c>
      <c r="E1746">
        <v>2</v>
      </c>
      <c r="F1746" t="s">
        <v>64</v>
      </c>
      <c r="G1746" s="6">
        <v>3.89</v>
      </c>
      <c r="H1746" s="6">
        <v>3.6870000000000003</v>
      </c>
      <c r="I1746" s="2" t="str">
        <f>_xlfn.XLOOKUP(F1746,DeparaIMG!D:D,DeparaIMG!F:F,,0)</f>
        <v>SKZERO350.png</v>
      </c>
    </row>
    <row r="1747" spans="1:9" x14ac:dyDescent="0.35">
      <c r="A1747" t="s">
        <v>155</v>
      </c>
      <c r="B1747" t="s">
        <v>62</v>
      </c>
      <c r="C1747" t="s">
        <v>89</v>
      </c>
      <c r="D1747" t="s">
        <v>25</v>
      </c>
      <c r="E1747">
        <v>2</v>
      </c>
      <c r="F1747" t="s">
        <v>72</v>
      </c>
      <c r="G1747" s="6">
        <v>3.9910000000000001</v>
      </c>
      <c r="H1747" s="6">
        <v>3.6900000000000004</v>
      </c>
      <c r="I1747" s="2" t="str">
        <f>_xlfn.XLOOKUP(F1747,DeparaIMG!D:D,DeparaIMG!F:F,,0)</f>
        <v>ORI269.png</v>
      </c>
    </row>
    <row r="1748" spans="1:9" x14ac:dyDescent="0.35">
      <c r="A1748" t="s">
        <v>155</v>
      </c>
      <c r="B1748" t="s">
        <v>62</v>
      </c>
      <c r="C1748" t="s">
        <v>90</v>
      </c>
      <c r="D1748" t="s">
        <v>25</v>
      </c>
      <c r="E1748">
        <v>2</v>
      </c>
      <c r="F1748" t="s">
        <v>72</v>
      </c>
      <c r="G1748" s="6">
        <v>3.9910000000000001</v>
      </c>
      <c r="H1748" s="6">
        <v>3.6900000000000004</v>
      </c>
      <c r="I1748" s="2" t="str">
        <f>_xlfn.XLOOKUP(F1748,DeparaIMG!D:D,DeparaIMG!F:F,,0)</f>
        <v>ORI269.png</v>
      </c>
    </row>
    <row r="1749" spans="1:9" x14ac:dyDescent="0.3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72</v>
      </c>
      <c r="G1749" s="6">
        <v>3.9910000000000001</v>
      </c>
      <c r="H1749" s="6">
        <v>3.6900000000000004</v>
      </c>
      <c r="I1749" s="2" t="str">
        <f>_xlfn.XLOOKUP(F1749,DeparaIMG!D:D,DeparaIMG!F:F,,0)</f>
        <v>ORI269.png</v>
      </c>
    </row>
    <row r="1750" spans="1:9" x14ac:dyDescent="0.35">
      <c r="A1750" t="s">
        <v>155</v>
      </c>
      <c r="B1750" t="s">
        <v>62</v>
      </c>
      <c r="C1750" t="s">
        <v>90</v>
      </c>
      <c r="D1750" t="s">
        <v>26</v>
      </c>
      <c r="E1750">
        <v>2</v>
      </c>
      <c r="F1750" t="s">
        <v>72</v>
      </c>
      <c r="G1750" s="6">
        <v>3.9910000000000001</v>
      </c>
      <c r="H1750" s="6">
        <v>3.6900000000000004</v>
      </c>
      <c r="I1750" s="2" t="str">
        <f>_xlfn.XLOOKUP(F1750,DeparaIMG!D:D,DeparaIMG!F:F,,0)</f>
        <v>ORI269.png</v>
      </c>
    </row>
    <row r="1751" spans="1:9" x14ac:dyDescent="0.35">
      <c r="A1751" t="s">
        <v>155</v>
      </c>
      <c r="B1751" t="s">
        <v>62</v>
      </c>
      <c r="C1751" t="s">
        <v>90</v>
      </c>
      <c r="D1751" t="s">
        <v>26</v>
      </c>
      <c r="E1751">
        <v>2</v>
      </c>
      <c r="F1751" t="s">
        <v>70</v>
      </c>
      <c r="G1751" s="6">
        <v>3.992</v>
      </c>
      <c r="H1751" s="6">
        <v>3.49</v>
      </c>
      <c r="I1751" s="2" t="str">
        <f>_xlfn.XLOOKUP(F1751,DeparaIMG!D:D,DeparaIMG!F:F,,0)</f>
        <v>BC0350.png</v>
      </c>
    </row>
    <row r="1752" spans="1:9" x14ac:dyDescent="0.35">
      <c r="A1752" t="s">
        <v>155</v>
      </c>
      <c r="B1752" t="s">
        <v>62</v>
      </c>
      <c r="C1752" t="s">
        <v>89</v>
      </c>
      <c r="D1752" t="s">
        <v>26</v>
      </c>
      <c r="E1752">
        <v>2</v>
      </c>
      <c r="F1752" t="s">
        <v>70</v>
      </c>
      <c r="G1752" s="6">
        <v>3.992</v>
      </c>
      <c r="H1752" s="6">
        <v>3.49</v>
      </c>
      <c r="I1752" s="2" t="str">
        <f>_xlfn.XLOOKUP(F1752,DeparaIMG!D:D,DeparaIMG!F:F,,0)</f>
        <v>BC0350.png</v>
      </c>
    </row>
    <row r="1753" spans="1:9" x14ac:dyDescent="0.35">
      <c r="A1753" t="s">
        <v>155</v>
      </c>
      <c r="B1753" t="s">
        <v>62</v>
      </c>
      <c r="C1753" t="s">
        <v>89</v>
      </c>
      <c r="D1753" t="s">
        <v>26</v>
      </c>
      <c r="E1753">
        <v>2</v>
      </c>
      <c r="F1753" t="s">
        <v>64</v>
      </c>
      <c r="G1753" s="6">
        <v>4.1900000000000004</v>
      </c>
      <c r="H1753" s="6">
        <v>4.0869999999999997</v>
      </c>
      <c r="I1753" s="2" t="str">
        <f>_xlfn.XLOOKUP(F1753,DeparaIMG!D:D,DeparaIMG!F:F,,0)</f>
        <v>SKZERO350.png</v>
      </c>
    </row>
    <row r="1754" spans="1:9" x14ac:dyDescent="0.35">
      <c r="A1754" t="s">
        <v>155</v>
      </c>
      <c r="B1754" t="s">
        <v>62</v>
      </c>
      <c r="C1754" t="s">
        <v>90</v>
      </c>
      <c r="D1754" t="s">
        <v>26</v>
      </c>
      <c r="E1754">
        <v>2</v>
      </c>
      <c r="F1754" t="s">
        <v>64</v>
      </c>
      <c r="G1754" s="6">
        <v>4.1900000000000004</v>
      </c>
      <c r="H1754" s="6">
        <v>3.9870000000000005</v>
      </c>
      <c r="I1754" s="2" t="str">
        <f>_xlfn.XLOOKUP(F1754,DeparaIMG!D:D,DeparaIMG!F:F,,0)</f>
        <v>SKZERO350.png</v>
      </c>
    </row>
    <row r="1755" spans="1:9" x14ac:dyDescent="0.35">
      <c r="A1755" t="s">
        <v>155</v>
      </c>
      <c r="B1755" t="s">
        <v>62</v>
      </c>
      <c r="C1755" t="s">
        <v>90</v>
      </c>
      <c r="D1755" t="s">
        <v>25</v>
      </c>
      <c r="E1755">
        <v>2</v>
      </c>
      <c r="F1755" t="s">
        <v>75</v>
      </c>
      <c r="G1755" s="6">
        <v>4.2910000000000004</v>
      </c>
      <c r="H1755" s="6">
        <v>3.4910000000000005</v>
      </c>
      <c r="I1755" s="2" t="str">
        <f>_xlfn.XLOOKUP(F1755,DeparaIMG!D:D,DeparaIMG!F:F,,0)</f>
        <v>STE269.png</v>
      </c>
    </row>
    <row r="1756" spans="1:9" x14ac:dyDescent="0.35">
      <c r="A1756" t="s">
        <v>155</v>
      </c>
      <c r="B1756" t="s">
        <v>62</v>
      </c>
      <c r="C1756" t="s">
        <v>89</v>
      </c>
      <c r="D1756" t="s">
        <v>25</v>
      </c>
      <c r="E1756">
        <v>2</v>
      </c>
      <c r="F1756" t="s">
        <v>75</v>
      </c>
      <c r="G1756" s="6">
        <v>4.2910000000000004</v>
      </c>
      <c r="H1756" s="6">
        <v>3.4910000000000005</v>
      </c>
      <c r="I1756" s="2" t="str">
        <f>_xlfn.XLOOKUP(F1756,DeparaIMG!D:D,DeparaIMG!F:F,,0)</f>
        <v>STE269.png</v>
      </c>
    </row>
    <row r="1757" spans="1:9" x14ac:dyDescent="0.35">
      <c r="A1757" t="s">
        <v>155</v>
      </c>
      <c r="B1757" t="s">
        <v>62</v>
      </c>
      <c r="C1757" t="s">
        <v>90</v>
      </c>
      <c r="D1757" t="s">
        <v>26</v>
      </c>
      <c r="E1757">
        <v>2</v>
      </c>
      <c r="F1757" t="s">
        <v>75</v>
      </c>
      <c r="G1757" s="6">
        <v>4.2919999999999998</v>
      </c>
      <c r="H1757" s="6">
        <v>3.492</v>
      </c>
      <c r="I1757" s="2" t="str">
        <f>_xlfn.XLOOKUP(F1757,DeparaIMG!D:D,DeparaIMG!F:F,,0)</f>
        <v>STE269.png</v>
      </c>
    </row>
    <row r="1758" spans="1:9" x14ac:dyDescent="0.35">
      <c r="A1758" t="s">
        <v>155</v>
      </c>
      <c r="B1758" t="s">
        <v>62</v>
      </c>
      <c r="C1758" t="s">
        <v>89</v>
      </c>
      <c r="D1758" t="s">
        <v>26</v>
      </c>
      <c r="E1758">
        <v>2</v>
      </c>
      <c r="F1758" t="s">
        <v>75</v>
      </c>
      <c r="G1758" s="6">
        <v>4.2919999999999998</v>
      </c>
      <c r="H1758" s="6">
        <v>3.492</v>
      </c>
      <c r="I1758" s="2" t="str">
        <f>_xlfn.XLOOKUP(F1758,DeparaIMG!D:D,DeparaIMG!F:F,,0)</f>
        <v>STE269.png</v>
      </c>
    </row>
    <row r="1759" spans="1:9" x14ac:dyDescent="0.35">
      <c r="A1759" t="s">
        <v>155</v>
      </c>
      <c r="B1759" t="s">
        <v>62</v>
      </c>
      <c r="C1759" t="s">
        <v>90</v>
      </c>
      <c r="D1759" t="s">
        <v>26</v>
      </c>
      <c r="E1759">
        <v>2</v>
      </c>
      <c r="F1759" t="s">
        <v>77</v>
      </c>
      <c r="G1759" s="6">
        <v>4.79</v>
      </c>
      <c r="H1759" s="6">
        <v>4.29</v>
      </c>
      <c r="I1759" s="2" t="str">
        <f>_xlfn.XLOOKUP(F1759,DeparaIMG!D:D,DeparaIMG!F:F,,0)</f>
        <v>COR269.png</v>
      </c>
    </row>
    <row r="1760" spans="1:9" x14ac:dyDescent="0.35">
      <c r="A1760" t="s">
        <v>155</v>
      </c>
      <c r="B1760" t="s">
        <v>62</v>
      </c>
      <c r="C1760" t="s">
        <v>89</v>
      </c>
      <c r="D1760" t="s">
        <v>26</v>
      </c>
      <c r="E1760">
        <v>2</v>
      </c>
      <c r="F1760" t="s">
        <v>77</v>
      </c>
      <c r="G1760" s="6">
        <v>4.79</v>
      </c>
      <c r="H1760" s="6">
        <v>4.29</v>
      </c>
      <c r="I1760" s="2" t="str">
        <f>_xlfn.XLOOKUP(F1760,DeparaIMG!D:D,DeparaIMG!F:F,,0)</f>
        <v>COR269.png</v>
      </c>
    </row>
    <row r="1761" spans="1:9" x14ac:dyDescent="0.35">
      <c r="A1761" t="s">
        <v>155</v>
      </c>
      <c r="B1761" t="s">
        <v>62</v>
      </c>
      <c r="C1761" t="s">
        <v>90</v>
      </c>
      <c r="D1761" t="s">
        <v>26</v>
      </c>
      <c r="E1761">
        <v>2</v>
      </c>
      <c r="F1761" t="s">
        <v>80</v>
      </c>
      <c r="G1761" s="6">
        <v>6.39</v>
      </c>
      <c r="H1761" s="6">
        <v>5.59</v>
      </c>
      <c r="I1761" s="2" t="str">
        <f>_xlfn.XLOOKUP(F1761,DeparaIMG!D:D,DeparaIMG!F:F,,0)</f>
        <v>CORCERO350.png</v>
      </c>
    </row>
    <row r="1762" spans="1:9" x14ac:dyDescent="0.35">
      <c r="A1762" t="s">
        <v>155</v>
      </c>
      <c r="B1762" t="s">
        <v>62</v>
      </c>
      <c r="C1762" t="s">
        <v>89</v>
      </c>
      <c r="D1762" t="s">
        <v>26</v>
      </c>
      <c r="E1762">
        <v>2</v>
      </c>
      <c r="F1762" t="s">
        <v>80</v>
      </c>
      <c r="G1762" s="6">
        <v>6.39</v>
      </c>
      <c r="H1762" s="6">
        <v>5.59</v>
      </c>
      <c r="I1762" s="2" t="str">
        <f>_xlfn.XLOOKUP(F1762,DeparaIMG!D:D,DeparaIMG!F:F,,0)</f>
        <v>CORCERO350.png</v>
      </c>
    </row>
    <row r="1763" spans="1:9" x14ac:dyDescent="0.35">
      <c r="A1763" t="s">
        <v>155</v>
      </c>
      <c r="B1763" t="s">
        <v>62</v>
      </c>
      <c r="C1763" t="s">
        <v>90</v>
      </c>
      <c r="D1763" t="s">
        <v>25</v>
      </c>
      <c r="E1763">
        <v>2</v>
      </c>
      <c r="F1763" t="s">
        <v>80</v>
      </c>
      <c r="G1763" s="6">
        <v>6.39</v>
      </c>
      <c r="H1763" s="6">
        <v>5.59</v>
      </c>
      <c r="I1763" s="2" t="str">
        <f>_xlfn.XLOOKUP(F1763,DeparaIMG!D:D,DeparaIMG!F:F,,0)</f>
        <v>CORCERO350.png</v>
      </c>
    </row>
    <row r="1764" spans="1:9" x14ac:dyDescent="0.35">
      <c r="A1764" t="s">
        <v>155</v>
      </c>
      <c r="B1764" t="s">
        <v>62</v>
      </c>
      <c r="C1764" t="s">
        <v>89</v>
      </c>
      <c r="D1764" t="s">
        <v>25</v>
      </c>
      <c r="E1764">
        <v>2</v>
      </c>
      <c r="F1764" t="s">
        <v>80</v>
      </c>
      <c r="G1764" s="6">
        <v>6.39</v>
      </c>
      <c r="H1764" s="6">
        <v>5.59</v>
      </c>
      <c r="I1764" s="2" t="str">
        <f>_xlfn.XLOOKUP(F1764,DeparaIMG!D:D,DeparaIMG!F:F,,0)</f>
        <v>CORCERO350.png</v>
      </c>
    </row>
    <row r="1765" spans="1:9" x14ac:dyDescent="0.35">
      <c r="A1765" t="s">
        <v>155</v>
      </c>
      <c r="B1765" t="s">
        <v>62</v>
      </c>
      <c r="C1765" t="s">
        <v>90</v>
      </c>
      <c r="D1765" t="s">
        <v>26</v>
      </c>
      <c r="E1765">
        <v>2</v>
      </c>
      <c r="F1765" t="s">
        <v>83</v>
      </c>
      <c r="G1765" s="6">
        <v>6.79</v>
      </c>
      <c r="H1765" s="6">
        <v>6.09</v>
      </c>
      <c r="I1765" s="2" t="str">
        <f>_xlfn.XLOOKUP(F1765,DeparaIMG!D:D,DeparaIMG!F:F,,0)</f>
        <v>MICLN.png</v>
      </c>
    </row>
    <row r="1766" spans="1:9" x14ac:dyDescent="0.35">
      <c r="A1766" t="s">
        <v>155</v>
      </c>
      <c r="B1766" t="s">
        <v>62</v>
      </c>
      <c r="C1766" t="s">
        <v>89</v>
      </c>
      <c r="D1766" t="s">
        <v>26</v>
      </c>
      <c r="E1766">
        <v>2</v>
      </c>
      <c r="F1766" t="s">
        <v>83</v>
      </c>
      <c r="G1766" s="6">
        <v>6.79</v>
      </c>
      <c r="H1766" s="6">
        <v>6.09</v>
      </c>
      <c r="I1766" s="2" t="str">
        <f>_xlfn.XLOOKUP(F1766,DeparaIMG!D:D,DeparaIMG!F:F,,0)</f>
        <v>MICLN.png</v>
      </c>
    </row>
    <row r="1767" spans="1:9" x14ac:dyDescent="0.35">
      <c r="A1767" t="s">
        <v>155</v>
      </c>
      <c r="B1767" t="s">
        <v>62</v>
      </c>
      <c r="C1767" t="s">
        <v>89</v>
      </c>
      <c r="D1767" t="s">
        <v>25</v>
      </c>
      <c r="E1767">
        <v>2</v>
      </c>
      <c r="F1767" t="s">
        <v>83</v>
      </c>
      <c r="G1767" s="6">
        <v>6.79</v>
      </c>
      <c r="H1767" s="6">
        <v>6.09</v>
      </c>
      <c r="I1767" s="2" t="str">
        <f>_xlfn.XLOOKUP(F1767,DeparaIMG!D:D,DeparaIMG!F:F,,0)</f>
        <v>MICLN.png</v>
      </c>
    </row>
    <row r="1768" spans="1:9" x14ac:dyDescent="0.35">
      <c r="A1768" t="s">
        <v>155</v>
      </c>
      <c r="B1768" t="s">
        <v>62</v>
      </c>
      <c r="C1768" t="s">
        <v>90</v>
      </c>
      <c r="D1768" t="s">
        <v>25</v>
      </c>
      <c r="E1768">
        <v>2</v>
      </c>
      <c r="F1768" t="s">
        <v>83</v>
      </c>
      <c r="G1768" s="6">
        <v>6.79</v>
      </c>
      <c r="H1768" s="6">
        <v>6.09</v>
      </c>
      <c r="I1768" s="2" t="str">
        <f>_xlfn.XLOOKUP(F1768,DeparaIMG!D:D,DeparaIMG!F:F,,0)</f>
        <v>MICLN.png</v>
      </c>
    </row>
    <row r="1769" spans="1:9" x14ac:dyDescent="0.35">
      <c r="A1769" t="s">
        <v>155</v>
      </c>
      <c r="B1769" t="s">
        <v>62</v>
      </c>
      <c r="C1769" t="s">
        <v>90</v>
      </c>
      <c r="D1769" t="s">
        <v>25</v>
      </c>
      <c r="E1769">
        <v>2</v>
      </c>
      <c r="F1769" t="s">
        <v>84</v>
      </c>
      <c r="G1769" s="6">
        <v>6.99</v>
      </c>
      <c r="H1769" s="6">
        <v>6.19</v>
      </c>
      <c r="I1769" s="2" t="str">
        <f>_xlfn.XLOOKUP(F1769,DeparaIMG!D:D,DeparaIMG!F:F,,0)</f>
        <v>STELN.png</v>
      </c>
    </row>
    <row r="1770" spans="1:9" x14ac:dyDescent="0.35">
      <c r="A1770" t="s">
        <v>155</v>
      </c>
      <c r="B1770" t="s">
        <v>62</v>
      </c>
      <c r="C1770" t="s">
        <v>89</v>
      </c>
      <c r="D1770" t="s">
        <v>26</v>
      </c>
      <c r="E1770">
        <v>2</v>
      </c>
      <c r="F1770" t="s">
        <v>116</v>
      </c>
      <c r="G1770" s="6">
        <v>3.19</v>
      </c>
      <c r="H1770" s="6">
        <v>2.9899999999999998</v>
      </c>
      <c r="I1770" s="2" t="str">
        <f>_xlfn.XLOOKUP(F1770,DeparaIMG!D:D,DeparaIMG!F:F,,0)</f>
        <v>SK269MP.png</v>
      </c>
    </row>
    <row r="1771" spans="1:9" x14ac:dyDescent="0.35">
      <c r="A1771" t="s">
        <v>155</v>
      </c>
      <c r="B1771" t="s">
        <v>62</v>
      </c>
      <c r="C1771" t="s">
        <v>89</v>
      </c>
      <c r="D1771" t="s">
        <v>26</v>
      </c>
      <c r="E1771">
        <v>2</v>
      </c>
      <c r="F1771" t="s">
        <v>118</v>
      </c>
      <c r="G1771" s="6">
        <v>3.79</v>
      </c>
      <c r="H1771" s="6">
        <v>3.5890000000000004</v>
      </c>
      <c r="I1771" s="2" t="str">
        <f>_xlfn.XLOOKUP(F1771,DeparaIMG!D:D,DeparaIMG!F:F,,0)</f>
        <v>ORI269MP.png</v>
      </c>
    </row>
    <row r="1772" spans="1:9" x14ac:dyDescent="0.35">
      <c r="A1772" s="2" t="s">
        <v>155</v>
      </c>
      <c r="B1772" t="s">
        <v>127</v>
      </c>
      <c r="C1772" t="s">
        <v>28</v>
      </c>
      <c r="D1772" t="s">
        <v>127</v>
      </c>
      <c r="E1772">
        <v>1</v>
      </c>
      <c r="F1772" t="s">
        <v>67</v>
      </c>
      <c r="G1772" t="s">
        <v>133</v>
      </c>
      <c r="H1772" t="s">
        <v>148</v>
      </c>
      <c r="I1772" s="2" t="str">
        <f>_xlfn.XLOOKUP(F1772,DeparaIMG!D:D,DeparaIMG!F:F,,0)</f>
        <v>AP269.png</v>
      </c>
    </row>
    <row r="1773" spans="1:9" x14ac:dyDescent="0.35">
      <c r="A1773" s="2" t="s">
        <v>155</v>
      </c>
      <c r="B1773" t="s">
        <v>127</v>
      </c>
      <c r="C1773" t="s">
        <v>29</v>
      </c>
      <c r="D1773" t="s">
        <v>127</v>
      </c>
      <c r="E1773">
        <v>1</v>
      </c>
      <c r="F1773" t="s">
        <v>67</v>
      </c>
      <c r="G1773" t="s">
        <v>133</v>
      </c>
      <c r="H1773" t="s">
        <v>148</v>
      </c>
      <c r="I1773" s="2" t="str">
        <f>_xlfn.XLOOKUP(F1773,DeparaIMG!D:D,DeparaIMG!F:F,,0)</f>
        <v>AP269.png</v>
      </c>
    </row>
    <row r="1774" spans="1:9" x14ac:dyDescent="0.35">
      <c r="A1774" s="2" t="s">
        <v>155</v>
      </c>
      <c r="B1774" t="s">
        <v>127</v>
      </c>
      <c r="C1774" t="s">
        <v>87</v>
      </c>
      <c r="D1774" t="s">
        <v>127</v>
      </c>
      <c r="E1774">
        <v>1</v>
      </c>
      <c r="F1774" t="s">
        <v>66</v>
      </c>
      <c r="G1774" t="s">
        <v>133</v>
      </c>
      <c r="H1774" t="s">
        <v>148</v>
      </c>
      <c r="I1774" s="2" t="str">
        <f>_xlfn.XLOOKUP(F1774,DeparaIMG!D:D,DeparaIMG!F:F,,0)</f>
        <v>SK269.png</v>
      </c>
    </row>
    <row r="1775" spans="1:9" x14ac:dyDescent="0.35">
      <c r="A1775" s="2" t="s">
        <v>155</v>
      </c>
      <c r="B1775" t="s">
        <v>127</v>
      </c>
      <c r="C1775" t="s">
        <v>89</v>
      </c>
      <c r="D1775" t="s">
        <v>127</v>
      </c>
      <c r="E1775">
        <v>1</v>
      </c>
      <c r="F1775" t="s">
        <v>66</v>
      </c>
      <c r="G1775" t="s">
        <v>133</v>
      </c>
      <c r="H1775" t="s">
        <v>148</v>
      </c>
      <c r="I1775" s="2" t="str">
        <f>_xlfn.XLOOKUP(F1775,DeparaIMG!D:D,DeparaIMG!F:F,,0)</f>
        <v>SK269.png</v>
      </c>
    </row>
    <row r="1776" spans="1:9" x14ac:dyDescent="0.35">
      <c r="A1776" s="2" t="s">
        <v>155</v>
      </c>
      <c r="B1776" t="s">
        <v>127</v>
      </c>
      <c r="C1776" t="s">
        <v>28</v>
      </c>
      <c r="D1776" t="s">
        <v>127</v>
      </c>
      <c r="E1776">
        <v>1</v>
      </c>
      <c r="F1776" t="s">
        <v>80</v>
      </c>
      <c r="G1776" t="s">
        <v>135</v>
      </c>
      <c r="H1776" t="s">
        <v>136</v>
      </c>
      <c r="I1776" s="2" t="str">
        <f>_xlfn.XLOOKUP(F1776,DeparaIMG!D:D,DeparaIMG!F:F,,0)</f>
        <v>CORCERO350.png</v>
      </c>
    </row>
    <row r="1777" spans="1:9" x14ac:dyDescent="0.35">
      <c r="A1777" s="2" t="s">
        <v>155</v>
      </c>
      <c r="B1777" t="s">
        <v>127</v>
      </c>
      <c r="C1777" t="s">
        <v>29</v>
      </c>
      <c r="D1777" t="s">
        <v>127</v>
      </c>
      <c r="E1777">
        <v>1</v>
      </c>
      <c r="F1777" t="s">
        <v>80</v>
      </c>
      <c r="G1777" t="s">
        <v>135</v>
      </c>
      <c r="H1777" t="s">
        <v>136</v>
      </c>
      <c r="I1777" s="2" t="str">
        <f>_xlfn.XLOOKUP(F1777,DeparaIMG!D:D,DeparaIMG!F:F,,0)</f>
        <v>CORCERO350.png</v>
      </c>
    </row>
    <row r="1778" spans="1:9" x14ac:dyDescent="0.35">
      <c r="A1778" s="2" t="s">
        <v>155</v>
      </c>
      <c r="B1778" t="s">
        <v>127</v>
      </c>
      <c r="C1778" t="s">
        <v>87</v>
      </c>
      <c r="D1778" t="s">
        <v>127</v>
      </c>
      <c r="E1778">
        <v>1</v>
      </c>
      <c r="F1778" t="s">
        <v>80</v>
      </c>
      <c r="G1778" t="s">
        <v>135</v>
      </c>
      <c r="H1778" t="s">
        <v>136</v>
      </c>
      <c r="I1778" s="2" t="str">
        <f>_xlfn.XLOOKUP(F1778,DeparaIMG!D:D,DeparaIMG!F:F,,0)</f>
        <v>CORCERO350.png</v>
      </c>
    </row>
    <row r="1779" spans="1:9" x14ac:dyDescent="0.35">
      <c r="A1779" s="2" t="s">
        <v>155</v>
      </c>
      <c r="B1779" t="s">
        <v>127</v>
      </c>
      <c r="C1779" t="s">
        <v>88</v>
      </c>
      <c r="D1779" t="s">
        <v>127</v>
      </c>
      <c r="E1779">
        <v>1</v>
      </c>
      <c r="F1779" t="s">
        <v>80</v>
      </c>
      <c r="G1779" t="s">
        <v>135</v>
      </c>
      <c r="H1779" t="s">
        <v>136</v>
      </c>
      <c r="I1779" s="2" t="str">
        <f>_xlfn.XLOOKUP(F1779,DeparaIMG!D:D,DeparaIMG!F:F,,0)</f>
        <v>CORCERO350.png</v>
      </c>
    </row>
    <row r="1780" spans="1:9" x14ac:dyDescent="0.35">
      <c r="A1780" s="2" t="s">
        <v>155</v>
      </c>
      <c r="B1780" t="s">
        <v>127</v>
      </c>
      <c r="C1780" t="s">
        <v>28</v>
      </c>
      <c r="D1780" t="s">
        <v>127</v>
      </c>
      <c r="E1780">
        <v>1</v>
      </c>
      <c r="F1780" t="s">
        <v>139</v>
      </c>
      <c r="G1780" t="s">
        <v>131</v>
      </c>
      <c r="H1780" t="s">
        <v>132</v>
      </c>
      <c r="I1780" s="2" t="str">
        <f>_xlfn.XLOOKUP(F1780,DeparaIMG!D:D,DeparaIMG!F:F,,0)</f>
        <v>SPTLN.png</v>
      </c>
    </row>
    <row r="1781" spans="1:9" x14ac:dyDescent="0.35">
      <c r="A1781" s="2" t="s">
        <v>155</v>
      </c>
      <c r="B1781" t="s">
        <v>127</v>
      </c>
      <c r="C1781" t="s">
        <v>29</v>
      </c>
      <c r="D1781" t="s">
        <v>127</v>
      </c>
      <c r="E1781">
        <v>1</v>
      </c>
      <c r="F1781" t="s">
        <v>139</v>
      </c>
      <c r="G1781" t="s">
        <v>131</v>
      </c>
      <c r="H1781" t="s">
        <v>132</v>
      </c>
      <c r="I1781" s="2" t="str">
        <f>_xlfn.XLOOKUP(F1781,DeparaIMG!D:D,DeparaIMG!F:F,,0)</f>
        <v>SPTLN.png</v>
      </c>
    </row>
    <row r="1782" spans="1:9" x14ac:dyDescent="0.35">
      <c r="A1782" s="2" t="s">
        <v>155</v>
      </c>
      <c r="B1782" t="s">
        <v>127</v>
      </c>
      <c r="C1782" t="s">
        <v>87</v>
      </c>
      <c r="D1782" t="s">
        <v>127</v>
      </c>
      <c r="E1782">
        <v>1</v>
      </c>
      <c r="F1782" t="s">
        <v>139</v>
      </c>
      <c r="G1782" t="s">
        <v>131</v>
      </c>
      <c r="H1782" t="s">
        <v>132</v>
      </c>
      <c r="I1782" s="2" t="str">
        <f>_xlfn.XLOOKUP(F1782,DeparaIMG!D:D,DeparaIMG!F:F,,0)</f>
        <v>SPTLN.png</v>
      </c>
    </row>
    <row r="1783" spans="1:9" x14ac:dyDescent="0.35">
      <c r="A1783" s="2" t="s">
        <v>155</v>
      </c>
      <c r="B1783" t="s">
        <v>127</v>
      </c>
      <c r="C1783" t="s">
        <v>88</v>
      </c>
      <c r="D1783" t="s">
        <v>127</v>
      </c>
      <c r="E1783">
        <v>1</v>
      </c>
      <c r="F1783" t="s">
        <v>139</v>
      </c>
      <c r="G1783" t="s">
        <v>131</v>
      </c>
      <c r="H1783" t="s">
        <v>132</v>
      </c>
      <c r="I1783" s="2" t="str">
        <f>_xlfn.XLOOKUP(F1783,DeparaIMG!D:D,DeparaIMG!F:F,,0)</f>
        <v>SPTLN.png</v>
      </c>
    </row>
    <row r="1784" spans="1:9" x14ac:dyDescent="0.35">
      <c r="A1784" s="2" t="s">
        <v>155</v>
      </c>
      <c r="B1784" t="s">
        <v>127</v>
      </c>
      <c r="C1784" t="s">
        <v>28</v>
      </c>
      <c r="D1784" t="s">
        <v>127</v>
      </c>
      <c r="E1784">
        <v>1</v>
      </c>
      <c r="F1784" t="s">
        <v>78</v>
      </c>
      <c r="G1784" t="s">
        <v>131</v>
      </c>
      <c r="H1784" t="s">
        <v>132</v>
      </c>
      <c r="I1784" s="2" t="str">
        <f>_xlfn.XLOOKUP(F1784,DeparaIMG!D:D,DeparaIMG!F:F,,0)</f>
        <v>MIC350.png</v>
      </c>
    </row>
    <row r="1785" spans="1:9" x14ac:dyDescent="0.35">
      <c r="A1785" s="2" t="s">
        <v>155</v>
      </c>
      <c r="B1785" t="s">
        <v>127</v>
      </c>
      <c r="C1785" t="s">
        <v>29</v>
      </c>
      <c r="D1785" t="s">
        <v>127</v>
      </c>
      <c r="E1785">
        <v>1</v>
      </c>
      <c r="F1785" t="s">
        <v>78</v>
      </c>
      <c r="G1785" t="s">
        <v>131</v>
      </c>
      <c r="H1785" t="s">
        <v>132</v>
      </c>
      <c r="I1785" s="2" t="str">
        <f>_xlfn.XLOOKUP(F1785,DeparaIMG!D:D,DeparaIMG!F:F,,0)</f>
        <v>MIC350.png</v>
      </c>
    </row>
    <row r="1786" spans="1:9" x14ac:dyDescent="0.35">
      <c r="A1786" s="2" t="s">
        <v>155</v>
      </c>
      <c r="B1786" t="s">
        <v>127</v>
      </c>
      <c r="C1786" t="s">
        <v>87</v>
      </c>
      <c r="D1786" t="s">
        <v>127</v>
      </c>
      <c r="E1786">
        <v>1</v>
      </c>
      <c r="F1786" t="s">
        <v>78</v>
      </c>
      <c r="G1786" t="s">
        <v>131</v>
      </c>
      <c r="H1786" t="s">
        <v>132</v>
      </c>
      <c r="I1786" s="2" t="str">
        <f>_xlfn.XLOOKUP(F1786,DeparaIMG!D:D,DeparaIMG!F:F,,0)</f>
        <v>MIC350.png</v>
      </c>
    </row>
    <row r="1787" spans="1:9" x14ac:dyDescent="0.35">
      <c r="A1787" s="2" t="s">
        <v>155</v>
      </c>
      <c r="B1787" t="s">
        <v>127</v>
      </c>
      <c r="C1787" t="s">
        <v>88</v>
      </c>
      <c r="D1787" t="s">
        <v>127</v>
      </c>
      <c r="E1787">
        <v>1</v>
      </c>
      <c r="F1787" t="s">
        <v>78</v>
      </c>
      <c r="G1787" t="s">
        <v>131</v>
      </c>
      <c r="H1787" t="s">
        <v>132</v>
      </c>
      <c r="I1787" s="2" t="str">
        <f>_xlfn.XLOOKUP(F1787,DeparaIMG!D:D,DeparaIMG!F:F,,0)</f>
        <v>MIC350.png</v>
      </c>
    </row>
    <row r="1788" spans="1:9" x14ac:dyDescent="0.35">
      <c r="A1788" s="2" t="s">
        <v>155</v>
      </c>
      <c r="B1788" t="s">
        <v>127</v>
      </c>
      <c r="C1788" t="s">
        <v>28</v>
      </c>
      <c r="D1788" t="s">
        <v>127</v>
      </c>
      <c r="E1788">
        <v>1</v>
      </c>
      <c r="F1788" t="s">
        <v>116</v>
      </c>
      <c r="G1788" t="s">
        <v>162</v>
      </c>
      <c r="H1788" t="s">
        <v>163</v>
      </c>
      <c r="I1788" s="2" t="str">
        <f>_xlfn.XLOOKUP(F1788,DeparaIMG!D:D,DeparaIMG!F:F,,0)</f>
        <v>SK269MP.png</v>
      </c>
    </row>
    <row r="1789" spans="1:9" x14ac:dyDescent="0.35">
      <c r="A1789" s="2" t="s">
        <v>155</v>
      </c>
      <c r="B1789" t="s">
        <v>127</v>
      </c>
      <c r="C1789" t="s">
        <v>29</v>
      </c>
      <c r="D1789" t="s">
        <v>127</v>
      </c>
      <c r="E1789">
        <v>1</v>
      </c>
      <c r="F1789" t="s">
        <v>116</v>
      </c>
      <c r="G1789" t="s">
        <v>162</v>
      </c>
      <c r="H1789" t="s">
        <v>163</v>
      </c>
      <c r="I1789" s="2" t="str">
        <f>_xlfn.XLOOKUP(F1789,DeparaIMG!D:D,DeparaIMG!F:F,,0)</f>
        <v>SK269MP.png</v>
      </c>
    </row>
    <row r="1790" spans="1:9" x14ac:dyDescent="0.35">
      <c r="A1790" s="2" t="s">
        <v>155</v>
      </c>
      <c r="B1790" t="s">
        <v>127</v>
      </c>
      <c r="C1790" t="s">
        <v>87</v>
      </c>
      <c r="D1790" t="s">
        <v>127</v>
      </c>
      <c r="E1790">
        <v>1</v>
      </c>
      <c r="F1790" t="s">
        <v>116</v>
      </c>
      <c r="G1790" t="s">
        <v>162</v>
      </c>
      <c r="H1790" t="s">
        <v>163</v>
      </c>
      <c r="I1790" s="2" t="str">
        <f>_xlfn.XLOOKUP(F1790,DeparaIMG!D:D,DeparaIMG!F:F,,0)</f>
        <v>SK269MP.png</v>
      </c>
    </row>
    <row r="1791" spans="1:9" x14ac:dyDescent="0.35">
      <c r="A1791" s="2" t="s">
        <v>155</v>
      </c>
      <c r="B1791" t="s">
        <v>127</v>
      </c>
      <c r="C1791" t="s">
        <v>88</v>
      </c>
      <c r="D1791" t="s">
        <v>127</v>
      </c>
      <c r="E1791">
        <v>1</v>
      </c>
      <c r="F1791" t="s">
        <v>116</v>
      </c>
      <c r="G1791" t="s">
        <v>162</v>
      </c>
      <c r="H1791" t="s">
        <v>163</v>
      </c>
      <c r="I1791" s="2" t="str">
        <f>_xlfn.XLOOKUP(F1791,DeparaIMG!D:D,DeparaIMG!F:F,,0)</f>
        <v>SK269MP.png</v>
      </c>
    </row>
    <row r="1792" spans="1:9" x14ac:dyDescent="0.35">
      <c r="A1792" s="2" t="s">
        <v>155</v>
      </c>
      <c r="B1792" t="s">
        <v>127</v>
      </c>
      <c r="C1792" t="s">
        <v>28</v>
      </c>
      <c r="D1792" t="s">
        <v>127</v>
      </c>
      <c r="E1792">
        <v>2</v>
      </c>
      <c r="F1792" t="s">
        <v>119</v>
      </c>
      <c r="G1792" t="s">
        <v>162</v>
      </c>
      <c r="H1792" t="s">
        <v>163</v>
      </c>
      <c r="I1792" s="2" t="str">
        <f>_xlfn.XLOOKUP(F1792,DeparaIMG!D:D,DeparaIMG!F:F,,0)</f>
        <v>BC269MP.png</v>
      </c>
    </row>
    <row r="1793" spans="1:9" x14ac:dyDescent="0.35">
      <c r="A1793" s="2" t="s">
        <v>155</v>
      </c>
      <c r="B1793" t="s">
        <v>127</v>
      </c>
      <c r="C1793" t="s">
        <v>29</v>
      </c>
      <c r="D1793" t="s">
        <v>127</v>
      </c>
      <c r="E1793">
        <v>2</v>
      </c>
      <c r="F1793" t="s">
        <v>119</v>
      </c>
      <c r="G1793" t="s">
        <v>162</v>
      </c>
      <c r="H1793" t="s">
        <v>163</v>
      </c>
      <c r="I1793" s="2" t="str">
        <f>_xlfn.XLOOKUP(F1793,DeparaIMG!D:D,DeparaIMG!F:F,,0)</f>
        <v>BC269MP.png</v>
      </c>
    </row>
    <row r="1794" spans="1:9" x14ac:dyDescent="0.35">
      <c r="A1794" s="2" t="s">
        <v>155</v>
      </c>
      <c r="B1794" t="s">
        <v>127</v>
      </c>
      <c r="C1794" t="s">
        <v>87</v>
      </c>
      <c r="D1794" t="s">
        <v>127</v>
      </c>
      <c r="E1794">
        <v>2</v>
      </c>
      <c r="F1794" t="s">
        <v>119</v>
      </c>
      <c r="G1794" t="s">
        <v>162</v>
      </c>
      <c r="H1794" t="s">
        <v>163</v>
      </c>
      <c r="I1794" s="2" t="str">
        <f>_xlfn.XLOOKUP(F1794,DeparaIMG!D:D,DeparaIMG!F:F,,0)</f>
        <v>BC269MP.png</v>
      </c>
    </row>
    <row r="1795" spans="1:9" x14ac:dyDescent="0.35">
      <c r="A1795" s="2" t="s">
        <v>155</v>
      </c>
      <c r="B1795" t="s">
        <v>127</v>
      </c>
      <c r="C1795" t="s">
        <v>88</v>
      </c>
      <c r="D1795" t="s">
        <v>127</v>
      </c>
      <c r="E1795">
        <v>2</v>
      </c>
      <c r="F1795" t="s">
        <v>119</v>
      </c>
      <c r="G1795" t="s">
        <v>162</v>
      </c>
      <c r="H1795" t="s">
        <v>163</v>
      </c>
      <c r="I1795" s="2" t="str">
        <f>_xlfn.XLOOKUP(F1795,DeparaIMG!D:D,DeparaIMG!F:F,,0)</f>
        <v>BC269MP.png</v>
      </c>
    </row>
    <row r="1796" spans="1:9" x14ac:dyDescent="0.35">
      <c r="A1796" s="2" t="s">
        <v>155</v>
      </c>
      <c r="B1796" t="s">
        <v>127</v>
      </c>
      <c r="C1796" t="s">
        <v>28</v>
      </c>
      <c r="D1796" t="s">
        <v>127</v>
      </c>
      <c r="E1796">
        <v>2</v>
      </c>
      <c r="F1796" t="s">
        <v>68</v>
      </c>
      <c r="G1796" t="s">
        <v>133</v>
      </c>
      <c r="H1796" t="s">
        <v>148</v>
      </c>
      <c r="I1796" s="2" t="str">
        <f>_xlfn.XLOOKUP(F1796,DeparaIMG!D:D,DeparaIMG!F:F,,0)</f>
        <v>BC269.png</v>
      </c>
    </row>
    <row r="1797" spans="1:9" x14ac:dyDescent="0.35">
      <c r="A1797" s="2" t="s">
        <v>155</v>
      </c>
      <c r="B1797" t="s">
        <v>127</v>
      </c>
      <c r="C1797" t="s">
        <v>29</v>
      </c>
      <c r="D1797" t="s">
        <v>127</v>
      </c>
      <c r="E1797">
        <v>2</v>
      </c>
      <c r="F1797" t="s">
        <v>68</v>
      </c>
      <c r="G1797" t="s">
        <v>133</v>
      </c>
      <c r="H1797" t="s">
        <v>148</v>
      </c>
      <c r="I1797" s="2" t="str">
        <f>_xlfn.XLOOKUP(F1797,DeparaIMG!D:D,DeparaIMG!F:F,,0)</f>
        <v>BC269.png</v>
      </c>
    </row>
    <row r="1798" spans="1:9" x14ac:dyDescent="0.35">
      <c r="A1798" s="2" t="s">
        <v>155</v>
      </c>
      <c r="B1798" t="s">
        <v>127</v>
      </c>
      <c r="C1798" t="s">
        <v>87</v>
      </c>
      <c r="D1798" t="s">
        <v>127</v>
      </c>
      <c r="E1798">
        <v>2</v>
      </c>
      <c r="F1798" t="s">
        <v>68</v>
      </c>
      <c r="G1798" t="s">
        <v>133</v>
      </c>
      <c r="H1798" t="s">
        <v>148</v>
      </c>
      <c r="I1798" s="2" t="str">
        <f>_xlfn.XLOOKUP(F1798,DeparaIMG!D:D,DeparaIMG!F:F,,0)</f>
        <v>BC269.png</v>
      </c>
    </row>
    <row r="1799" spans="1:9" x14ac:dyDescent="0.35">
      <c r="A1799" s="2" t="s">
        <v>155</v>
      </c>
      <c r="B1799" t="s">
        <v>127</v>
      </c>
      <c r="C1799" t="s">
        <v>88</v>
      </c>
      <c r="D1799" t="s">
        <v>127</v>
      </c>
      <c r="E1799">
        <v>2</v>
      </c>
      <c r="F1799" t="s">
        <v>67</v>
      </c>
      <c r="G1799" t="s">
        <v>133</v>
      </c>
      <c r="H1799" t="s">
        <v>148</v>
      </c>
      <c r="I1799" s="2" t="str">
        <f>_xlfn.XLOOKUP(F1799,DeparaIMG!D:D,DeparaIMG!F:F,,0)</f>
        <v>AP269.png</v>
      </c>
    </row>
    <row r="1800" spans="1:9" x14ac:dyDescent="0.35">
      <c r="A1800" s="2" t="s">
        <v>155</v>
      </c>
      <c r="B1800" s="2" t="s">
        <v>127</v>
      </c>
      <c r="C1800" t="s">
        <v>28</v>
      </c>
      <c r="D1800" t="s">
        <v>127</v>
      </c>
      <c r="E1800">
        <v>2</v>
      </c>
      <c r="F1800" t="s">
        <v>86</v>
      </c>
      <c r="G1800" t="s">
        <v>131</v>
      </c>
      <c r="H1800" t="s">
        <v>132</v>
      </c>
      <c r="I1800" s="2" t="str">
        <f>_xlfn.XLOOKUP(F1800,DeparaIMG!D:D,DeparaIMG!F:F,,0)</f>
        <v>CORCEROLN.png</v>
      </c>
    </row>
    <row r="1801" spans="1:9" x14ac:dyDescent="0.35">
      <c r="A1801" s="2" t="s">
        <v>155</v>
      </c>
      <c r="B1801" s="2" t="s">
        <v>127</v>
      </c>
      <c r="C1801" t="s">
        <v>29</v>
      </c>
      <c r="D1801" t="s">
        <v>127</v>
      </c>
      <c r="E1801">
        <v>2</v>
      </c>
      <c r="F1801" t="s">
        <v>86</v>
      </c>
      <c r="G1801" t="s">
        <v>131</v>
      </c>
      <c r="H1801" t="s">
        <v>132</v>
      </c>
      <c r="I1801" s="2" t="str">
        <f>_xlfn.XLOOKUP(F1801,DeparaIMG!D:D,DeparaIMG!F:F,,0)</f>
        <v>CORCEROLN.png</v>
      </c>
    </row>
    <row r="1802" spans="1:9" x14ac:dyDescent="0.35">
      <c r="A1802" s="2" t="s">
        <v>155</v>
      </c>
      <c r="B1802" s="2" t="s">
        <v>127</v>
      </c>
      <c r="C1802" t="s">
        <v>87</v>
      </c>
      <c r="D1802" t="s">
        <v>127</v>
      </c>
      <c r="E1802">
        <v>2</v>
      </c>
      <c r="F1802" t="s">
        <v>86</v>
      </c>
      <c r="G1802" t="s">
        <v>131</v>
      </c>
      <c r="H1802" t="s">
        <v>132</v>
      </c>
      <c r="I1802" s="2" t="str">
        <f>_xlfn.XLOOKUP(F1802,DeparaIMG!D:D,DeparaIMG!F:F,,0)</f>
        <v>CORCEROLN.png</v>
      </c>
    </row>
    <row r="1803" spans="1:9" x14ac:dyDescent="0.35">
      <c r="A1803" s="2" t="s">
        <v>155</v>
      </c>
      <c r="B1803" s="2" t="s">
        <v>127</v>
      </c>
      <c r="C1803" t="s">
        <v>88</v>
      </c>
      <c r="D1803" t="s">
        <v>127</v>
      </c>
      <c r="E1803">
        <v>2</v>
      </c>
      <c r="F1803" t="s">
        <v>86</v>
      </c>
      <c r="G1803" t="s">
        <v>131</v>
      </c>
      <c r="H1803" t="s">
        <v>132</v>
      </c>
      <c r="I1803" s="2" t="str">
        <f>_xlfn.XLOOKUP(F1803,DeparaIMG!D:D,DeparaIMG!F:F,,0)</f>
        <v>CORCEROLN.png</v>
      </c>
    </row>
    <row r="1804" spans="1:9" x14ac:dyDescent="0.35">
      <c r="A1804" s="2" t="s">
        <v>155</v>
      </c>
      <c r="B1804" s="2" t="s">
        <v>127</v>
      </c>
      <c r="C1804" t="s">
        <v>28</v>
      </c>
      <c r="D1804" t="s">
        <v>127</v>
      </c>
      <c r="E1804">
        <v>2</v>
      </c>
      <c r="F1804" t="s">
        <v>84</v>
      </c>
      <c r="G1804" t="s">
        <v>131</v>
      </c>
      <c r="H1804" t="s">
        <v>132</v>
      </c>
      <c r="I1804" s="2" t="str">
        <f>_xlfn.XLOOKUP(F1804,DeparaIMG!D:D,DeparaIMG!F:F,,0)</f>
        <v>STELN.png</v>
      </c>
    </row>
    <row r="1805" spans="1:9" x14ac:dyDescent="0.35">
      <c r="A1805" s="2" t="s">
        <v>155</v>
      </c>
      <c r="B1805" s="2" t="s">
        <v>127</v>
      </c>
      <c r="C1805" t="s">
        <v>29</v>
      </c>
      <c r="D1805" t="s">
        <v>127</v>
      </c>
      <c r="E1805">
        <v>2</v>
      </c>
      <c r="F1805" t="s">
        <v>84</v>
      </c>
      <c r="G1805" t="s">
        <v>131</v>
      </c>
      <c r="H1805" t="s">
        <v>132</v>
      </c>
      <c r="I1805" s="2" t="str">
        <f>_xlfn.XLOOKUP(F1805,DeparaIMG!D:D,DeparaIMG!F:F,,0)</f>
        <v>STELN.png</v>
      </c>
    </row>
    <row r="1806" spans="1:9" x14ac:dyDescent="0.35">
      <c r="A1806" s="2" t="s">
        <v>155</v>
      </c>
      <c r="B1806" s="2" t="s">
        <v>127</v>
      </c>
      <c r="C1806" t="s">
        <v>87</v>
      </c>
      <c r="D1806" t="s">
        <v>127</v>
      </c>
      <c r="E1806">
        <v>2</v>
      </c>
      <c r="F1806" t="s">
        <v>84</v>
      </c>
      <c r="G1806" t="s">
        <v>131</v>
      </c>
      <c r="H1806" t="s">
        <v>132</v>
      </c>
      <c r="I1806" s="2" t="str">
        <f>_xlfn.XLOOKUP(F1806,DeparaIMG!D:D,DeparaIMG!F:F,,0)</f>
        <v>STELN.png</v>
      </c>
    </row>
    <row r="1807" spans="1:9" x14ac:dyDescent="0.35">
      <c r="A1807" s="2" t="s">
        <v>155</v>
      </c>
      <c r="B1807" s="2" t="s">
        <v>127</v>
      </c>
      <c r="C1807" t="s">
        <v>88</v>
      </c>
      <c r="D1807" t="s">
        <v>127</v>
      </c>
      <c r="E1807">
        <v>2</v>
      </c>
      <c r="F1807" t="s">
        <v>84</v>
      </c>
      <c r="G1807" t="s">
        <v>131</v>
      </c>
      <c r="H1807" t="s">
        <v>132</v>
      </c>
      <c r="I1807" s="2" t="str">
        <f>_xlfn.XLOOKUP(F1807,DeparaIMG!D:D,DeparaIMG!F:F,,0)</f>
        <v>STELN.png</v>
      </c>
    </row>
    <row r="1808" spans="1:9" x14ac:dyDescent="0.35">
      <c r="A1808" s="2" t="s">
        <v>155</v>
      </c>
      <c r="B1808" t="s">
        <v>127</v>
      </c>
      <c r="C1808" t="s">
        <v>28</v>
      </c>
      <c r="D1808" t="s">
        <v>127</v>
      </c>
      <c r="E1808">
        <v>2</v>
      </c>
      <c r="F1808" t="s">
        <v>78</v>
      </c>
      <c r="G1808" t="s">
        <v>137</v>
      </c>
      <c r="H1808" t="s">
        <v>138</v>
      </c>
      <c r="I1808" s="2" t="str">
        <f>_xlfn.XLOOKUP(F1808,DeparaIMG!D:D,DeparaIMG!F:F,,0)</f>
        <v>MIC350.png</v>
      </c>
    </row>
    <row r="1809" spans="1:9" x14ac:dyDescent="0.35">
      <c r="A1809" s="2" t="s">
        <v>155</v>
      </c>
      <c r="B1809" t="s">
        <v>127</v>
      </c>
      <c r="C1809" t="s">
        <v>29</v>
      </c>
      <c r="D1809" t="s">
        <v>127</v>
      </c>
      <c r="E1809">
        <v>2</v>
      </c>
      <c r="F1809" t="s">
        <v>78</v>
      </c>
      <c r="G1809" t="s">
        <v>137</v>
      </c>
      <c r="H1809" t="s">
        <v>138</v>
      </c>
      <c r="I1809" s="2" t="str">
        <f>_xlfn.XLOOKUP(F1809,DeparaIMG!D:D,DeparaIMG!F:F,,0)</f>
        <v>MIC350.png</v>
      </c>
    </row>
    <row r="1810" spans="1:9" x14ac:dyDescent="0.35">
      <c r="A1810" s="2" t="s">
        <v>155</v>
      </c>
      <c r="B1810" t="s">
        <v>127</v>
      </c>
      <c r="C1810" t="s">
        <v>87</v>
      </c>
      <c r="D1810" t="s">
        <v>127</v>
      </c>
      <c r="E1810">
        <v>2</v>
      </c>
      <c r="F1810" t="s">
        <v>78</v>
      </c>
      <c r="G1810" t="s">
        <v>137</v>
      </c>
      <c r="H1810" t="s">
        <v>138</v>
      </c>
      <c r="I1810" s="2" t="str">
        <f>_xlfn.XLOOKUP(F1810,DeparaIMG!D:D,DeparaIMG!F:F,,0)</f>
        <v>MIC350.png</v>
      </c>
    </row>
    <row r="1811" spans="1:9" x14ac:dyDescent="0.35">
      <c r="A1811" s="2" t="s">
        <v>155</v>
      </c>
      <c r="B1811" t="s">
        <v>127</v>
      </c>
      <c r="C1811" t="s">
        <v>88</v>
      </c>
      <c r="D1811" t="s">
        <v>127</v>
      </c>
      <c r="E1811">
        <v>2</v>
      </c>
      <c r="F1811" t="s">
        <v>78</v>
      </c>
      <c r="G1811" t="s">
        <v>137</v>
      </c>
      <c r="H1811" t="s">
        <v>138</v>
      </c>
      <c r="I1811" s="2" t="str">
        <f>_xlfn.XLOOKUP(F1811,DeparaIMG!D:D,DeparaIMG!F:F,,0)</f>
        <v>MIC350.png</v>
      </c>
    </row>
    <row r="1812" spans="1:9" x14ac:dyDescent="0.35">
      <c r="A1812" s="2" t="s">
        <v>155</v>
      </c>
      <c r="B1812" t="s">
        <v>127</v>
      </c>
      <c r="C1812" t="s">
        <v>28</v>
      </c>
      <c r="D1812" t="s">
        <v>127</v>
      </c>
      <c r="E1812">
        <v>2</v>
      </c>
      <c r="F1812" t="s">
        <v>69</v>
      </c>
      <c r="G1812" t="s">
        <v>133</v>
      </c>
      <c r="H1812" t="s">
        <v>148</v>
      </c>
      <c r="I1812" s="2" t="str">
        <f>_xlfn.XLOOKUP(F1812,DeparaIMG!D:D,DeparaIMG!F:F,,0)</f>
        <v>BUD269.png</v>
      </c>
    </row>
    <row r="1813" spans="1:9" x14ac:dyDescent="0.35">
      <c r="A1813" s="2" t="s">
        <v>155</v>
      </c>
      <c r="B1813" t="s">
        <v>127</v>
      </c>
      <c r="C1813" t="s">
        <v>29</v>
      </c>
      <c r="D1813" t="s">
        <v>127</v>
      </c>
      <c r="E1813">
        <v>2</v>
      </c>
      <c r="F1813" t="s">
        <v>69</v>
      </c>
      <c r="G1813" t="s">
        <v>133</v>
      </c>
      <c r="H1813" t="s">
        <v>148</v>
      </c>
      <c r="I1813" s="2" t="str">
        <f>_xlfn.XLOOKUP(F1813,DeparaIMG!D:D,DeparaIMG!F:F,,0)</f>
        <v>BUD269.png</v>
      </c>
    </row>
    <row r="1814" spans="1:9" x14ac:dyDescent="0.35">
      <c r="A1814" s="2" t="s">
        <v>155</v>
      </c>
      <c r="B1814" t="s">
        <v>127</v>
      </c>
      <c r="C1814" t="s">
        <v>87</v>
      </c>
      <c r="D1814" t="s">
        <v>127</v>
      </c>
      <c r="E1814">
        <v>2</v>
      </c>
      <c r="F1814" t="s">
        <v>69</v>
      </c>
      <c r="G1814" t="s">
        <v>133</v>
      </c>
      <c r="H1814" t="s">
        <v>148</v>
      </c>
      <c r="I1814" s="2" t="str">
        <f>_xlfn.XLOOKUP(F1814,DeparaIMG!D:D,DeparaIMG!F:F,,0)</f>
        <v>BUD269.png</v>
      </c>
    </row>
    <row r="1815" spans="1:9" x14ac:dyDescent="0.35">
      <c r="A1815" s="2" t="s">
        <v>155</v>
      </c>
      <c r="B1815" t="s">
        <v>127</v>
      </c>
      <c r="C1815" t="s">
        <v>88</v>
      </c>
      <c r="D1815" t="s">
        <v>127</v>
      </c>
      <c r="E1815">
        <v>2</v>
      </c>
      <c r="F1815" t="s">
        <v>69</v>
      </c>
      <c r="G1815" t="s">
        <v>133</v>
      </c>
      <c r="H1815" t="s">
        <v>148</v>
      </c>
      <c r="I1815" s="2" t="str">
        <f>_xlfn.XLOOKUP(F1815,DeparaIMG!D:D,DeparaIMG!F:F,,0)</f>
        <v>BUD269.png</v>
      </c>
    </row>
    <row r="1816" spans="1:9" x14ac:dyDescent="0.35">
      <c r="A1816" s="2" t="s">
        <v>155</v>
      </c>
      <c r="B1816" s="2" t="s">
        <v>127</v>
      </c>
      <c r="C1816" t="s">
        <v>28</v>
      </c>
      <c r="D1816" t="s">
        <v>127</v>
      </c>
      <c r="E1816">
        <v>1</v>
      </c>
      <c r="F1816" t="s">
        <v>38</v>
      </c>
      <c r="G1816" t="s">
        <v>131</v>
      </c>
      <c r="H1816" t="s">
        <v>132</v>
      </c>
      <c r="I1816" s="2" t="str">
        <f>_xlfn.XLOOKUP(F1816,DeparaIMG!D:D,DeparaIMG!F:F,,0)</f>
        <v>GCA350.png</v>
      </c>
    </row>
    <row r="1817" spans="1:9" x14ac:dyDescent="0.35">
      <c r="A1817" s="2" t="s">
        <v>155</v>
      </c>
      <c r="B1817" s="2" t="s">
        <v>127</v>
      </c>
      <c r="C1817" t="s">
        <v>28</v>
      </c>
      <c r="D1817" t="s">
        <v>127</v>
      </c>
      <c r="E1817">
        <v>1</v>
      </c>
      <c r="F1817" t="s">
        <v>142</v>
      </c>
      <c r="G1817" t="s">
        <v>131</v>
      </c>
      <c r="H1817" t="s">
        <v>132</v>
      </c>
      <c r="I1817" s="2" t="str">
        <f>_xlfn.XLOOKUP(F1817,DeparaIMG!D:D,DeparaIMG!F:F,,0)</f>
        <v>PCSAB350.png</v>
      </c>
    </row>
    <row r="1818" spans="1:9" x14ac:dyDescent="0.35">
      <c r="A1818" s="2" t="s">
        <v>155</v>
      </c>
      <c r="B1818" s="2" t="s">
        <v>127</v>
      </c>
      <c r="C1818" t="s">
        <v>28</v>
      </c>
      <c r="D1818" t="s">
        <v>127</v>
      </c>
      <c r="E1818">
        <v>1</v>
      </c>
      <c r="F1818" t="s">
        <v>37</v>
      </c>
      <c r="G1818" t="s">
        <v>140</v>
      </c>
      <c r="H1818" t="s">
        <v>141</v>
      </c>
      <c r="I1818" s="2" t="str">
        <f>_xlfn.XLOOKUP(F1818,DeparaIMG!D:D,DeparaIMG!F:F,,0)</f>
        <v>GCAP2.png</v>
      </c>
    </row>
    <row r="1819" spans="1:9" x14ac:dyDescent="0.35">
      <c r="A1819" s="2" t="s">
        <v>155</v>
      </c>
      <c r="B1819" s="2" t="s">
        <v>127</v>
      </c>
      <c r="C1819" t="s">
        <v>28</v>
      </c>
      <c r="D1819" t="s">
        <v>127</v>
      </c>
      <c r="E1819">
        <v>2</v>
      </c>
      <c r="F1819" t="s">
        <v>143</v>
      </c>
      <c r="G1819" t="s">
        <v>131</v>
      </c>
      <c r="H1819" t="s">
        <v>132</v>
      </c>
      <c r="I1819" s="2" t="str">
        <f>_xlfn.XLOOKUP(F1819,DeparaIMG!D:D,DeparaIMG!F:F,,0)</f>
        <v>GATORADE.png</v>
      </c>
    </row>
    <row r="1820" spans="1:9" x14ac:dyDescent="0.35">
      <c r="A1820" s="2" t="s">
        <v>155</v>
      </c>
      <c r="B1820" s="2" t="s">
        <v>127</v>
      </c>
      <c r="C1820" t="s">
        <v>28</v>
      </c>
      <c r="D1820" t="s">
        <v>127</v>
      </c>
      <c r="E1820">
        <v>2</v>
      </c>
      <c r="F1820" t="s">
        <v>33</v>
      </c>
      <c r="G1820" t="s">
        <v>140</v>
      </c>
      <c r="H1820" t="s">
        <v>141</v>
      </c>
      <c r="I1820" s="2" t="str">
        <f>_xlfn.XLOOKUP(F1820,DeparaIMG!D:D,DeparaIMG!F:F,,0)</f>
        <v>PCP2.png</v>
      </c>
    </row>
    <row r="1821" spans="1:9" x14ac:dyDescent="0.35">
      <c r="A1821" s="2" t="s">
        <v>155</v>
      </c>
      <c r="B1821" s="2" t="s">
        <v>127</v>
      </c>
      <c r="C1821" t="s">
        <v>28</v>
      </c>
      <c r="D1821" t="s">
        <v>127</v>
      </c>
      <c r="E1821">
        <v>2</v>
      </c>
      <c r="F1821" t="s">
        <v>35</v>
      </c>
      <c r="G1821" t="s">
        <v>131</v>
      </c>
      <c r="H1821" t="s">
        <v>132</v>
      </c>
      <c r="I1821" s="2" t="str">
        <f>_xlfn.XLOOKUP(F1821,DeparaIMG!D:D,DeparaIMG!F:F,,0)</f>
        <v>H2OHP500.png</v>
      </c>
    </row>
    <row r="1822" spans="1:9" x14ac:dyDescent="0.35">
      <c r="A1822" s="2" t="s">
        <v>155</v>
      </c>
      <c r="B1822" s="2" t="s">
        <v>127</v>
      </c>
      <c r="C1822" t="s">
        <v>29</v>
      </c>
      <c r="D1822" t="s">
        <v>127</v>
      </c>
      <c r="E1822">
        <v>1</v>
      </c>
      <c r="F1822" t="s">
        <v>38</v>
      </c>
      <c r="G1822" t="s">
        <v>131</v>
      </c>
      <c r="H1822" t="s">
        <v>132</v>
      </c>
      <c r="I1822" s="2" t="str">
        <f>_xlfn.XLOOKUP(F1822,DeparaIMG!D:D,DeparaIMG!F:F,,0)</f>
        <v>GCA350.png</v>
      </c>
    </row>
    <row r="1823" spans="1:9" x14ac:dyDescent="0.35">
      <c r="A1823" s="2" t="s">
        <v>155</v>
      </c>
      <c r="B1823" s="2" t="s">
        <v>127</v>
      </c>
      <c r="C1823" t="s">
        <v>29</v>
      </c>
      <c r="D1823" t="s">
        <v>127</v>
      </c>
      <c r="E1823">
        <v>1</v>
      </c>
      <c r="F1823" t="s">
        <v>142</v>
      </c>
      <c r="G1823" t="s">
        <v>131</v>
      </c>
      <c r="H1823" t="s">
        <v>132</v>
      </c>
      <c r="I1823" s="2" t="str">
        <f>_xlfn.XLOOKUP(F1823,DeparaIMG!D:D,DeparaIMG!F:F,,0)</f>
        <v>PCSAB350.png</v>
      </c>
    </row>
    <row r="1824" spans="1:9" x14ac:dyDescent="0.35">
      <c r="A1824" s="2" t="s">
        <v>155</v>
      </c>
      <c r="B1824" s="2" t="s">
        <v>127</v>
      </c>
      <c r="C1824" t="s">
        <v>29</v>
      </c>
      <c r="D1824" t="s">
        <v>127</v>
      </c>
      <c r="E1824">
        <v>1</v>
      </c>
      <c r="F1824" t="s">
        <v>37</v>
      </c>
      <c r="G1824" t="s">
        <v>140</v>
      </c>
      <c r="H1824" t="s">
        <v>141</v>
      </c>
      <c r="I1824" s="2" t="str">
        <f>_xlfn.XLOOKUP(F1824,DeparaIMG!D:D,DeparaIMG!F:F,,0)</f>
        <v>GCAP2.png</v>
      </c>
    </row>
    <row r="1825" spans="1:9" x14ac:dyDescent="0.35">
      <c r="A1825" s="2" t="s">
        <v>155</v>
      </c>
      <c r="B1825" s="2" t="s">
        <v>127</v>
      </c>
      <c r="C1825" t="s">
        <v>29</v>
      </c>
      <c r="D1825" t="s">
        <v>127</v>
      </c>
      <c r="E1825">
        <v>2</v>
      </c>
      <c r="F1825" t="s">
        <v>143</v>
      </c>
      <c r="G1825" t="s">
        <v>131</v>
      </c>
      <c r="H1825" t="s">
        <v>132</v>
      </c>
      <c r="I1825" s="2" t="str">
        <f>_xlfn.XLOOKUP(F1825,DeparaIMG!D:D,DeparaIMG!F:F,,0)</f>
        <v>GATORADE.png</v>
      </c>
    </row>
    <row r="1826" spans="1:9" x14ac:dyDescent="0.35">
      <c r="A1826" s="2" t="s">
        <v>155</v>
      </c>
      <c r="B1826" s="2" t="s">
        <v>127</v>
      </c>
      <c r="C1826" t="s">
        <v>29</v>
      </c>
      <c r="D1826" t="s">
        <v>127</v>
      </c>
      <c r="E1826">
        <v>2</v>
      </c>
      <c r="F1826" t="s">
        <v>33</v>
      </c>
      <c r="G1826" t="s">
        <v>140</v>
      </c>
      <c r="H1826" t="s">
        <v>141</v>
      </c>
      <c r="I1826" s="2" t="str">
        <f>_xlfn.XLOOKUP(F1826,DeparaIMG!D:D,DeparaIMG!F:F,,0)</f>
        <v>PCP2.png</v>
      </c>
    </row>
    <row r="1827" spans="1:9" x14ac:dyDescent="0.35">
      <c r="A1827" s="2" t="s">
        <v>155</v>
      </c>
      <c r="B1827" s="2" t="s">
        <v>127</v>
      </c>
      <c r="C1827" t="s">
        <v>29</v>
      </c>
      <c r="D1827" t="s">
        <v>127</v>
      </c>
      <c r="E1827">
        <v>2</v>
      </c>
      <c r="F1827" t="s">
        <v>35</v>
      </c>
      <c r="G1827" t="s">
        <v>131</v>
      </c>
      <c r="H1827" t="s">
        <v>132</v>
      </c>
      <c r="I1827" s="2" t="str">
        <f>_xlfn.XLOOKUP(F1827,DeparaIMG!D:D,DeparaIMG!F:F,,0)</f>
        <v>H2OHP500.png</v>
      </c>
    </row>
    <row r="1828" spans="1:9" x14ac:dyDescent="0.35">
      <c r="A1828" s="2" t="s">
        <v>155</v>
      </c>
      <c r="B1828" s="2" t="s">
        <v>127</v>
      </c>
      <c r="C1828" t="s">
        <v>87</v>
      </c>
      <c r="D1828" t="s">
        <v>127</v>
      </c>
      <c r="E1828">
        <v>1</v>
      </c>
      <c r="F1828" t="s">
        <v>38</v>
      </c>
      <c r="G1828" t="s">
        <v>131</v>
      </c>
      <c r="H1828" t="s">
        <v>132</v>
      </c>
      <c r="I1828" s="2" t="str">
        <f>_xlfn.XLOOKUP(F1828,DeparaIMG!D:D,DeparaIMG!F:F,,0)</f>
        <v>GCA350.png</v>
      </c>
    </row>
    <row r="1829" spans="1:9" x14ac:dyDescent="0.35">
      <c r="A1829" s="2" t="s">
        <v>155</v>
      </c>
      <c r="B1829" s="2" t="s">
        <v>127</v>
      </c>
      <c r="C1829" t="s">
        <v>87</v>
      </c>
      <c r="D1829" t="s">
        <v>127</v>
      </c>
      <c r="E1829">
        <v>1</v>
      </c>
      <c r="F1829" t="s">
        <v>142</v>
      </c>
      <c r="G1829" t="s">
        <v>131</v>
      </c>
      <c r="H1829" t="s">
        <v>132</v>
      </c>
      <c r="I1829" s="2" t="str">
        <f>_xlfn.XLOOKUP(F1829,DeparaIMG!D:D,DeparaIMG!F:F,,0)</f>
        <v>PCSAB350.png</v>
      </c>
    </row>
    <row r="1830" spans="1:9" x14ac:dyDescent="0.35">
      <c r="A1830" s="2" t="s">
        <v>155</v>
      </c>
      <c r="B1830" s="2" t="s">
        <v>127</v>
      </c>
      <c r="C1830" t="s">
        <v>87</v>
      </c>
      <c r="D1830" t="s">
        <v>127</v>
      </c>
      <c r="E1830">
        <v>1</v>
      </c>
      <c r="F1830" t="s">
        <v>37</v>
      </c>
      <c r="G1830" t="s">
        <v>140</v>
      </c>
      <c r="H1830" t="s">
        <v>141</v>
      </c>
      <c r="I1830" s="2" t="str">
        <f>_xlfn.XLOOKUP(F1830,DeparaIMG!D:D,DeparaIMG!F:F,,0)</f>
        <v>GCAP2.png</v>
      </c>
    </row>
    <row r="1831" spans="1:9" x14ac:dyDescent="0.35">
      <c r="A1831" s="2" t="s">
        <v>155</v>
      </c>
      <c r="B1831" s="2" t="s">
        <v>127</v>
      </c>
      <c r="C1831" t="s">
        <v>87</v>
      </c>
      <c r="D1831" t="s">
        <v>127</v>
      </c>
      <c r="E1831">
        <v>2</v>
      </c>
      <c r="F1831" t="s">
        <v>143</v>
      </c>
      <c r="G1831" t="s">
        <v>131</v>
      </c>
      <c r="H1831" t="s">
        <v>132</v>
      </c>
      <c r="I1831" s="2" t="str">
        <f>_xlfn.XLOOKUP(F1831,DeparaIMG!D:D,DeparaIMG!F:F,,0)</f>
        <v>GATORADE.png</v>
      </c>
    </row>
    <row r="1832" spans="1:9" x14ac:dyDescent="0.35">
      <c r="A1832" s="2" t="s">
        <v>155</v>
      </c>
      <c r="B1832" s="2" t="s">
        <v>127</v>
      </c>
      <c r="C1832" t="s">
        <v>87</v>
      </c>
      <c r="D1832" t="s">
        <v>127</v>
      </c>
      <c r="E1832">
        <v>2</v>
      </c>
      <c r="F1832" t="s">
        <v>33</v>
      </c>
      <c r="G1832" t="s">
        <v>140</v>
      </c>
      <c r="H1832" t="s">
        <v>141</v>
      </c>
      <c r="I1832" s="2" t="str">
        <f>_xlfn.XLOOKUP(F1832,DeparaIMG!D:D,DeparaIMG!F:F,,0)</f>
        <v>PCP2.png</v>
      </c>
    </row>
    <row r="1833" spans="1:9" x14ac:dyDescent="0.35">
      <c r="A1833" s="2" t="s">
        <v>155</v>
      </c>
      <c r="B1833" s="2" t="s">
        <v>127</v>
      </c>
      <c r="C1833" t="s">
        <v>87</v>
      </c>
      <c r="D1833" t="s">
        <v>127</v>
      </c>
      <c r="E1833">
        <v>2</v>
      </c>
      <c r="F1833" t="s">
        <v>35</v>
      </c>
      <c r="G1833" t="s">
        <v>131</v>
      </c>
      <c r="H1833" t="s">
        <v>132</v>
      </c>
      <c r="I1833" s="2" t="str">
        <f>_xlfn.XLOOKUP(F1833,DeparaIMG!D:D,DeparaIMG!F:F,,0)</f>
        <v>H2OHP500.png</v>
      </c>
    </row>
    <row r="1834" spans="1:9" x14ac:dyDescent="0.35">
      <c r="A1834" s="2" t="s">
        <v>155</v>
      </c>
      <c r="B1834" s="2" t="s">
        <v>127</v>
      </c>
      <c r="C1834" t="s">
        <v>88</v>
      </c>
      <c r="D1834" t="s">
        <v>127</v>
      </c>
      <c r="E1834">
        <v>1</v>
      </c>
      <c r="F1834" t="s">
        <v>38</v>
      </c>
      <c r="G1834" t="s">
        <v>131</v>
      </c>
      <c r="H1834" t="s">
        <v>132</v>
      </c>
      <c r="I1834" s="2" t="str">
        <f>_xlfn.XLOOKUP(F1834,DeparaIMG!D:D,DeparaIMG!F:F,,0)</f>
        <v>GCA350.png</v>
      </c>
    </row>
    <row r="1835" spans="1:9" x14ac:dyDescent="0.35">
      <c r="A1835" s="2" t="s">
        <v>155</v>
      </c>
      <c r="B1835" s="2" t="s">
        <v>127</v>
      </c>
      <c r="C1835" t="s">
        <v>88</v>
      </c>
      <c r="D1835" t="s">
        <v>127</v>
      </c>
      <c r="E1835">
        <v>1</v>
      </c>
      <c r="F1835" t="s">
        <v>142</v>
      </c>
      <c r="G1835" t="s">
        <v>131</v>
      </c>
      <c r="H1835" t="s">
        <v>132</v>
      </c>
      <c r="I1835" s="2" t="str">
        <f>_xlfn.XLOOKUP(F1835,DeparaIMG!D:D,DeparaIMG!F:F,,0)</f>
        <v>PCSAB350.png</v>
      </c>
    </row>
    <row r="1836" spans="1:9" x14ac:dyDescent="0.35">
      <c r="A1836" s="2" t="s">
        <v>155</v>
      </c>
      <c r="B1836" s="2" t="s">
        <v>127</v>
      </c>
      <c r="C1836" t="s">
        <v>88</v>
      </c>
      <c r="D1836" t="s">
        <v>127</v>
      </c>
      <c r="E1836">
        <v>1</v>
      </c>
      <c r="F1836" t="s">
        <v>37</v>
      </c>
      <c r="G1836" t="s">
        <v>140</v>
      </c>
      <c r="H1836" t="s">
        <v>141</v>
      </c>
      <c r="I1836" s="2" t="str">
        <f>_xlfn.XLOOKUP(F1836,DeparaIMG!D:D,DeparaIMG!F:F,,0)</f>
        <v>GCAP2.png</v>
      </c>
    </row>
    <row r="1837" spans="1:9" x14ac:dyDescent="0.35">
      <c r="A1837" s="2" t="s">
        <v>155</v>
      </c>
      <c r="B1837" s="2" t="s">
        <v>127</v>
      </c>
      <c r="C1837" t="s">
        <v>88</v>
      </c>
      <c r="D1837" t="s">
        <v>127</v>
      </c>
      <c r="E1837">
        <v>2</v>
      </c>
      <c r="F1837" t="s">
        <v>143</v>
      </c>
      <c r="G1837" t="s">
        <v>131</v>
      </c>
      <c r="H1837" t="s">
        <v>132</v>
      </c>
      <c r="I1837" s="2" t="str">
        <f>_xlfn.XLOOKUP(F1837,DeparaIMG!D:D,DeparaIMG!F:F,,0)</f>
        <v>GATORADE.png</v>
      </c>
    </row>
    <row r="1838" spans="1:9" x14ac:dyDescent="0.35">
      <c r="A1838" s="2" t="s">
        <v>155</v>
      </c>
      <c r="B1838" s="2" t="s">
        <v>127</v>
      </c>
      <c r="C1838" t="s">
        <v>88</v>
      </c>
      <c r="D1838" t="s">
        <v>127</v>
      </c>
      <c r="E1838">
        <v>2</v>
      </c>
      <c r="F1838" t="s">
        <v>33</v>
      </c>
      <c r="G1838" t="s">
        <v>140</v>
      </c>
      <c r="H1838" t="s">
        <v>141</v>
      </c>
      <c r="I1838" s="2" t="str">
        <f>_xlfn.XLOOKUP(F1838,DeparaIMG!D:D,DeparaIMG!F:F,,0)</f>
        <v>PCP2.png</v>
      </c>
    </row>
    <row r="1839" spans="1:9" x14ac:dyDescent="0.35">
      <c r="A1839" s="2" t="s">
        <v>155</v>
      </c>
      <c r="B1839" s="2" t="s">
        <v>127</v>
      </c>
      <c r="C1839" t="s">
        <v>88</v>
      </c>
      <c r="D1839" t="s">
        <v>127</v>
      </c>
      <c r="E1839">
        <v>2</v>
      </c>
      <c r="F1839" t="s">
        <v>35</v>
      </c>
      <c r="G1839" t="s">
        <v>131</v>
      </c>
      <c r="H1839" t="s">
        <v>132</v>
      </c>
      <c r="I1839" s="2" t="str">
        <f>_xlfn.XLOOKUP(F1839,DeparaIMG!D:D,DeparaIMG!F:F,,0)</f>
        <v>H2OHP500.png</v>
      </c>
    </row>
    <row r="1840" spans="1:9" x14ac:dyDescent="0.35">
      <c r="A1840" s="2" t="s">
        <v>155</v>
      </c>
      <c r="B1840" s="2" t="s">
        <v>127</v>
      </c>
      <c r="C1840" t="s">
        <v>28</v>
      </c>
      <c r="D1840" t="s">
        <v>127</v>
      </c>
      <c r="E1840">
        <v>1</v>
      </c>
      <c r="F1840" t="s">
        <v>106</v>
      </c>
      <c r="G1840" t="s">
        <v>137</v>
      </c>
      <c r="H1840" t="s">
        <v>138</v>
      </c>
      <c r="I1840" s="2" t="str">
        <f>_xlfn.XLOOKUP(F1840,DeparaIMG!D:D,DeparaIMG!F:F,,0)</f>
        <v>BEATSLT.png</v>
      </c>
    </row>
    <row r="1841" spans="1:9" x14ac:dyDescent="0.35">
      <c r="A1841" s="2" t="s">
        <v>155</v>
      </c>
      <c r="B1841" s="2" t="s">
        <v>127</v>
      </c>
      <c r="C1841" t="s">
        <v>29</v>
      </c>
      <c r="D1841" t="s">
        <v>127</v>
      </c>
      <c r="E1841">
        <v>1</v>
      </c>
      <c r="F1841" t="s">
        <v>106</v>
      </c>
      <c r="G1841" t="s">
        <v>137</v>
      </c>
      <c r="H1841" t="s">
        <v>138</v>
      </c>
      <c r="I1841" s="2" t="str">
        <f>_xlfn.XLOOKUP(F1841,DeparaIMG!D:D,DeparaIMG!F:F,,0)</f>
        <v>BEATSLT.png</v>
      </c>
    </row>
    <row r="1842" spans="1:9" x14ac:dyDescent="0.35">
      <c r="A1842" s="2" t="s">
        <v>155</v>
      </c>
      <c r="B1842" s="2" t="s">
        <v>127</v>
      </c>
      <c r="C1842" t="s">
        <v>87</v>
      </c>
      <c r="D1842" t="s">
        <v>127</v>
      </c>
      <c r="E1842">
        <v>1</v>
      </c>
      <c r="F1842" t="s">
        <v>106</v>
      </c>
      <c r="G1842" t="s">
        <v>137</v>
      </c>
      <c r="H1842" t="s">
        <v>138</v>
      </c>
      <c r="I1842" s="2" t="str">
        <f>_xlfn.XLOOKUP(F1842,DeparaIMG!D:D,DeparaIMG!F:F,,0)</f>
        <v>BEATSLT.png</v>
      </c>
    </row>
    <row r="1843" spans="1:9" x14ac:dyDescent="0.35">
      <c r="A1843" s="2" t="s">
        <v>155</v>
      </c>
      <c r="B1843" s="2" t="s">
        <v>127</v>
      </c>
      <c r="C1843" t="s">
        <v>88</v>
      </c>
      <c r="D1843" t="s">
        <v>127</v>
      </c>
      <c r="E1843">
        <v>1</v>
      </c>
      <c r="F1843" t="s">
        <v>106</v>
      </c>
      <c r="G1843" t="s">
        <v>137</v>
      </c>
      <c r="H1843" t="s">
        <v>138</v>
      </c>
      <c r="I1843" s="2" t="str">
        <f>_xlfn.XLOOKUP(F1843,DeparaIMG!D:D,DeparaIMG!F:F,,0)</f>
        <v>BEATSLT.png</v>
      </c>
    </row>
    <row r="1844" spans="1:9" x14ac:dyDescent="0.35">
      <c r="A1844" s="2" t="s">
        <v>155</v>
      </c>
      <c r="B1844" s="2" t="s">
        <v>127</v>
      </c>
      <c r="C1844" t="s">
        <v>28</v>
      </c>
      <c r="D1844" t="s">
        <v>127</v>
      </c>
      <c r="E1844">
        <v>2</v>
      </c>
      <c r="F1844" t="s">
        <v>107</v>
      </c>
      <c r="G1844" t="s">
        <v>131</v>
      </c>
      <c r="H1844" t="s">
        <v>132</v>
      </c>
      <c r="I1844" s="2" t="str">
        <f>_xlfn.XLOOKUP(F1844,DeparaIMG!D:D,DeparaIMG!F:F,,0)</f>
        <v>BEATSLN.png</v>
      </c>
    </row>
    <row r="1845" spans="1:9" x14ac:dyDescent="0.35">
      <c r="A1845" s="2" t="s">
        <v>155</v>
      </c>
      <c r="B1845" s="2" t="s">
        <v>127</v>
      </c>
      <c r="C1845" t="s">
        <v>29</v>
      </c>
      <c r="D1845" t="s">
        <v>127</v>
      </c>
      <c r="E1845">
        <v>2</v>
      </c>
      <c r="F1845" t="s">
        <v>107</v>
      </c>
      <c r="G1845" t="s">
        <v>131</v>
      </c>
      <c r="H1845" t="s">
        <v>132</v>
      </c>
      <c r="I1845" s="2" t="str">
        <f>_xlfn.XLOOKUP(F1845,DeparaIMG!D:D,DeparaIMG!F:F,,0)</f>
        <v>BEATSLN.png</v>
      </c>
    </row>
    <row r="1846" spans="1:9" x14ac:dyDescent="0.35">
      <c r="A1846" s="2" t="s">
        <v>155</v>
      </c>
      <c r="B1846" s="2" t="s">
        <v>127</v>
      </c>
      <c r="C1846" t="s">
        <v>87</v>
      </c>
      <c r="D1846" t="s">
        <v>127</v>
      </c>
      <c r="E1846">
        <v>2</v>
      </c>
      <c r="F1846" t="s">
        <v>107</v>
      </c>
      <c r="G1846" t="s">
        <v>131</v>
      </c>
      <c r="H1846" t="s">
        <v>132</v>
      </c>
      <c r="I1846" s="2" t="str">
        <f>_xlfn.XLOOKUP(F1846,DeparaIMG!D:D,DeparaIMG!F:F,,0)</f>
        <v>BEATSLN.png</v>
      </c>
    </row>
    <row r="1847" spans="1:9" x14ac:dyDescent="0.35">
      <c r="A1847" s="2" t="s">
        <v>155</v>
      </c>
      <c r="B1847" s="2" t="s">
        <v>127</v>
      </c>
      <c r="C1847" t="s">
        <v>88</v>
      </c>
      <c r="D1847" t="s">
        <v>127</v>
      </c>
      <c r="E1847">
        <v>2</v>
      </c>
      <c r="F1847" t="s">
        <v>107</v>
      </c>
      <c r="G1847" t="s">
        <v>131</v>
      </c>
      <c r="H1847" t="s">
        <v>132</v>
      </c>
      <c r="I1847" s="2" t="str">
        <f>_xlfn.XLOOKUP(F1847,DeparaIMG!D:D,DeparaIMG!F:F,,0)</f>
        <v>BEATSLN.png</v>
      </c>
    </row>
    <row r="1848" spans="1:9" x14ac:dyDescent="0.35">
      <c r="A1848" s="2" t="s">
        <v>155</v>
      </c>
      <c r="B1848" s="2" t="s">
        <v>127</v>
      </c>
      <c r="C1848" t="s">
        <v>28</v>
      </c>
      <c r="D1848" t="s">
        <v>127</v>
      </c>
      <c r="E1848">
        <v>2</v>
      </c>
      <c r="F1848" t="s">
        <v>106</v>
      </c>
      <c r="G1848" t="s">
        <v>164</v>
      </c>
      <c r="H1848" t="s">
        <v>165</v>
      </c>
      <c r="I1848" s="2" t="str">
        <f>_xlfn.XLOOKUP(F1848,DeparaIMG!D:D,DeparaIMG!F:F,,0)</f>
        <v>BEATSLT.png</v>
      </c>
    </row>
    <row r="1849" spans="1:9" x14ac:dyDescent="0.35">
      <c r="A1849" s="2" t="s">
        <v>155</v>
      </c>
      <c r="B1849" s="2" t="s">
        <v>127</v>
      </c>
      <c r="C1849" t="s">
        <v>29</v>
      </c>
      <c r="D1849" t="s">
        <v>127</v>
      </c>
      <c r="E1849">
        <v>2</v>
      </c>
      <c r="F1849" t="s">
        <v>106</v>
      </c>
      <c r="G1849" t="s">
        <v>164</v>
      </c>
      <c r="H1849" t="s">
        <v>165</v>
      </c>
      <c r="I1849" s="2" t="str">
        <f>_xlfn.XLOOKUP(F1849,DeparaIMG!D:D,DeparaIMG!F:F,,0)</f>
        <v>BEATSLT.png</v>
      </c>
    </row>
    <row r="1850" spans="1:9" x14ac:dyDescent="0.35">
      <c r="A1850" s="2" t="s">
        <v>155</v>
      </c>
      <c r="B1850" s="2" t="s">
        <v>127</v>
      </c>
      <c r="C1850" t="s">
        <v>87</v>
      </c>
      <c r="D1850" t="s">
        <v>127</v>
      </c>
      <c r="E1850">
        <v>2</v>
      </c>
      <c r="F1850" t="s">
        <v>106</v>
      </c>
      <c r="G1850" t="s">
        <v>164</v>
      </c>
      <c r="H1850" t="s">
        <v>165</v>
      </c>
      <c r="I1850" s="2" t="str">
        <f>_xlfn.XLOOKUP(F1850,DeparaIMG!D:D,DeparaIMG!F:F,,0)</f>
        <v>BEATSLT.png</v>
      </c>
    </row>
    <row r="1851" spans="1:9" x14ac:dyDescent="0.35">
      <c r="A1851" s="2" t="s">
        <v>155</v>
      </c>
      <c r="B1851" s="2" t="s">
        <v>127</v>
      </c>
      <c r="C1851" t="s">
        <v>88</v>
      </c>
      <c r="D1851" t="s">
        <v>127</v>
      </c>
      <c r="E1851">
        <v>2</v>
      </c>
      <c r="F1851" t="s">
        <v>106</v>
      </c>
      <c r="G1851" t="s">
        <v>164</v>
      </c>
      <c r="H1851" t="s">
        <v>165</v>
      </c>
      <c r="I1851" s="2" t="str">
        <f>_xlfn.XLOOKUP(F1851,DeparaIMG!D:D,DeparaIMG!F:F,,0)</f>
        <v>BEATSLT.png</v>
      </c>
    </row>
    <row r="1852" spans="1:9" x14ac:dyDescent="0.35">
      <c r="A1852" s="2" t="s">
        <v>155</v>
      </c>
      <c r="B1852" s="2" t="s">
        <v>127</v>
      </c>
      <c r="C1852" t="s">
        <v>28</v>
      </c>
      <c r="D1852" t="s">
        <v>127</v>
      </c>
      <c r="E1852">
        <v>2</v>
      </c>
      <c r="F1852" s="2" t="s">
        <v>109</v>
      </c>
      <c r="G1852" t="s">
        <v>164</v>
      </c>
      <c r="H1852" t="s">
        <v>165</v>
      </c>
      <c r="I1852" s="2" t="str">
        <f>_xlfn.XLOOKUP(F1852,DeparaIMG!D:D,DeparaIMG!F:F,,0)</f>
        <v>FFLN.png</v>
      </c>
    </row>
    <row r="1853" spans="1:9" x14ac:dyDescent="0.35">
      <c r="A1853" s="2" t="s">
        <v>155</v>
      </c>
      <c r="B1853" s="2" t="s">
        <v>127</v>
      </c>
      <c r="C1853" t="s">
        <v>29</v>
      </c>
      <c r="D1853" t="s">
        <v>127</v>
      </c>
      <c r="E1853">
        <v>2</v>
      </c>
      <c r="F1853" s="2" t="s">
        <v>109</v>
      </c>
      <c r="G1853" t="s">
        <v>164</v>
      </c>
      <c r="H1853" t="s">
        <v>165</v>
      </c>
      <c r="I1853" s="2" t="str">
        <f>_xlfn.XLOOKUP(F1853,DeparaIMG!D:D,DeparaIMG!F:F,,0)</f>
        <v>FFLN.png</v>
      </c>
    </row>
    <row r="1854" spans="1:9" x14ac:dyDescent="0.35">
      <c r="A1854" s="2" t="s">
        <v>155</v>
      </c>
      <c r="B1854" s="2" t="s">
        <v>127</v>
      </c>
      <c r="C1854" t="s">
        <v>87</v>
      </c>
      <c r="D1854" t="s">
        <v>127</v>
      </c>
      <c r="E1854">
        <v>2</v>
      </c>
      <c r="F1854" s="2" t="s">
        <v>109</v>
      </c>
      <c r="G1854" t="s">
        <v>164</v>
      </c>
      <c r="H1854" t="s">
        <v>165</v>
      </c>
      <c r="I1854" s="2" t="str">
        <f>_xlfn.XLOOKUP(F1854,DeparaIMG!D:D,DeparaIMG!F:F,,0)</f>
        <v>FFLN.png</v>
      </c>
    </row>
    <row r="1855" spans="1:9" x14ac:dyDescent="0.35">
      <c r="A1855" s="2" t="s">
        <v>155</v>
      </c>
      <c r="B1855" s="2" t="s">
        <v>127</v>
      </c>
      <c r="C1855" t="s">
        <v>88</v>
      </c>
      <c r="D1855" t="s">
        <v>127</v>
      </c>
      <c r="E1855">
        <v>2</v>
      </c>
      <c r="F1855" s="2" t="s">
        <v>109</v>
      </c>
      <c r="G1855" t="s">
        <v>164</v>
      </c>
      <c r="H1855" t="s">
        <v>165</v>
      </c>
      <c r="I1855" s="2" t="str">
        <f>_xlfn.XLOOKUP(F1855,DeparaIMG!D:D,DeparaIMG!F:F,,0)</f>
        <v>FFLN.png</v>
      </c>
    </row>
    <row r="1856" spans="1:9" x14ac:dyDescent="0.35">
      <c r="A1856" s="2" t="s">
        <v>155</v>
      </c>
      <c r="B1856" s="2" t="s">
        <v>127</v>
      </c>
      <c r="C1856" t="s">
        <v>28</v>
      </c>
      <c r="D1856" t="s">
        <v>127</v>
      </c>
      <c r="E1856">
        <v>2</v>
      </c>
      <c r="F1856" t="s">
        <v>108</v>
      </c>
      <c r="G1856" t="s">
        <v>164</v>
      </c>
      <c r="H1856" t="s">
        <v>165</v>
      </c>
      <c r="I1856" s="2" t="str">
        <f>_xlfn.XLOOKUP(F1856,DeparaIMG!D:D,DeparaIMG!F:F,,0)</f>
        <v>FF350.png</v>
      </c>
    </row>
    <row r="1857" spans="1:9" x14ac:dyDescent="0.35">
      <c r="A1857" s="2" t="s">
        <v>155</v>
      </c>
      <c r="B1857" s="2" t="s">
        <v>127</v>
      </c>
      <c r="C1857" t="s">
        <v>29</v>
      </c>
      <c r="D1857" t="s">
        <v>127</v>
      </c>
      <c r="E1857">
        <v>2</v>
      </c>
      <c r="F1857" t="s">
        <v>108</v>
      </c>
      <c r="G1857" t="s">
        <v>164</v>
      </c>
      <c r="H1857" t="s">
        <v>165</v>
      </c>
      <c r="I1857" s="2" t="str">
        <f>_xlfn.XLOOKUP(F1857,DeparaIMG!D:D,DeparaIMG!F:F,,0)</f>
        <v>FF350.png</v>
      </c>
    </row>
    <row r="1858" spans="1:9" x14ac:dyDescent="0.35">
      <c r="A1858" s="2" t="s">
        <v>155</v>
      </c>
      <c r="B1858" s="2" t="s">
        <v>127</v>
      </c>
      <c r="C1858" t="s">
        <v>87</v>
      </c>
      <c r="D1858" t="s">
        <v>127</v>
      </c>
      <c r="E1858">
        <v>2</v>
      </c>
      <c r="F1858" t="s">
        <v>108</v>
      </c>
      <c r="G1858" t="s">
        <v>164</v>
      </c>
      <c r="H1858" t="s">
        <v>165</v>
      </c>
      <c r="I1858" s="2" t="str">
        <f>_xlfn.XLOOKUP(F1858,DeparaIMG!D:D,DeparaIMG!F:F,,0)</f>
        <v>FF350.png</v>
      </c>
    </row>
    <row r="1859" spans="1:9" x14ac:dyDescent="0.35">
      <c r="A1859" s="2" t="s">
        <v>155</v>
      </c>
      <c r="B1859" s="2" t="s">
        <v>127</v>
      </c>
      <c r="C1859" t="s">
        <v>88</v>
      </c>
      <c r="D1859" t="s">
        <v>127</v>
      </c>
      <c r="E1859">
        <v>2</v>
      </c>
      <c r="F1859" t="s">
        <v>108</v>
      </c>
      <c r="G1859" t="s">
        <v>164</v>
      </c>
      <c r="H1859" t="s">
        <v>165</v>
      </c>
      <c r="I1859" s="2" t="str">
        <f>_xlfn.XLOOKUP(F1859,DeparaIMG!D:D,DeparaIMG!F:F,,0)</f>
        <v>FF350.png</v>
      </c>
    </row>
    <row r="1860" spans="1:9" x14ac:dyDescent="0.35">
      <c r="A1860" s="2" t="s">
        <v>155</v>
      </c>
      <c r="B1860" s="2" t="s">
        <v>127</v>
      </c>
      <c r="C1860" t="s">
        <v>28</v>
      </c>
      <c r="D1860" t="s">
        <v>127</v>
      </c>
      <c r="E1860">
        <v>1</v>
      </c>
      <c r="F1860" t="s">
        <v>144</v>
      </c>
      <c r="G1860" t="s">
        <v>149</v>
      </c>
      <c r="H1860" t="s">
        <v>150</v>
      </c>
      <c r="I1860" s="2" t="str">
        <f>_xlfn.XLOOKUP(F1860,DeparaIMG!D:D,DeparaIMG!F:F,,0)</f>
        <v>BEATSFF.png</v>
      </c>
    </row>
    <row r="1861" spans="1:9" x14ac:dyDescent="0.35">
      <c r="A1861" s="2" t="s">
        <v>155</v>
      </c>
      <c r="B1861" s="2" t="s">
        <v>127</v>
      </c>
      <c r="C1861" t="s">
        <v>29</v>
      </c>
      <c r="D1861" t="s">
        <v>127</v>
      </c>
      <c r="E1861">
        <v>1</v>
      </c>
      <c r="F1861" t="s">
        <v>144</v>
      </c>
      <c r="G1861" t="s">
        <v>149</v>
      </c>
      <c r="H1861" t="s">
        <v>150</v>
      </c>
      <c r="I1861" s="2" t="str">
        <f>_xlfn.XLOOKUP(F1861,DeparaIMG!D:D,DeparaIMG!F:F,,0)</f>
        <v>BEATSFF.png</v>
      </c>
    </row>
    <row r="1862" spans="1:9" x14ac:dyDescent="0.35">
      <c r="A1862" s="2" t="s">
        <v>155</v>
      </c>
      <c r="B1862" s="2" t="s">
        <v>127</v>
      </c>
      <c r="C1862" t="s">
        <v>87</v>
      </c>
      <c r="D1862" t="s">
        <v>127</v>
      </c>
      <c r="E1862">
        <v>1</v>
      </c>
      <c r="F1862" t="s">
        <v>144</v>
      </c>
      <c r="G1862" t="s">
        <v>149</v>
      </c>
      <c r="H1862" t="s">
        <v>150</v>
      </c>
      <c r="I1862" s="2" t="str">
        <f>_xlfn.XLOOKUP(F1862,DeparaIMG!D:D,DeparaIMG!F:F,,0)</f>
        <v>BEATSFF.png</v>
      </c>
    </row>
    <row r="1863" spans="1:9" x14ac:dyDescent="0.35">
      <c r="A1863" s="2" t="s">
        <v>155</v>
      </c>
      <c r="B1863" s="2" t="s">
        <v>127</v>
      </c>
      <c r="C1863" t="s">
        <v>88</v>
      </c>
      <c r="D1863" t="s">
        <v>127</v>
      </c>
      <c r="E1863">
        <v>1</v>
      </c>
      <c r="F1863" t="s">
        <v>144</v>
      </c>
      <c r="G1863" t="s">
        <v>149</v>
      </c>
      <c r="H1863" t="s">
        <v>150</v>
      </c>
      <c r="I1863" s="2" t="str">
        <f>_xlfn.XLOOKUP(F1863,DeparaIMG!D:D,DeparaIMG!F:F,,0)</f>
        <v>BEATSFF.png</v>
      </c>
    </row>
    <row r="1864" spans="1:9" x14ac:dyDescent="0.35">
      <c r="A1864" s="2" t="s">
        <v>155</v>
      </c>
      <c r="B1864" s="2" t="s">
        <v>127</v>
      </c>
      <c r="C1864" t="s">
        <v>28</v>
      </c>
      <c r="D1864" t="s">
        <v>127</v>
      </c>
      <c r="E1864">
        <v>2</v>
      </c>
      <c r="F1864" t="s">
        <v>144</v>
      </c>
      <c r="G1864" t="s">
        <v>149</v>
      </c>
      <c r="H1864" t="s">
        <v>150</v>
      </c>
      <c r="I1864" s="2" t="str">
        <f>_xlfn.XLOOKUP(F1864,DeparaIMG!D:D,DeparaIMG!F:F,,0)</f>
        <v>BEATSFF.png</v>
      </c>
    </row>
    <row r="1865" spans="1:9" x14ac:dyDescent="0.35">
      <c r="A1865" s="2" t="s">
        <v>155</v>
      </c>
      <c r="B1865" s="2" t="s">
        <v>127</v>
      </c>
      <c r="C1865" t="s">
        <v>29</v>
      </c>
      <c r="D1865" t="s">
        <v>127</v>
      </c>
      <c r="E1865">
        <v>2</v>
      </c>
      <c r="F1865" t="s">
        <v>144</v>
      </c>
      <c r="G1865" t="s">
        <v>149</v>
      </c>
      <c r="H1865" t="s">
        <v>150</v>
      </c>
      <c r="I1865" s="2" t="str">
        <f>_xlfn.XLOOKUP(F1865,DeparaIMG!D:D,DeparaIMG!F:F,,0)</f>
        <v>BEATSFF.png</v>
      </c>
    </row>
    <row r="1866" spans="1:9" x14ac:dyDescent="0.35">
      <c r="A1866" s="2" t="s">
        <v>155</v>
      </c>
      <c r="B1866" s="2" t="s">
        <v>127</v>
      </c>
      <c r="C1866" t="s">
        <v>87</v>
      </c>
      <c r="D1866" t="s">
        <v>127</v>
      </c>
      <c r="E1866">
        <v>2</v>
      </c>
      <c r="F1866" t="s">
        <v>144</v>
      </c>
      <c r="G1866" t="s">
        <v>149</v>
      </c>
      <c r="H1866" t="s">
        <v>150</v>
      </c>
      <c r="I1866" s="2" t="str">
        <f>_xlfn.XLOOKUP(F1866,DeparaIMG!D:D,DeparaIMG!F:F,,0)</f>
        <v>BEATSFF.png</v>
      </c>
    </row>
    <row r="1867" spans="1:9" x14ac:dyDescent="0.35">
      <c r="A1867" s="2" t="s">
        <v>155</v>
      </c>
      <c r="B1867" s="2" t="s">
        <v>127</v>
      </c>
      <c r="C1867" t="s">
        <v>88</v>
      </c>
      <c r="D1867" t="s">
        <v>127</v>
      </c>
      <c r="E1867">
        <v>2</v>
      </c>
      <c r="F1867" t="s">
        <v>144</v>
      </c>
      <c r="G1867" t="s">
        <v>149</v>
      </c>
      <c r="H1867" t="s">
        <v>150</v>
      </c>
      <c r="I1867" s="2" t="str">
        <f>_xlfn.XLOOKUP(F1867,DeparaIMG!D:D,DeparaIMG!F:F,,0)</f>
        <v>BEATSFF.png</v>
      </c>
    </row>
    <row r="1868" spans="1:9" x14ac:dyDescent="0.35">
      <c r="A1868" s="2" t="s">
        <v>155</v>
      </c>
      <c r="B1868" t="s">
        <v>61</v>
      </c>
      <c r="C1868" t="s">
        <v>4</v>
      </c>
      <c r="D1868" t="s">
        <v>25</v>
      </c>
      <c r="E1868">
        <v>1</v>
      </c>
      <c r="F1868" t="s">
        <v>31</v>
      </c>
      <c r="G1868">
        <v>4.99</v>
      </c>
      <c r="H1868">
        <v>4.6900000000000004</v>
      </c>
      <c r="I1868" s="2" t="str">
        <f>_xlfn.XLOOKUP(F1868,DeparaIMG!D:D,DeparaIMG!F:F,,0)</f>
        <v>GCAP1.png</v>
      </c>
    </row>
    <row r="1869" spans="1:9" x14ac:dyDescent="0.35">
      <c r="A1869" s="2" t="s">
        <v>155</v>
      </c>
      <c r="B1869" t="s">
        <v>61</v>
      </c>
      <c r="C1869" t="s">
        <v>173</v>
      </c>
      <c r="D1869" t="s">
        <v>25</v>
      </c>
      <c r="E1869">
        <v>1</v>
      </c>
      <c r="F1869" t="s">
        <v>32</v>
      </c>
      <c r="G1869">
        <v>6.49</v>
      </c>
      <c r="H1869">
        <v>6.09</v>
      </c>
      <c r="I1869" s="2" t="str">
        <f>_xlfn.XLOOKUP(F1869,DeparaIMG!D:D,DeparaIMG!F:F,,0)</f>
        <v>GCAP1,5.png</v>
      </c>
    </row>
    <row r="1870" spans="1:9" x14ac:dyDescent="0.35">
      <c r="A1870" s="2" t="s">
        <v>155</v>
      </c>
      <c r="B1870" t="s">
        <v>61</v>
      </c>
      <c r="C1870" t="s">
        <v>28</v>
      </c>
      <c r="D1870" t="s">
        <v>25</v>
      </c>
      <c r="E1870">
        <v>1</v>
      </c>
      <c r="F1870" t="s">
        <v>32</v>
      </c>
      <c r="G1870">
        <v>5.99</v>
      </c>
      <c r="H1870">
        <v>5.59</v>
      </c>
      <c r="I1870" s="2" t="str">
        <f>_xlfn.XLOOKUP(F1870,DeparaIMG!D:D,DeparaIMG!F:F,,0)</f>
        <v>GCAP1,5.png</v>
      </c>
    </row>
    <row r="1871" spans="1:9" x14ac:dyDescent="0.35">
      <c r="A1871" s="2" t="s">
        <v>155</v>
      </c>
      <c r="B1871" t="s">
        <v>61</v>
      </c>
      <c r="C1871" t="s">
        <v>29</v>
      </c>
      <c r="D1871" t="s">
        <v>25</v>
      </c>
      <c r="E1871">
        <v>1</v>
      </c>
      <c r="F1871" t="s">
        <v>32</v>
      </c>
      <c r="G1871">
        <v>5.99</v>
      </c>
      <c r="H1871">
        <v>5.59</v>
      </c>
      <c r="I1871" s="2" t="str">
        <f>_xlfn.XLOOKUP(F1871,DeparaIMG!D:D,DeparaIMG!F:F,,0)</f>
        <v>GCAP1,5.png</v>
      </c>
    </row>
    <row r="1872" spans="1:9" x14ac:dyDescent="0.35">
      <c r="A1872" s="2" t="s">
        <v>155</v>
      </c>
      <c r="B1872" t="s">
        <v>61</v>
      </c>
      <c r="C1872" t="s">
        <v>30</v>
      </c>
      <c r="D1872" t="s">
        <v>25</v>
      </c>
      <c r="E1872">
        <v>1</v>
      </c>
      <c r="F1872" t="s">
        <v>32</v>
      </c>
      <c r="G1872">
        <v>6.49</v>
      </c>
      <c r="H1872">
        <v>6.09</v>
      </c>
      <c r="I1872" s="2" t="str">
        <f>_xlfn.XLOOKUP(F1872,DeparaIMG!D:D,DeparaIMG!F:F,,0)</f>
        <v>GCAP1,5.png</v>
      </c>
    </row>
    <row r="1873" spans="1:9" x14ac:dyDescent="0.35">
      <c r="A1873" s="2" t="s">
        <v>155</v>
      </c>
      <c r="B1873" t="s">
        <v>61</v>
      </c>
      <c r="C1873" t="s">
        <v>4</v>
      </c>
      <c r="D1873" t="s">
        <v>25</v>
      </c>
      <c r="E1873">
        <v>1</v>
      </c>
      <c r="F1873" t="s">
        <v>166</v>
      </c>
      <c r="G1873">
        <v>4.99</v>
      </c>
      <c r="H1873">
        <v>4.6900000000000004</v>
      </c>
      <c r="I1873" s="2" t="str">
        <f>_xlfn.XLOOKUP(F1873,DeparaIMG!D:D,DeparaIMG!F:F,,0)</f>
        <v>GCADP1.png</v>
      </c>
    </row>
    <row r="1874" spans="1:9" x14ac:dyDescent="0.35">
      <c r="A1874" s="2" t="s">
        <v>155</v>
      </c>
      <c r="B1874" t="s">
        <v>61</v>
      </c>
      <c r="C1874" t="s">
        <v>173</v>
      </c>
      <c r="D1874" t="s">
        <v>25</v>
      </c>
      <c r="E1874">
        <v>1</v>
      </c>
      <c r="F1874" t="s">
        <v>167</v>
      </c>
      <c r="G1874">
        <v>6.49</v>
      </c>
      <c r="H1874">
        <v>6.09</v>
      </c>
      <c r="I1874" s="2" t="str">
        <f>_xlfn.XLOOKUP(F1874,DeparaIMG!D:D,DeparaIMG!F:F,,0)</f>
        <v>GCADP1,5.png</v>
      </c>
    </row>
    <row r="1875" spans="1:9" x14ac:dyDescent="0.35">
      <c r="A1875" s="2" t="s">
        <v>155</v>
      </c>
      <c r="B1875" t="s">
        <v>61</v>
      </c>
      <c r="C1875" t="s">
        <v>28</v>
      </c>
      <c r="D1875" t="s">
        <v>25</v>
      </c>
      <c r="E1875">
        <v>1</v>
      </c>
      <c r="F1875" t="s">
        <v>167</v>
      </c>
      <c r="G1875">
        <v>5.99</v>
      </c>
      <c r="H1875">
        <v>5.59</v>
      </c>
      <c r="I1875" s="2" t="str">
        <f>_xlfn.XLOOKUP(F1875,DeparaIMG!D:D,DeparaIMG!F:F,,0)</f>
        <v>GCADP1,5.png</v>
      </c>
    </row>
    <row r="1876" spans="1:9" x14ac:dyDescent="0.35">
      <c r="A1876" s="2" t="s">
        <v>155</v>
      </c>
      <c r="B1876" t="s">
        <v>61</v>
      </c>
      <c r="C1876" t="s">
        <v>29</v>
      </c>
      <c r="D1876" t="s">
        <v>25</v>
      </c>
      <c r="E1876">
        <v>1</v>
      </c>
      <c r="F1876" t="s">
        <v>167</v>
      </c>
      <c r="G1876">
        <v>5.99</v>
      </c>
      <c r="H1876">
        <v>5.59</v>
      </c>
      <c r="I1876" s="2" t="str">
        <f>_xlfn.XLOOKUP(F1876,DeparaIMG!D:D,DeparaIMG!F:F,,0)</f>
        <v>GCADP1,5.png</v>
      </c>
    </row>
    <row r="1877" spans="1:9" x14ac:dyDescent="0.35">
      <c r="A1877" s="2" t="s">
        <v>155</v>
      </c>
      <c r="B1877" t="s">
        <v>61</v>
      </c>
      <c r="C1877" t="s">
        <v>30</v>
      </c>
      <c r="D1877" t="s">
        <v>25</v>
      </c>
      <c r="E1877">
        <v>1</v>
      </c>
      <c r="F1877" t="s">
        <v>167</v>
      </c>
      <c r="G1877">
        <v>6.49</v>
      </c>
      <c r="H1877">
        <v>6.09</v>
      </c>
      <c r="I1877" s="2" t="str">
        <f>_xlfn.XLOOKUP(F1877,DeparaIMG!D:D,DeparaIMG!F:F,,0)</f>
        <v>GCADP1,5.png</v>
      </c>
    </row>
    <row r="1878" spans="1:9" x14ac:dyDescent="0.35">
      <c r="A1878" s="2" t="s">
        <v>155</v>
      </c>
      <c r="B1878" t="s">
        <v>61</v>
      </c>
      <c r="C1878" t="s">
        <v>4</v>
      </c>
      <c r="D1878" t="s">
        <v>25</v>
      </c>
      <c r="E1878">
        <v>1</v>
      </c>
      <c r="F1878" t="s">
        <v>33</v>
      </c>
      <c r="G1878">
        <v>7.79</v>
      </c>
      <c r="H1878">
        <v>7.39</v>
      </c>
      <c r="I1878" s="2" t="str">
        <f>_xlfn.XLOOKUP(F1878,DeparaIMG!D:D,DeparaIMG!F:F,,0)</f>
        <v>PCP2.png</v>
      </c>
    </row>
    <row r="1879" spans="1:9" x14ac:dyDescent="0.35">
      <c r="A1879" s="2" t="s">
        <v>155</v>
      </c>
      <c r="B1879" t="s">
        <v>61</v>
      </c>
      <c r="C1879" t="s">
        <v>173</v>
      </c>
      <c r="D1879" t="s">
        <v>25</v>
      </c>
      <c r="E1879">
        <v>1</v>
      </c>
      <c r="F1879" t="s">
        <v>33</v>
      </c>
      <c r="G1879">
        <v>8.7899999999999991</v>
      </c>
      <c r="H1879">
        <v>8.3899999999999988</v>
      </c>
      <c r="I1879" s="2" t="str">
        <f>_xlfn.XLOOKUP(F1879,DeparaIMG!D:D,DeparaIMG!F:F,,0)</f>
        <v>PCP2.png</v>
      </c>
    </row>
    <row r="1880" spans="1:9" x14ac:dyDescent="0.35">
      <c r="A1880" s="2" t="s">
        <v>155</v>
      </c>
      <c r="B1880" t="s">
        <v>61</v>
      </c>
      <c r="C1880" t="s">
        <v>28</v>
      </c>
      <c r="D1880" t="s">
        <v>25</v>
      </c>
      <c r="E1880">
        <v>1</v>
      </c>
      <c r="F1880" t="s">
        <v>33</v>
      </c>
      <c r="G1880">
        <v>7.79</v>
      </c>
      <c r="H1880">
        <v>7.39</v>
      </c>
      <c r="I1880" s="2" t="str">
        <f>_xlfn.XLOOKUP(F1880,DeparaIMG!D:D,DeparaIMG!F:F,,0)</f>
        <v>PCP2.png</v>
      </c>
    </row>
    <row r="1881" spans="1:9" x14ac:dyDescent="0.35">
      <c r="A1881" s="2" t="s">
        <v>155</v>
      </c>
      <c r="B1881" t="s">
        <v>61</v>
      </c>
      <c r="C1881" t="s">
        <v>29</v>
      </c>
      <c r="D1881" t="s">
        <v>25</v>
      </c>
      <c r="E1881">
        <v>1</v>
      </c>
      <c r="F1881" t="s">
        <v>33</v>
      </c>
      <c r="G1881">
        <v>7.79</v>
      </c>
      <c r="H1881">
        <v>7.39</v>
      </c>
      <c r="I1881" s="2" t="str">
        <f>_xlfn.XLOOKUP(F1881,DeparaIMG!D:D,DeparaIMG!F:F,,0)</f>
        <v>PCP2.png</v>
      </c>
    </row>
    <row r="1882" spans="1:9" x14ac:dyDescent="0.35">
      <c r="A1882" s="2" t="s">
        <v>155</v>
      </c>
      <c r="B1882" t="s">
        <v>61</v>
      </c>
      <c r="C1882" t="s">
        <v>30</v>
      </c>
      <c r="D1882" t="s">
        <v>25</v>
      </c>
      <c r="E1882">
        <v>1</v>
      </c>
      <c r="F1882" t="s">
        <v>33</v>
      </c>
      <c r="G1882">
        <v>8.7899999999999991</v>
      </c>
      <c r="H1882">
        <v>8.3899999999999988</v>
      </c>
      <c r="I1882" s="2" t="str">
        <f>_xlfn.XLOOKUP(F1882,DeparaIMG!D:D,DeparaIMG!F:F,,0)</f>
        <v>PCP2.png</v>
      </c>
    </row>
    <row r="1883" spans="1:9" x14ac:dyDescent="0.35">
      <c r="A1883" s="2" t="s">
        <v>155</v>
      </c>
      <c r="B1883" t="s">
        <v>61</v>
      </c>
      <c r="C1883" t="s">
        <v>4</v>
      </c>
      <c r="D1883" t="s">
        <v>25</v>
      </c>
      <c r="E1883">
        <v>1</v>
      </c>
      <c r="F1883" t="s">
        <v>168</v>
      </c>
      <c r="G1883">
        <v>7.79</v>
      </c>
      <c r="H1883">
        <v>7.39</v>
      </c>
      <c r="I1883" s="2" t="str">
        <f>_xlfn.XLOOKUP(F1883,DeparaIMG!D:D,DeparaIMG!F:F,,0)</f>
        <v>PCBP2.png</v>
      </c>
    </row>
    <row r="1884" spans="1:9" x14ac:dyDescent="0.35">
      <c r="A1884" s="2" t="s">
        <v>155</v>
      </c>
      <c r="B1884" t="s">
        <v>61</v>
      </c>
      <c r="C1884" t="s">
        <v>173</v>
      </c>
      <c r="D1884" t="s">
        <v>25</v>
      </c>
      <c r="E1884">
        <v>1</v>
      </c>
      <c r="F1884" t="s">
        <v>168</v>
      </c>
      <c r="G1884">
        <v>8.7899999999999991</v>
      </c>
      <c r="H1884">
        <v>8.3899999999999988</v>
      </c>
      <c r="I1884" s="2" t="str">
        <f>_xlfn.XLOOKUP(F1884,DeparaIMG!D:D,DeparaIMG!F:F,,0)</f>
        <v>PCBP2.png</v>
      </c>
    </row>
    <row r="1885" spans="1:9" x14ac:dyDescent="0.35">
      <c r="A1885" s="2" t="s">
        <v>155</v>
      </c>
      <c r="B1885" t="s">
        <v>61</v>
      </c>
      <c r="C1885" t="s">
        <v>28</v>
      </c>
      <c r="D1885" t="s">
        <v>25</v>
      </c>
      <c r="E1885">
        <v>1</v>
      </c>
      <c r="F1885" t="s">
        <v>168</v>
      </c>
      <c r="G1885">
        <v>7.79</v>
      </c>
      <c r="H1885">
        <v>7.39</v>
      </c>
      <c r="I1885" s="2" t="str">
        <f>_xlfn.XLOOKUP(F1885,DeparaIMG!D:D,DeparaIMG!F:F,,0)</f>
        <v>PCBP2.png</v>
      </c>
    </row>
    <row r="1886" spans="1:9" x14ac:dyDescent="0.35">
      <c r="A1886" s="2" t="s">
        <v>155</v>
      </c>
      <c r="B1886" t="s">
        <v>61</v>
      </c>
      <c r="C1886" t="s">
        <v>29</v>
      </c>
      <c r="D1886" t="s">
        <v>25</v>
      </c>
      <c r="E1886">
        <v>1</v>
      </c>
      <c r="F1886" t="s">
        <v>168</v>
      </c>
      <c r="G1886">
        <v>7.79</v>
      </c>
      <c r="H1886">
        <v>7.39</v>
      </c>
      <c r="I1886" s="2" t="str">
        <f>_xlfn.XLOOKUP(F1886,DeparaIMG!D:D,DeparaIMG!F:F,,0)</f>
        <v>PCBP2.png</v>
      </c>
    </row>
    <row r="1887" spans="1:9" x14ac:dyDescent="0.35">
      <c r="A1887" s="2" t="s">
        <v>155</v>
      </c>
      <c r="B1887" t="s">
        <v>61</v>
      </c>
      <c r="C1887" t="s">
        <v>30</v>
      </c>
      <c r="D1887" t="s">
        <v>25</v>
      </c>
      <c r="E1887">
        <v>1</v>
      </c>
      <c r="F1887" t="s">
        <v>168</v>
      </c>
      <c r="G1887">
        <v>8.7899999999999991</v>
      </c>
      <c r="H1887">
        <v>8.3899999999999988</v>
      </c>
      <c r="I1887" s="2" t="str">
        <f>_xlfn.XLOOKUP(F1887,DeparaIMG!D:D,DeparaIMG!F:F,,0)</f>
        <v>PCBP2.png</v>
      </c>
    </row>
    <row r="1888" spans="1:9" x14ac:dyDescent="0.35">
      <c r="A1888" s="2" t="s">
        <v>155</v>
      </c>
      <c r="B1888" t="s">
        <v>61</v>
      </c>
      <c r="C1888" t="s">
        <v>4</v>
      </c>
      <c r="D1888" t="s">
        <v>25</v>
      </c>
      <c r="E1888">
        <v>1</v>
      </c>
      <c r="F1888" t="s">
        <v>34</v>
      </c>
      <c r="G1888">
        <v>5.79</v>
      </c>
      <c r="H1888">
        <v>5.49</v>
      </c>
      <c r="I1888" s="2" t="str">
        <f>_xlfn.XLOOKUP(F1888,DeparaIMG!D:D,DeparaIMG!F:F,,0)</f>
        <v>BAREP2.png</v>
      </c>
    </row>
    <row r="1889" spans="1:9" x14ac:dyDescent="0.35">
      <c r="A1889" s="2" t="s">
        <v>155</v>
      </c>
      <c r="B1889" t="s">
        <v>61</v>
      </c>
      <c r="C1889" t="s">
        <v>173</v>
      </c>
      <c r="D1889" t="s">
        <v>25</v>
      </c>
      <c r="E1889">
        <v>1</v>
      </c>
      <c r="F1889" t="s">
        <v>35</v>
      </c>
      <c r="G1889">
        <v>5.29</v>
      </c>
      <c r="H1889">
        <v>4.99</v>
      </c>
      <c r="I1889" s="2" t="str">
        <f>_xlfn.XLOOKUP(F1889,DeparaIMG!D:D,DeparaIMG!F:F,,0)</f>
        <v>H2OHP500.png</v>
      </c>
    </row>
    <row r="1890" spans="1:9" x14ac:dyDescent="0.35">
      <c r="A1890" s="2" t="s">
        <v>155</v>
      </c>
      <c r="B1890" t="s">
        <v>61</v>
      </c>
      <c r="C1890" t="s">
        <v>28</v>
      </c>
      <c r="D1890" t="s">
        <v>25</v>
      </c>
      <c r="E1890">
        <v>1</v>
      </c>
      <c r="F1890" t="s">
        <v>35</v>
      </c>
      <c r="G1890">
        <v>5.29</v>
      </c>
      <c r="H1890">
        <v>4.99</v>
      </c>
      <c r="I1890" s="2" t="str">
        <f>_xlfn.XLOOKUP(F1890,DeparaIMG!D:D,DeparaIMG!F:F,,0)</f>
        <v>H2OHP500.png</v>
      </c>
    </row>
    <row r="1891" spans="1:9" x14ac:dyDescent="0.35">
      <c r="A1891" s="2" t="s">
        <v>155</v>
      </c>
      <c r="B1891" t="s">
        <v>61</v>
      </c>
      <c r="C1891" t="s">
        <v>29</v>
      </c>
      <c r="D1891" t="s">
        <v>25</v>
      </c>
      <c r="E1891">
        <v>1</v>
      </c>
      <c r="F1891" t="s">
        <v>35</v>
      </c>
      <c r="G1891">
        <v>5.29</v>
      </c>
      <c r="H1891">
        <v>4.99</v>
      </c>
      <c r="I1891" s="2" t="str">
        <f>_xlfn.XLOOKUP(F1891,DeparaIMG!D:D,DeparaIMG!F:F,,0)</f>
        <v>H2OHP500.png</v>
      </c>
    </row>
    <row r="1892" spans="1:9" x14ac:dyDescent="0.35">
      <c r="A1892" s="2" t="s">
        <v>155</v>
      </c>
      <c r="B1892" t="s">
        <v>61</v>
      </c>
      <c r="C1892" t="s">
        <v>30</v>
      </c>
      <c r="D1892" t="s">
        <v>25</v>
      </c>
      <c r="E1892">
        <v>1</v>
      </c>
      <c r="F1892" t="s">
        <v>35</v>
      </c>
      <c r="G1892">
        <v>5.29</v>
      </c>
      <c r="H1892">
        <v>4.99</v>
      </c>
      <c r="I1892" s="2" t="str">
        <f>_xlfn.XLOOKUP(F1892,DeparaIMG!D:D,DeparaIMG!F:F,,0)</f>
        <v>H2OHP500.png</v>
      </c>
    </row>
    <row r="1893" spans="1:9" x14ac:dyDescent="0.35">
      <c r="A1893" s="2" t="s">
        <v>155</v>
      </c>
      <c r="B1893" t="s">
        <v>61</v>
      </c>
      <c r="C1893" t="s">
        <v>4</v>
      </c>
      <c r="D1893" t="s">
        <v>25</v>
      </c>
      <c r="E1893">
        <v>1</v>
      </c>
      <c r="F1893" t="s">
        <v>42</v>
      </c>
      <c r="G1893">
        <v>7.79</v>
      </c>
      <c r="H1893">
        <v>7.29</v>
      </c>
      <c r="I1893" s="2" t="str">
        <f>_xlfn.XLOOKUP(F1893,DeparaIMG!D:D,DeparaIMG!F:F,,0)</f>
        <v>H2OHP1,5.png</v>
      </c>
    </row>
    <row r="1894" spans="1:9" x14ac:dyDescent="0.35">
      <c r="A1894" s="2" t="s">
        <v>155</v>
      </c>
      <c r="B1894" t="s">
        <v>61</v>
      </c>
      <c r="C1894" t="s">
        <v>173</v>
      </c>
      <c r="D1894" t="s">
        <v>25</v>
      </c>
      <c r="E1894">
        <v>1</v>
      </c>
      <c r="F1894" t="s">
        <v>42</v>
      </c>
      <c r="G1894">
        <v>8.49</v>
      </c>
      <c r="H1894">
        <v>7.99</v>
      </c>
      <c r="I1894" s="2" t="str">
        <f>_xlfn.XLOOKUP(F1894,DeparaIMG!D:D,DeparaIMG!F:F,,0)</f>
        <v>H2OHP1,5.png</v>
      </c>
    </row>
    <row r="1895" spans="1:9" x14ac:dyDescent="0.35">
      <c r="A1895" s="2" t="s">
        <v>155</v>
      </c>
      <c r="B1895" t="s">
        <v>61</v>
      </c>
      <c r="C1895" t="s">
        <v>28</v>
      </c>
      <c r="D1895" t="s">
        <v>25</v>
      </c>
      <c r="E1895">
        <v>1</v>
      </c>
      <c r="F1895" t="s">
        <v>42</v>
      </c>
      <c r="G1895">
        <v>7.79</v>
      </c>
      <c r="H1895">
        <v>7.29</v>
      </c>
      <c r="I1895" s="2" t="str">
        <f>_xlfn.XLOOKUP(F1895,DeparaIMG!D:D,DeparaIMG!F:F,,0)</f>
        <v>H2OHP1,5.png</v>
      </c>
    </row>
    <row r="1896" spans="1:9" x14ac:dyDescent="0.35">
      <c r="A1896" s="2" t="s">
        <v>155</v>
      </c>
      <c r="B1896" t="s">
        <v>61</v>
      </c>
      <c r="C1896" t="s">
        <v>29</v>
      </c>
      <c r="D1896" t="s">
        <v>25</v>
      </c>
      <c r="E1896">
        <v>1</v>
      </c>
      <c r="F1896" t="s">
        <v>42</v>
      </c>
      <c r="G1896">
        <v>7.79</v>
      </c>
      <c r="H1896">
        <v>7.29</v>
      </c>
      <c r="I1896" s="2" t="str">
        <f>_xlfn.XLOOKUP(F1896,DeparaIMG!D:D,DeparaIMG!F:F,,0)</f>
        <v>H2OHP1,5.png</v>
      </c>
    </row>
    <row r="1897" spans="1:9" x14ac:dyDescent="0.35">
      <c r="A1897" s="2" t="s">
        <v>155</v>
      </c>
      <c r="B1897" t="s">
        <v>61</v>
      </c>
      <c r="C1897" t="s">
        <v>30</v>
      </c>
      <c r="D1897" t="s">
        <v>25</v>
      </c>
      <c r="E1897">
        <v>1</v>
      </c>
      <c r="F1897" t="s">
        <v>42</v>
      </c>
      <c r="G1897">
        <v>8.49</v>
      </c>
      <c r="H1897">
        <v>7.99</v>
      </c>
      <c r="I1897" s="2" t="str">
        <f>_xlfn.XLOOKUP(F1897,DeparaIMG!D:D,DeparaIMG!F:F,,0)</f>
        <v>H2OHP1,5.png</v>
      </c>
    </row>
    <row r="1898" spans="1:9" x14ac:dyDescent="0.35">
      <c r="A1898" s="2" t="s">
        <v>155</v>
      </c>
      <c r="B1898" t="s">
        <v>61</v>
      </c>
      <c r="C1898" t="s">
        <v>4</v>
      </c>
      <c r="D1898" t="s">
        <v>26</v>
      </c>
      <c r="E1898">
        <v>1</v>
      </c>
      <c r="F1898" t="s">
        <v>37</v>
      </c>
      <c r="G1898">
        <v>8.99</v>
      </c>
      <c r="H1898">
        <v>8.2900000000000009</v>
      </c>
      <c r="I1898" s="2" t="str">
        <f>_xlfn.XLOOKUP(F1898,DeparaIMG!D:D,DeparaIMG!F:F,,0)</f>
        <v>GCAP2.png</v>
      </c>
    </row>
    <row r="1899" spans="1:9" x14ac:dyDescent="0.35">
      <c r="A1899" s="2" t="s">
        <v>155</v>
      </c>
      <c r="B1899" t="s">
        <v>61</v>
      </c>
      <c r="C1899" t="s">
        <v>173</v>
      </c>
      <c r="D1899" t="s">
        <v>26</v>
      </c>
      <c r="E1899">
        <v>1</v>
      </c>
      <c r="F1899" t="s">
        <v>37</v>
      </c>
      <c r="G1899">
        <v>9.49</v>
      </c>
      <c r="H1899">
        <v>8.7900000000000009</v>
      </c>
      <c r="I1899" s="2" t="str">
        <f>_xlfn.XLOOKUP(F1899,DeparaIMG!D:D,DeparaIMG!F:F,,0)</f>
        <v>GCAP2.png</v>
      </c>
    </row>
    <row r="1900" spans="1:9" x14ac:dyDescent="0.35">
      <c r="A1900" s="2" t="s">
        <v>155</v>
      </c>
      <c r="B1900" t="s">
        <v>61</v>
      </c>
      <c r="C1900" t="s">
        <v>28</v>
      </c>
      <c r="D1900" t="s">
        <v>26</v>
      </c>
      <c r="E1900">
        <v>1</v>
      </c>
      <c r="F1900" t="s">
        <v>37</v>
      </c>
      <c r="G1900">
        <v>8.49</v>
      </c>
      <c r="H1900">
        <v>7.79</v>
      </c>
      <c r="I1900" s="2" t="str">
        <f>_xlfn.XLOOKUP(F1900,DeparaIMG!D:D,DeparaIMG!F:F,,0)</f>
        <v>GCAP2.png</v>
      </c>
    </row>
    <row r="1901" spans="1:9" x14ac:dyDescent="0.35">
      <c r="A1901" s="2" t="s">
        <v>155</v>
      </c>
      <c r="B1901" t="s">
        <v>61</v>
      </c>
      <c r="C1901" t="s">
        <v>29</v>
      </c>
      <c r="D1901" t="s">
        <v>26</v>
      </c>
      <c r="E1901">
        <v>1</v>
      </c>
      <c r="F1901" t="s">
        <v>37</v>
      </c>
      <c r="G1901">
        <v>8.49</v>
      </c>
      <c r="H1901">
        <v>7.79</v>
      </c>
      <c r="I1901" s="2" t="str">
        <f>_xlfn.XLOOKUP(F1901,DeparaIMG!D:D,DeparaIMG!F:F,,0)</f>
        <v>GCAP2.png</v>
      </c>
    </row>
    <row r="1902" spans="1:9" x14ac:dyDescent="0.35">
      <c r="A1902" s="2" t="s">
        <v>155</v>
      </c>
      <c r="B1902" t="s">
        <v>61</v>
      </c>
      <c r="C1902" t="s">
        <v>30</v>
      </c>
      <c r="D1902" t="s">
        <v>26</v>
      </c>
      <c r="E1902">
        <v>1</v>
      </c>
      <c r="F1902" t="s">
        <v>37</v>
      </c>
      <c r="G1902">
        <v>9.49</v>
      </c>
      <c r="H1902">
        <v>8.7900000000000009</v>
      </c>
      <c r="I1902" s="2" t="str">
        <f>_xlfn.XLOOKUP(F1902,DeparaIMG!D:D,DeparaIMG!F:F,,0)</f>
        <v>GCAP2.png</v>
      </c>
    </row>
    <row r="1903" spans="1:9" x14ac:dyDescent="0.35">
      <c r="A1903" s="2" t="s">
        <v>155</v>
      </c>
      <c r="B1903" t="s">
        <v>61</v>
      </c>
      <c r="C1903" t="s">
        <v>4</v>
      </c>
      <c r="D1903" t="s">
        <v>26</v>
      </c>
      <c r="E1903">
        <v>1</v>
      </c>
      <c r="F1903" t="s">
        <v>169</v>
      </c>
      <c r="G1903">
        <v>8.99</v>
      </c>
      <c r="H1903">
        <v>8.2900000000000009</v>
      </c>
      <c r="I1903" s="2" t="str">
        <f>_xlfn.XLOOKUP(F1903,DeparaIMG!D:D,DeparaIMG!F:F,,0)</f>
        <v>GCADP2.png</v>
      </c>
    </row>
    <row r="1904" spans="1:9" x14ac:dyDescent="0.35">
      <c r="A1904" s="2" t="s">
        <v>155</v>
      </c>
      <c r="B1904" t="s">
        <v>61</v>
      </c>
      <c r="C1904" t="s">
        <v>173</v>
      </c>
      <c r="D1904" t="s">
        <v>26</v>
      </c>
      <c r="E1904">
        <v>1</v>
      </c>
      <c r="F1904" t="s">
        <v>169</v>
      </c>
      <c r="G1904">
        <v>9.49</v>
      </c>
      <c r="H1904">
        <v>8.7900000000000009</v>
      </c>
      <c r="I1904" s="2" t="str">
        <f>_xlfn.XLOOKUP(F1904,DeparaIMG!D:D,DeparaIMG!F:F,,0)</f>
        <v>GCADP2.png</v>
      </c>
    </row>
    <row r="1905" spans="1:9" x14ac:dyDescent="0.35">
      <c r="A1905" s="2" t="s">
        <v>155</v>
      </c>
      <c r="B1905" t="s">
        <v>61</v>
      </c>
      <c r="C1905" t="s">
        <v>28</v>
      </c>
      <c r="D1905" t="s">
        <v>26</v>
      </c>
      <c r="E1905">
        <v>1</v>
      </c>
      <c r="F1905" t="s">
        <v>169</v>
      </c>
      <c r="G1905">
        <v>8.49</v>
      </c>
      <c r="H1905">
        <v>7.79</v>
      </c>
      <c r="I1905" s="2" t="str">
        <f>_xlfn.XLOOKUP(F1905,DeparaIMG!D:D,DeparaIMG!F:F,,0)</f>
        <v>GCADP2.png</v>
      </c>
    </row>
    <row r="1906" spans="1:9" x14ac:dyDescent="0.35">
      <c r="A1906" s="2" t="s">
        <v>155</v>
      </c>
      <c r="B1906" t="s">
        <v>61</v>
      </c>
      <c r="C1906" t="s">
        <v>29</v>
      </c>
      <c r="D1906" t="s">
        <v>26</v>
      </c>
      <c r="E1906">
        <v>1</v>
      </c>
      <c r="F1906" t="s">
        <v>169</v>
      </c>
      <c r="G1906">
        <v>8.49</v>
      </c>
      <c r="H1906">
        <v>7.79</v>
      </c>
      <c r="I1906" s="2" t="str">
        <f>_xlfn.XLOOKUP(F1906,DeparaIMG!D:D,DeparaIMG!F:F,,0)</f>
        <v>GCADP2.png</v>
      </c>
    </row>
    <row r="1907" spans="1:9" x14ac:dyDescent="0.35">
      <c r="A1907" s="2" t="s">
        <v>155</v>
      </c>
      <c r="B1907" t="s">
        <v>61</v>
      </c>
      <c r="C1907" t="s">
        <v>30</v>
      </c>
      <c r="D1907" t="s">
        <v>26</v>
      </c>
      <c r="E1907">
        <v>1</v>
      </c>
      <c r="F1907" t="s">
        <v>169</v>
      </c>
      <c r="G1907">
        <v>9.49</v>
      </c>
      <c r="H1907">
        <v>8.7900000000000009</v>
      </c>
      <c r="I1907" s="2" t="str">
        <f>_xlfn.XLOOKUP(F1907,DeparaIMG!D:D,DeparaIMG!F:F,,0)</f>
        <v>GCADP2.png</v>
      </c>
    </row>
    <row r="1908" spans="1:9" x14ac:dyDescent="0.35">
      <c r="A1908" s="2" t="s">
        <v>155</v>
      </c>
      <c r="B1908" t="s">
        <v>61</v>
      </c>
      <c r="C1908" t="s">
        <v>4</v>
      </c>
      <c r="D1908" t="s">
        <v>26</v>
      </c>
      <c r="E1908">
        <v>1</v>
      </c>
      <c r="F1908" t="s">
        <v>38</v>
      </c>
      <c r="G1908">
        <v>3.49</v>
      </c>
      <c r="H1908">
        <v>3.1900000000000004</v>
      </c>
      <c r="I1908" s="2" t="str">
        <f>_xlfn.XLOOKUP(F1908,DeparaIMG!D:D,DeparaIMG!F:F,,0)</f>
        <v>GCA350.png</v>
      </c>
    </row>
    <row r="1909" spans="1:9" x14ac:dyDescent="0.35">
      <c r="A1909" s="2" t="s">
        <v>155</v>
      </c>
      <c r="B1909" t="s">
        <v>61</v>
      </c>
      <c r="C1909" t="s">
        <v>173</v>
      </c>
      <c r="D1909" t="s">
        <v>26</v>
      </c>
      <c r="E1909">
        <v>1</v>
      </c>
      <c r="F1909" t="s">
        <v>38</v>
      </c>
      <c r="G1909">
        <v>3.49</v>
      </c>
      <c r="H1909">
        <v>3.1900000000000004</v>
      </c>
      <c r="I1909" s="2" t="str">
        <f>_xlfn.XLOOKUP(F1909,DeparaIMG!D:D,DeparaIMG!F:F,,0)</f>
        <v>GCA350.png</v>
      </c>
    </row>
    <row r="1910" spans="1:9" x14ac:dyDescent="0.35">
      <c r="A1910" s="2" t="s">
        <v>155</v>
      </c>
      <c r="B1910" t="s">
        <v>61</v>
      </c>
      <c r="C1910" t="s">
        <v>28</v>
      </c>
      <c r="D1910" t="s">
        <v>26</v>
      </c>
      <c r="E1910">
        <v>1</v>
      </c>
      <c r="F1910" t="s">
        <v>38</v>
      </c>
      <c r="G1910">
        <v>3.49</v>
      </c>
      <c r="H1910">
        <v>3.1900000000000004</v>
      </c>
      <c r="I1910" s="2" t="str">
        <f>_xlfn.XLOOKUP(F1910,DeparaIMG!D:D,DeparaIMG!F:F,,0)</f>
        <v>GCA350.png</v>
      </c>
    </row>
    <row r="1911" spans="1:9" x14ac:dyDescent="0.35">
      <c r="A1911" s="2" t="s">
        <v>155</v>
      </c>
      <c r="B1911" t="s">
        <v>61</v>
      </c>
      <c r="C1911" t="s">
        <v>29</v>
      </c>
      <c r="D1911" t="s">
        <v>26</v>
      </c>
      <c r="E1911">
        <v>1</v>
      </c>
      <c r="F1911" t="s">
        <v>38</v>
      </c>
      <c r="G1911">
        <v>3.49</v>
      </c>
      <c r="H1911">
        <v>3.1900000000000004</v>
      </c>
      <c r="I1911" s="2" t="str">
        <f>_xlfn.XLOOKUP(F1911,DeparaIMG!D:D,DeparaIMG!F:F,,0)</f>
        <v>GCA350.png</v>
      </c>
    </row>
    <row r="1912" spans="1:9" x14ac:dyDescent="0.35">
      <c r="A1912" s="2" t="s">
        <v>155</v>
      </c>
      <c r="B1912" t="s">
        <v>61</v>
      </c>
      <c r="C1912" t="s">
        <v>30</v>
      </c>
      <c r="D1912" t="s">
        <v>26</v>
      </c>
      <c r="E1912">
        <v>1</v>
      </c>
      <c r="F1912" t="s">
        <v>38</v>
      </c>
      <c r="G1912">
        <v>3.49</v>
      </c>
      <c r="H1912">
        <v>3.1900000000000004</v>
      </c>
      <c r="I1912" s="2" t="str">
        <f>_xlfn.XLOOKUP(F1912,DeparaIMG!D:D,DeparaIMG!F:F,,0)</f>
        <v>GCA350.png</v>
      </c>
    </row>
    <row r="1913" spans="1:9" x14ac:dyDescent="0.35">
      <c r="A1913" s="2" t="s">
        <v>155</v>
      </c>
      <c r="B1913" t="s">
        <v>61</v>
      </c>
      <c r="C1913" t="s">
        <v>4</v>
      </c>
      <c r="D1913" t="s">
        <v>26</v>
      </c>
      <c r="E1913">
        <v>1</v>
      </c>
      <c r="F1913" t="s">
        <v>170</v>
      </c>
      <c r="G1913">
        <v>3.49</v>
      </c>
      <c r="H1913">
        <v>3.1900000000000004</v>
      </c>
      <c r="I1913" s="2" t="str">
        <f>_xlfn.XLOOKUP(F1913,DeparaIMG!D:D,DeparaIMG!F:F,,0)</f>
        <v>GCAD350.png</v>
      </c>
    </row>
    <row r="1914" spans="1:9" x14ac:dyDescent="0.35">
      <c r="A1914" s="2" t="s">
        <v>155</v>
      </c>
      <c r="B1914" t="s">
        <v>61</v>
      </c>
      <c r="C1914" t="s">
        <v>173</v>
      </c>
      <c r="D1914" t="s">
        <v>26</v>
      </c>
      <c r="E1914">
        <v>1</v>
      </c>
      <c r="F1914" t="s">
        <v>170</v>
      </c>
      <c r="G1914">
        <v>3.49</v>
      </c>
      <c r="H1914">
        <v>3.1900000000000004</v>
      </c>
      <c r="I1914" s="2" t="str">
        <f>_xlfn.XLOOKUP(F1914,DeparaIMG!D:D,DeparaIMG!F:F,,0)</f>
        <v>GCAD350.png</v>
      </c>
    </row>
    <row r="1915" spans="1:9" x14ac:dyDescent="0.35">
      <c r="A1915" s="2" t="s">
        <v>155</v>
      </c>
      <c r="B1915" t="s">
        <v>61</v>
      </c>
      <c r="C1915" t="s">
        <v>28</v>
      </c>
      <c r="D1915" t="s">
        <v>26</v>
      </c>
      <c r="E1915">
        <v>1</v>
      </c>
      <c r="F1915" t="s">
        <v>170</v>
      </c>
      <c r="G1915">
        <v>3.49</v>
      </c>
      <c r="H1915">
        <v>3.1900000000000004</v>
      </c>
      <c r="I1915" s="2" t="str">
        <f>_xlfn.XLOOKUP(F1915,DeparaIMG!D:D,DeparaIMG!F:F,,0)</f>
        <v>GCAD350.png</v>
      </c>
    </row>
    <row r="1916" spans="1:9" x14ac:dyDescent="0.35">
      <c r="A1916" s="2" t="s">
        <v>155</v>
      </c>
      <c r="B1916" t="s">
        <v>61</v>
      </c>
      <c r="C1916" t="s">
        <v>29</v>
      </c>
      <c r="D1916" t="s">
        <v>26</v>
      </c>
      <c r="E1916">
        <v>1</v>
      </c>
      <c r="F1916" t="s">
        <v>170</v>
      </c>
      <c r="G1916">
        <v>3.49</v>
      </c>
      <c r="H1916">
        <v>3.1900000000000004</v>
      </c>
      <c r="I1916" s="2" t="str">
        <f>_xlfn.XLOOKUP(F1916,DeparaIMG!D:D,DeparaIMG!F:F,,0)</f>
        <v>GCAD350.png</v>
      </c>
    </row>
    <row r="1917" spans="1:9" x14ac:dyDescent="0.35">
      <c r="A1917" s="2" t="s">
        <v>155</v>
      </c>
      <c r="B1917" t="s">
        <v>61</v>
      </c>
      <c r="C1917" t="s">
        <v>30</v>
      </c>
      <c r="D1917" t="s">
        <v>26</v>
      </c>
      <c r="E1917">
        <v>1</v>
      </c>
      <c r="F1917" t="s">
        <v>170</v>
      </c>
      <c r="G1917">
        <v>3.49</v>
      </c>
      <c r="H1917">
        <v>3.1900000000000004</v>
      </c>
      <c r="I1917" s="2" t="str">
        <f>_xlfn.XLOOKUP(F1917,DeparaIMG!D:D,DeparaIMG!F:F,,0)</f>
        <v>GCAD350.png</v>
      </c>
    </row>
    <row r="1918" spans="1:9" x14ac:dyDescent="0.35">
      <c r="A1918" s="2" t="s">
        <v>155</v>
      </c>
      <c r="B1918" t="s">
        <v>61</v>
      </c>
      <c r="C1918" t="s">
        <v>4</v>
      </c>
      <c r="D1918" t="s">
        <v>26</v>
      </c>
      <c r="E1918">
        <v>1</v>
      </c>
      <c r="F1918" t="s">
        <v>34</v>
      </c>
      <c r="G1918">
        <v>5.99</v>
      </c>
      <c r="H1918">
        <v>5.49</v>
      </c>
      <c r="I1918" s="2" t="str">
        <f>_xlfn.XLOOKUP(F1918,DeparaIMG!D:D,DeparaIMG!F:F,,0)</f>
        <v>BAREP2.png</v>
      </c>
    </row>
    <row r="1919" spans="1:9" x14ac:dyDescent="0.35">
      <c r="A1919" s="2" t="s">
        <v>155</v>
      </c>
      <c r="B1919" t="s">
        <v>61</v>
      </c>
      <c r="C1919" t="s">
        <v>173</v>
      </c>
      <c r="D1919" t="s">
        <v>26</v>
      </c>
      <c r="E1919">
        <v>1</v>
      </c>
      <c r="F1919" t="s">
        <v>35</v>
      </c>
      <c r="G1919">
        <v>5.49</v>
      </c>
      <c r="H1919">
        <v>5.19</v>
      </c>
      <c r="I1919" s="2" t="str">
        <f>_xlfn.XLOOKUP(F1919,DeparaIMG!D:D,DeparaIMG!F:F,,0)</f>
        <v>H2OHP500.png</v>
      </c>
    </row>
    <row r="1920" spans="1:9" x14ac:dyDescent="0.35">
      <c r="A1920" s="2" t="s">
        <v>155</v>
      </c>
      <c r="B1920" t="s">
        <v>61</v>
      </c>
      <c r="C1920" t="s">
        <v>28</v>
      </c>
      <c r="D1920" t="s">
        <v>26</v>
      </c>
      <c r="E1920">
        <v>1</v>
      </c>
      <c r="F1920" t="s">
        <v>35</v>
      </c>
      <c r="G1920">
        <v>5.49</v>
      </c>
      <c r="H1920">
        <v>5.19</v>
      </c>
      <c r="I1920" s="2" t="str">
        <f>_xlfn.XLOOKUP(F1920,DeparaIMG!D:D,DeparaIMG!F:F,,0)</f>
        <v>H2OHP500.png</v>
      </c>
    </row>
    <row r="1921" spans="1:9" x14ac:dyDescent="0.35">
      <c r="A1921" s="2" t="s">
        <v>155</v>
      </c>
      <c r="B1921" t="s">
        <v>61</v>
      </c>
      <c r="C1921" t="s">
        <v>29</v>
      </c>
      <c r="D1921" t="s">
        <v>26</v>
      </c>
      <c r="E1921">
        <v>1</v>
      </c>
      <c r="F1921" t="s">
        <v>35</v>
      </c>
      <c r="G1921">
        <v>5.49</v>
      </c>
      <c r="H1921">
        <v>5.19</v>
      </c>
      <c r="I1921" s="2" t="str">
        <f>_xlfn.XLOOKUP(F1921,DeparaIMG!D:D,DeparaIMG!F:F,,0)</f>
        <v>H2OHP500.png</v>
      </c>
    </row>
    <row r="1922" spans="1:9" x14ac:dyDescent="0.35">
      <c r="A1922" s="2" t="s">
        <v>155</v>
      </c>
      <c r="B1922" t="s">
        <v>61</v>
      </c>
      <c r="C1922" t="s">
        <v>30</v>
      </c>
      <c r="D1922" t="s">
        <v>26</v>
      </c>
      <c r="E1922">
        <v>1</v>
      </c>
      <c r="F1922" t="s">
        <v>35</v>
      </c>
      <c r="G1922">
        <v>5.49</v>
      </c>
      <c r="H1922">
        <v>5.19</v>
      </c>
      <c r="I1922" s="2" t="str">
        <f>_xlfn.XLOOKUP(F1922,DeparaIMG!D:D,DeparaIMG!F:F,,0)</f>
        <v>H2OHP500.png</v>
      </c>
    </row>
    <row r="1923" spans="1:9" x14ac:dyDescent="0.35">
      <c r="A1923" s="2" t="s">
        <v>155</v>
      </c>
      <c r="B1923" t="s">
        <v>61</v>
      </c>
      <c r="C1923" t="s">
        <v>4</v>
      </c>
      <c r="D1923" t="s">
        <v>26</v>
      </c>
      <c r="E1923">
        <v>1</v>
      </c>
      <c r="F1923" t="s">
        <v>39</v>
      </c>
      <c r="G1923">
        <v>3.39</v>
      </c>
      <c r="H1923">
        <v>2.99</v>
      </c>
      <c r="I1923" s="2" t="str">
        <f>_xlfn.XLOOKUP(F1923,DeparaIMG!D:D,DeparaIMG!F:F,,0)</f>
        <v>PCB350.png</v>
      </c>
    </row>
    <row r="1924" spans="1:9" x14ac:dyDescent="0.35">
      <c r="A1924" s="2" t="s">
        <v>155</v>
      </c>
      <c r="B1924" t="s">
        <v>61</v>
      </c>
      <c r="C1924" t="s">
        <v>173</v>
      </c>
      <c r="D1924" t="s">
        <v>26</v>
      </c>
      <c r="E1924">
        <v>1</v>
      </c>
      <c r="F1924" t="s">
        <v>39</v>
      </c>
      <c r="G1924">
        <v>3.39</v>
      </c>
      <c r="H1924">
        <v>2.99</v>
      </c>
      <c r="I1924" s="2" t="str">
        <f>_xlfn.XLOOKUP(F1924,DeparaIMG!D:D,DeparaIMG!F:F,,0)</f>
        <v>PCB350.png</v>
      </c>
    </row>
    <row r="1925" spans="1:9" x14ac:dyDescent="0.35">
      <c r="A1925" s="2" t="s">
        <v>155</v>
      </c>
      <c r="B1925" t="s">
        <v>61</v>
      </c>
      <c r="C1925" t="s">
        <v>28</v>
      </c>
      <c r="D1925" t="s">
        <v>26</v>
      </c>
      <c r="E1925">
        <v>1</v>
      </c>
      <c r="F1925" t="s">
        <v>39</v>
      </c>
      <c r="G1925">
        <v>3.39</v>
      </c>
      <c r="H1925">
        <v>2.99</v>
      </c>
      <c r="I1925" s="2" t="str">
        <f>_xlfn.XLOOKUP(F1925,DeparaIMG!D:D,DeparaIMG!F:F,,0)</f>
        <v>PCB350.png</v>
      </c>
    </row>
    <row r="1926" spans="1:9" x14ac:dyDescent="0.35">
      <c r="A1926" s="2" t="s">
        <v>155</v>
      </c>
      <c r="B1926" t="s">
        <v>61</v>
      </c>
      <c r="C1926" t="s">
        <v>29</v>
      </c>
      <c r="D1926" t="s">
        <v>26</v>
      </c>
      <c r="E1926">
        <v>1</v>
      </c>
      <c r="F1926" t="s">
        <v>39</v>
      </c>
      <c r="G1926">
        <v>3.39</v>
      </c>
      <c r="H1926">
        <v>2.99</v>
      </c>
      <c r="I1926" s="2" t="str">
        <f>_xlfn.XLOOKUP(F1926,DeparaIMG!D:D,DeparaIMG!F:F,,0)</f>
        <v>PCB350.png</v>
      </c>
    </row>
    <row r="1927" spans="1:9" x14ac:dyDescent="0.35">
      <c r="A1927" s="2" t="s">
        <v>155</v>
      </c>
      <c r="B1927" t="s">
        <v>61</v>
      </c>
      <c r="C1927" t="s">
        <v>30</v>
      </c>
      <c r="D1927" t="s">
        <v>26</v>
      </c>
      <c r="E1927">
        <v>1</v>
      </c>
      <c r="F1927" t="s">
        <v>39</v>
      </c>
      <c r="G1927">
        <v>3.39</v>
      </c>
      <c r="H1927">
        <v>2.99</v>
      </c>
      <c r="I1927" s="2" t="str">
        <f>_xlfn.XLOOKUP(F1927,DeparaIMG!D:D,DeparaIMG!F:F,,0)</f>
        <v>PCB350.png</v>
      </c>
    </row>
    <row r="1928" spans="1:9" x14ac:dyDescent="0.35">
      <c r="A1928" s="2" t="s">
        <v>155</v>
      </c>
      <c r="B1928" t="s">
        <v>61</v>
      </c>
      <c r="C1928" t="s">
        <v>4</v>
      </c>
      <c r="D1928" t="s">
        <v>26</v>
      </c>
      <c r="E1928">
        <v>1</v>
      </c>
      <c r="F1928" t="s">
        <v>156</v>
      </c>
      <c r="G1928">
        <v>3.39</v>
      </c>
      <c r="H1928">
        <v>2.99</v>
      </c>
      <c r="I1928" s="2" t="str">
        <f>_xlfn.XLOOKUP(F1928,DeparaIMG!D:D,DeparaIMG!F:F,,0)</f>
        <v>PC350.png</v>
      </c>
    </row>
    <row r="1929" spans="1:9" x14ac:dyDescent="0.35">
      <c r="A1929" s="2" t="s">
        <v>155</v>
      </c>
      <c r="B1929" t="s">
        <v>61</v>
      </c>
      <c r="C1929" t="s">
        <v>4</v>
      </c>
      <c r="D1929" t="s">
        <v>25</v>
      </c>
      <c r="E1929">
        <v>2</v>
      </c>
      <c r="F1929" t="s">
        <v>37</v>
      </c>
      <c r="G1929">
        <v>8.7899999999999991</v>
      </c>
      <c r="H1929">
        <v>8.09</v>
      </c>
      <c r="I1929" s="2" t="str">
        <f>_xlfn.XLOOKUP(F1929,DeparaIMG!D:D,DeparaIMG!F:F,,0)</f>
        <v>GCAP2.png</v>
      </c>
    </row>
    <row r="1930" spans="1:9" x14ac:dyDescent="0.35">
      <c r="A1930" s="2" t="s">
        <v>155</v>
      </c>
      <c r="B1930" t="s">
        <v>61</v>
      </c>
      <c r="C1930" t="s">
        <v>173</v>
      </c>
      <c r="D1930" t="s">
        <v>25</v>
      </c>
      <c r="E1930">
        <v>2</v>
      </c>
      <c r="F1930" t="s">
        <v>37</v>
      </c>
      <c r="G1930">
        <v>9.2899999999999991</v>
      </c>
      <c r="H1930">
        <v>8.59</v>
      </c>
      <c r="I1930" s="2" t="str">
        <f>_xlfn.XLOOKUP(F1930,DeparaIMG!D:D,DeparaIMG!F:F,,0)</f>
        <v>GCAP2.png</v>
      </c>
    </row>
    <row r="1931" spans="1:9" x14ac:dyDescent="0.35">
      <c r="A1931" s="2" t="s">
        <v>155</v>
      </c>
      <c r="B1931" t="s">
        <v>61</v>
      </c>
      <c r="C1931" t="s">
        <v>28</v>
      </c>
      <c r="D1931" t="s">
        <v>25</v>
      </c>
      <c r="E1931">
        <v>2</v>
      </c>
      <c r="F1931" t="s">
        <v>37</v>
      </c>
      <c r="G1931">
        <v>8.2899999999999991</v>
      </c>
      <c r="H1931">
        <v>7.589999999999999</v>
      </c>
      <c r="I1931" s="2" t="str">
        <f>_xlfn.XLOOKUP(F1931,DeparaIMG!D:D,DeparaIMG!F:F,,0)</f>
        <v>GCAP2.png</v>
      </c>
    </row>
    <row r="1932" spans="1:9" x14ac:dyDescent="0.35">
      <c r="A1932" s="2" t="s">
        <v>155</v>
      </c>
      <c r="B1932" t="s">
        <v>61</v>
      </c>
      <c r="C1932" t="s">
        <v>29</v>
      </c>
      <c r="D1932" t="s">
        <v>25</v>
      </c>
      <c r="E1932">
        <v>2</v>
      </c>
      <c r="F1932" t="s">
        <v>37</v>
      </c>
      <c r="G1932">
        <v>8.2899999999999991</v>
      </c>
      <c r="H1932">
        <v>7.589999999999999</v>
      </c>
      <c r="I1932" s="2" t="str">
        <f>_xlfn.XLOOKUP(F1932,DeparaIMG!D:D,DeparaIMG!F:F,,0)</f>
        <v>GCAP2.png</v>
      </c>
    </row>
    <row r="1933" spans="1:9" x14ac:dyDescent="0.35">
      <c r="A1933" s="2" t="s">
        <v>155</v>
      </c>
      <c r="B1933" t="s">
        <v>61</v>
      </c>
      <c r="C1933" t="s">
        <v>30</v>
      </c>
      <c r="D1933" t="s">
        <v>25</v>
      </c>
      <c r="E1933">
        <v>2</v>
      </c>
      <c r="F1933" t="s">
        <v>37</v>
      </c>
      <c r="G1933">
        <v>9.2899999999999991</v>
      </c>
      <c r="H1933">
        <v>8.59</v>
      </c>
      <c r="I1933" s="2" t="str">
        <f>_xlfn.XLOOKUP(F1933,DeparaIMG!D:D,DeparaIMG!F:F,,0)</f>
        <v>GCAP2.png</v>
      </c>
    </row>
    <row r="1934" spans="1:9" x14ac:dyDescent="0.35">
      <c r="A1934" s="2" t="s">
        <v>155</v>
      </c>
      <c r="B1934" t="s">
        <v>61</v>
      </c>
      <c r="C1934" t="s">
        <v>4</v>
      </c>
      <c r="D1934" t="s">
        <v>25</v>
      </c>
      <c r="E1934">
        <v>2</v>
      </c>
      <c r="F1934" t="s">
        <v>169</v>
      </c>
      <c r="G1934">
        <v>8.7899999999999991</v>
      </c>
      <c r="H1934">
        <v>8.09</v>
      </c>
      <c r="I1934" s="2" t="str">
        <f>_xlfn.XLOOKUP(F1934,DeparaIMG!D:D,DeparaIMG!F:F,,0)</f>
        <v>GCADP2.png</v>
      </c>
    </row>
    <row r="1935" spans="1:9" x14ac:dyDescent="0.35">
      <c r="A1935" s="2" t="s">
        <v>155</v>
      </c>
      <c r="B1935" t="s">
        <v>61</v>
      </c>
      <c r="C1935" t="s">
        <v>173</v>
      </c>
      <c r="D1935" t="s">
        <v>25</v>
      </c>
      <c r="E1935">
        <v>2</v>
      </c>
      <c r="F1935" t="s">
        <v>169</v>
      </c>
      <c r="G1935">
        <v>9.2899999999999991</v>
      </c>
      <c r="H1935">
        <v>8.59</v>
      </c>
      <c r="I1935" s="2" t="str">
        <f>_xlfn.XLOOKUP(F1935,DeparaIMG!D:D,DeparaIMG!F:F,,0)</f>
        <v>GCADP2.png</v>
      </c>
    </row>
    <row r="1936" spans="1:9" x14ac:dyDescent="0.35">
      <c r="A1936" s="2" t="s">
        <v>155</v>
      </c>
      <c r="B1936" t="s">
        <v>61</v>
      </c>
      <c r="C1936" t="s">
        <v>28</v>
      </c>
      <c r="D1936" t="s">
        <v>25</v>
      </c>
      <c r="E1936">
        <v>2</v>
      </c>
      <c r="F1936" t="s">
        <v>169</v>
      </c>
      <c r="G1936">
        <v>8.2899999999999991</v>
      </c>
      <c r="H1936">
        <v>7.589999999999999</v>
      </c>
      <c r="I1936" s="2" t="str">
        <f>_xlfn.XLOOKUP(F1936,DeparaIMG!D:D,DeparaIMG!F:F,,0)</f>
        <v>GCADP2.png</v>
      </c>
    </row>
    <row r="1937" spans="1:9" x14ac:dyDescent="0.35">
      <c r="A1937" s="2" t="s">
        <v>155</v>
      </c>
      <c r="B1937" t="s">
        <v>61</v>
      </c>
      <c r="C1937" t="s">
        <v>29</v>
      </c>
      <c r="D1937" t="s">
        <v>25</v>
      </c>
      <c r="E1937">
        <v>2</v>
      </c>
      <c r="F1937" t="s">
        <v>169</v>
      </c>
      <c r="G1937">
        <v>8.2899999999999991</v>
      </c>
      <c r="H1937">
        <v>7.589999999999999</v>
      </c>
      <c r="I1937" s="2" t="str">
        <f>_xlfn.XLOOKUP(F1937,DeparaIMG!D:D,DeparaIMG!F:F,,0)</f>
        <v>GCADP2.png</v>
      </c>
    </row>
    <row r="1938" spans="1:9" x14ac:dyDescent="0.35">
      <c r="A1938" s="2" t="s">
        <v>155</v>
      </c>
      <c r="B1938" t="s">
        <v>61</v>
      </c>
      <c r="C1938" t="s">
        <v>30</v>
      </c>
      <c r="D1938" t="s">
        <v>25</v>
      </c>
      <c r="E1938">
        <v>2</v>
      </c>
      <c r="F1938" t="s">
        <v>169</v>
      </c>
      <c r="G1938">
        <v>9.2899999999999991</v>
      </c>
      <c r="H1938">
        <v>8.59</v>
      </c>
      <c r="I1938" s="2" t="str">
        <f>_xlfn.XLOOKUP(F1938,DeparaIMG!D:D,DeparaIMG!F:F,,0)</f>
        <v>GCADP2.png</v>
      </c>
    </row>
    <row r="1939" spans="1:9" x14ac:dyDescent="0.35">
      <c r="A1939" s="2" t="s">
        <v>155</v>
      </c>
      <c r="B1939" t="s">
        <v>61</v>
      </c>
      <c r="C1939" t="s">
        <v>4</v>
      </c>
      <c r="D1939" t="s">
        <v>25</v>
      </c>
      <c r="E1939">
        <v>2</v>
      </c>
      <c r="F1939" t="s">
        <v>40</v>
      </c>
      <c r="G1939">
        <v>2.4900000000000002</v>
      </c>
      <c r="H1939">
        <v>2.29</v>
      </c>
      <c r="I1939" s="2" t="str">
        <f>_xlfn.XLOOKUP(F1939,DeparaIMG!D:D,DeparaIMG!F:F,,0)</f>
        <v>GCA269.png</v>
      </c>
    </row>
    <row r="1940" spans="1:9" x14ac:dyDescent="0.35">
      <c r="A1940" s="2" t="s">
        <v>155</v>
      </c>
      <c r="B1940" t="s">
        <v>61</v>
      </c>
      <c r="C1940" t="s">
        <v>173</v>
      </c>
      <c r="D1940" t="s">
        <v>25</v>
      </c>
      <c r="E1940">
        <v>2</v>
      </c>
      <c r="F1940" t="s">
        <v>40</v>
      </c>
      <c r="G1940">
        <v>2.4900000000000002</v>
      </c>
      <c r="H1940">
        <v>2.29</v>
      </c>
      <c r="I1940" s="2" t="str">
        <f>_xlfn.XLOOKUP(F1940,DeparaIMG!D:D,DeparaIMG!F:F,,0)</f>
        <v>GCA269.png</v>
      </c>
    </row>
    <row r="1941" spans="1:9" x14ac:dyDescent="0.35">
      <c r="A1941" s="2" t="s">
        <v>155</v>
      </c>
      <c r="B1941" t="s">
        <v>61</v>
      </c>
      <c r="C1941" t="s">
        <v>28</v>
      </c>
      <c r="D1941" t="s">
        <v>25</v>
      </c>
      <c r="E1941">
        <v>2</v>
      </c>
      <c r="F1941" t="s">
        <v>40</v>
      </c>
      <c r="G1941">
        <v>2.4900000000000002</v>
      </c>
      <c r="H1941">
        <v>2.29</v>
      </c>
      <c r="I1941" s="2" t="str">
        <f>_xlfn.XLOOKUP(F1941,DeparaIMG!D:D,DeparaIMG!F:F,,0)</f>
        <v>GCA269.png</v>
      </c>
    </row>
    <row r="1942" spans="1:9" x14ac:dyDescent="0.35">
      <c r="A1942" s="2" t="s">
        <v>155</v>
      </c>
      <c r="B1942" t="s">
        <v>61</v>
      </c>
      <c r="C1942" t="s">
        <v>29</v>
      </c>
      <c r="D1942" t="s">
        <v>25</v>
      </c>
      <c r="E1942">
        <v>2</v>
      </c>
      <c r="F1942" t="s">
        <v>40</v>
      </c>
      <c r="G1942">
        <v>2.4900000000000002</v>
      </c>
      <c r="H1942">
        <v>2.29</v>
      </c>
      <c r="I1942" s="2" t="str">
        <f>_xlfn.XLOOKUP(F1942,DeparaIMG!D:D,DeparaIMG!F:F,,0)</f>
        <v>GCA269.png</v>
      </c>
    </row>
    <row r="1943" spans="1:9" x14ac:dyDescent="0.35">
      <c r="A1943" s="2" t="s">
        <v>155</v>
      </c>
      <c r="B1943" t="s">
        <v>61</v>
      </c>
      <c r="C1943" t="s">
        <v>30</v>
      </c>
      <c r="D1943" t="s">
        <v>25</v>
      </c>
      <c r="E1943">
        <v>2</v>
      </c>
      <c r="F1943" t="s">
        <v>40</v>
      </c>
      <c r="G1943">
        <v>2.4900000000000002</v>
      </c>
      <c r="H1943">
        <v>2.29</v>
      </c>
      <c r="I1943" s="2" t="str">
        <f>_xlfn.XLOOKUP(F1943,DeparaIMG!D:D,DeparaIMG!F:F,,0)</f>
        <v>GCA269.png</v>
      </c>
    </row>
    <row r="1944" spans="1:9" x14ac:dyDescent="0.35">
      <c r="A1944" s="2" t="s">
        <v>155</v>
      </c>
      <c r="B1944" t="s">
        <v>61</v>
      </c>
      <c r="C1944" t="s">
        <v>4</v>
      </c>
      <c r="D1944" t="s">
        <v>25</v>
      </c>
      <c r="E1944">
        <v>2</v>
      </c>
      <c r="F1944" t="s">
        <v>171</v>
      </c>
      <c r="G1944">
        <v>2.4900000000000002</v>
      </c>
      <c r="H1944">
        <v>2.29</v>
      </c>
      <c r="I1944" s="2" t="str">
        <f>_xlfn.XLOOKUP(F1944,DeparaIMG!D:D,DeparaIMG!F:F,,0)</f>
        <v>GCAD269.png</v>
      </c>
    </row>
    <row r="1945" spans="1:9" x14ac:dyDescent="0.35">
      <c r="A1945" s="2" t="s">
        <v>155</v>
      </c>
      <c r="B1945" t="s">
        <v>61</v>
      </c>
      <c r="C1945" t="s">
        <v>173</v>
      </c>
      <c r="D1945" t="s">
        <v>25</v>
      </c>
      <c r="E1945">
        <v>2</v>
      </c>
      <c r="F1945" t="s">
        <v>171</v>
      </c>
      <c r="G1945">
        <v>2.4900000000000002</v>
      </c>
      <c r="H1945">
        <v>2.29</v>
      </c>
      <c r="I1945" s="2" t="str">
        <f>_xlfn.XLOOKUP(F1945,DeparaIMG!D:D,DeparaIMG!F:F,,0)</f>
        <v>GCAD269.png</v>
      </c>
    </row>
    <row r="1946" spans="1:9" x14ac:dyDescent="0.35">
      <c r="A1946" s="2" t="s">
        <v>155</v>
      </c>
      <c r="B1946" t="s">
        <v>61</v>
      </c>
      <c r="C1946" t="s">
        <v>28</v>
      </c>
      <c r="D1946" t="s">
        <v>25</v>
      </c>
      <c r="E1946">
        <v>2</v>
      </c>
      <c r="F1946" t="s">
        <v>171</v>
      </c>
      <c r="G1946">
        <v>2.4900000000000002</v>
      </c>
      <c r="H1946">
        <v>2.29</v>
      </c>
      <c r="I1946" s="2" t="str">
        <f>_xlfn.XLOOKUP(F1946,DeparaIMG!D:D,DeparaIMG!F:F,,0)</f>
        <v>GCAD269.png</v>
      </c>
    </row>
    <row r="1947" spans="1:9" x14ac:dyDescent="0.35">
      <c r="A1947" s="2" t="s">
        <v>155</v>
      </c>
      <c r="B1947" t="s">
        <v>61</v>
      </c>
      <c r="C1947" t="s">
        <v>29</v>
      </c>
      <c r="D1947" t="s">
        <v>25</v>
      </c>
      <c r="E1947">
        <v>2</v>
      </c>
      <c r="F1947" t="s">
        <v>171</v>
      </c>
      <c r="G1947">
        <v>2.4900000000000002</v>
      </c>
      <c r="H1947">
        <v>2.29</v>
      </c>
      <c r="I1947" s="2" t="str">
        <f>_xlfn.XLOOKUP(F1947,DeparaIMG!D:D,DeparaIMG!F:F,,0)</f>
        <v>GCAD269.png</v>
      </c>
    </row>
    <row r="1948" spans="1:9" x14ac:dyDescent="0.35">
      <c r="A1948" s="2" t="s">
        <v>155</v>
      </c>
      <c r="B1948" t="s">
        <v>61</v>
      </c>
      <c r="C1948" t="s">
        <v>30</v>
      </c>
      <c r="D1948" t="s">
        <v>25</v>
      </c>
      <c r="E1948">
        <v>2</v>
      </c>
      <c r="F1948" t="s">
        <v>171</v>
      </c>
      <c r="G1948">
        <v>2.4900000000000002</v>
      </c>
      <c r="H1948">
        <v>2.29</v>
      </c>
      <c r="I1948" s="2" t="str">
        <f>_xlfn.XLOOKUP(F1948,DeparaIMG!D:D,DeparaIMG!F:F,,0)</f>
        <v>GCAD269.png</v>
      </c>
    </row>
    <row r="1949" spans="1:9" x14ac:dyDescent="0.35">
      <c r="A1949" s="2" t="s">
        <v>155</v>
      </c>
      <c r="B1949" t="s">
        <v>61</v>
      </c>
      <c r="C1949" t="s">
        <v>4</v>
      </c>
      <c r="D1949" t="s">
        <v>25</v>
      </c>
      <c r="E1949">
        <v>2</v>
      </c>
      <c r="F1949" t="s">
        <v>41</v>
      </c>
      <c r="G1949">
        <v>2.39</v>
      </c>
      <c r="H1949">
        <v>2.19</v>
      </c>
      <c r="I1949" s="2" t="str">
        <f>_xlfn.XLOOKUP(F1949,DeparaIMG!D:D,DeparaIMG!F:F,,0)</f>
        <v>PC269.png</v>
      </c>
    </row>
    <row r="1950" spans="1:9" x14ac:dyDescent="0.35">
      <c r="A1950" s="2" t="s">
        <v>155</v>
      </c>
      <c r="B1950" t="s">
        <v>61</v>
      </c>
      <c r="C1950" t="s">
        <v>173</v>
      </c>
      <c r="D1950" t="s">
        <v>25</v>
      </c>
      <c r="E1950">
        <v>2</v>
      </c>
      <c r="F1950" t="s">
        <v>41</v>
      </c>
      <c r="G1950">
        <v>2.39</v>
      </c>
      <c r="H1950">
        <v>2.19</v>
      </c>
      <c r="I1950" s="2" t="str">
        <f>_xlfn.XLOOKUP(F1950,DeparaIMG!D:D,DeparaIMG!F:F,,0)</f>
        <v>PC269.png</v>
      </c>
    </row>
    <row r="1951" spans="1:9" x14ac:dyDescent="0.35">
      <c r="A1951" s="2" t="s">
        <v>155</v>
      </c>
      <c r="B1951" t="s">
        <v>61</v>
      </c>
      <c r="C1951" t="s">
        <v>28</v>
      </c>
      <c r="D1951" t="s">
        <v>25</v>
      </c>
      <c r="E1951">
        <v>2</v>
      </c>
      <c r="F1951" t="s">
        <v>41</v>
      </c>
      <c r="G1951">
        <v>2.39</v>
      </c>
      <c r="H1951">
        <v>2.19</v>
      </c>
      <c r="I1951" s="2" t="str">
        <f>_xlfn.XLOOKUP(F1951,DeparaIMG!D:D,DeparaIMG!F:F,,0)</f>
        <v>PC269.png</v>
      </c>
    </row>
    <row r="1952" spans="1:9" x14ac:dyDescent="0.35">
      <c r="A1952" s="2" t="s">
        <v>155</v>
      </c>
      <c r="B1952" t="s">
        <v>61</v>
      </c>
      <c r="C1952" t="s">
        <v>29</v>
      </c>
      <c r="D1952" t="s">
        <v>25</v>
      </c>
      <c r="E1952">
        <v>2</v>
      </c>
      <c r="F1952" t="s">
        <v>41</v>
      </c>
      <c r="G1952">
        <v>2.39</v>
      </c>
      <c r="H1952">
        <v>2.19</v>
      </c>
      <c r="I1952" s="2" t="str">
        <f>_xlfn.XLOOKUP(F1952,DeparaIMG!D:D,DeparaIMG!F:F,,0)</f>
        <v>PC269.png</v>
      </c>
    </row>
    <row r="1953" spans="1:9" x14ac:dyDescent="0.35">
      <c r="A1953" s="2" t="s">
        <v>155</v>
      </c>
      <c r="B1953" t="s">
        <v>61</v>
      </c>
      <c r="C1953" t="s">
        <v>30</v>
      </c>
      <c r="D1953" t="s">
        <v>25</v>
      </c>
      <c r="E1953">
        <v>2</v>
      </c>
      <c r="F1953" t="s">
        <v>41</v>
      </c>
      <c r="G1953">
        <v>2.39</v>
      </c>
      <c r="H1953">
        <v>2.19</v>
      </c>
      <c r="I1953" s="2" t="str">
        <f>_xlfn.XLOOKUP(F1953,DeparaIMG!D:D,DeparaIMG!F:F,,0)</f>
        <v>PC269.png</v>
      </c>
    </row>
    <row r="1954" spans="1:9" x14ac:dyDescent="0.35">
      <c r="A1954" s="2" t="s">
        <v>155</v>
      </c>
      <c r="B1954" t="s">
        <v>61</v>
      </c>
      <c r="C1954" t="s">
        <v>4</v>
      </c>
      <c r="D1954" t="s">
        <v>25</v>
      </c>
      <c r="E1954">
        <v>2</v>
      </c>
      <c r="F1954" t="s">
        <v>172</v>
      </c>
      <c r="G1954">
        <v>2.29</v>
      </c>
      <c r="H1954">
        <v>2.09</v>
      </c>
      <c r="I1954" s="2" t="str">
        <f>_xlfn.XLOOKUP(F1954,DeparaIMG!D:D,DeparaIMG!F:F,,0)</f>
        <v>PCB269.png</v>
      </c>
    </row>
    <row r="1955" spans="1:9" x14ac:dyDescent="0.35">
      <c r="A1955" s="2" t="s">
        <v>155</v>
      </c>
      <c r="B1955" t="s">
        <v>61</v>
      </c>
      <c r="C1955" t="s">
        <v>173</v>
      </c>
      <c r="D1955" t="s">
        <v>25</v>
      </c>
      <c r="E1955">
        <v>2</v>
      </c>
      <c r="F1955" t="s">
        <v>172</v>
      </c>
      <c r="G1955">
        <v>2.29</v>
      </c>
      <c r="H1955">
        <v>2.09</v>
      </c>
      <c r="I1955" s="2" t="str">
        <f>_xlfn.XLOOKUP(F1955,DeparaIMG!D:D,DeparaIMG!F:F,,0)</f>
        <v>PCB269.png</v>
      </c>
    </row>
    <row r="1956" spans="1:9" x14ac:dyDescent="0.35">
      <c r="A1956" s="2" t="s">
        <v>155</v>
      </c>
      <c r="B1956" t="s">
        <v>61</v>
      </c>
      <c r="C1956" t="s">
        <v>28</v>
      </c>
      <c r="D1956" t="s">
        <v>25</v>
      </c>
      <c r="E1956">
        <v>2</v>
      </c>
      <c r="F1956" t="s">
        <v>172</v>
      </c>
      <c r="G1956">
        <v>2.29</v>
      </c>
      <c r="H1956">
        <v>2.09</v>
      </c>
      <c r="I1956" s="2" t="str">
        <f>_xlfn.XLOOKUP(F1956,DeparaIMG!D:D,DeparaIMG!F:F,,0)</f>
        <v>PCB269.png</v>
      </c>
    </row>
    <row r="1957" spans="1:9" x14ac:dyDescent="0.35">
      <c r="A1957" s="2" t="s">
        <v>155</v>
      </c>
      <c r="B1957" t="s">
        <v>61</v>
      </c>
      <c r="C1957" t="s">
        <v>29</v>
      </c>
      <c r="D1957" t="s">
        <v>25</v>
      </c>
      <c r="E1957">
        <v>2</v>
      </c>
      <c r="F1957" t="s">
        <v>172</v>
      </c>
      <c r="G1957">
        <v>2.29</v>
      </c>
      <c r="H1957">
        <v>2.09</v>
      </c>
      <c r="I1957" s="2" t="str">
        <f>_xlfn.XLOOKUP(F1957,DeparaIMG!D:D,DeparaIMG!F:F,,0)</f>
        <v>PCB269.png</v>
      </c>
    </row>
    <row r="1958" spans="1:9" x14ac:dyDescent="0.35">
      <c r="A1958" s="2" t="s">
        <v>155</v>
      </c>
      <c r="B1958" t="s">
        <v>61</v>
      </c>
      <c r="C1958" t="s">
        <v>30</v>
      </c>
      <c r="D1958" t="s">
        <v>25</v>
      </c>
      <c r="E1958">
        <v>2</v>
      </c>
      <c r="F1958" t="s">
        <v>172</v>
      </c>
      <c r="G1958">
        <v>2.29</v>
      </c>
      <c r="H1958">
        <v>2.09</v>
      </c>
      <c r="I1958" s="2" t="str">
        <f>_xlfn.XLOOKUP(F1958,DeparaIMG!D:D,DeparaIMG!F:F,,0)</f>
        <v>PCB269.png</v>
      </c>
    </row>
    <row r="1959" spans="1:9" x14ac:dyDescent="0.35">
      <c r="A1959" s="2" t="s">
        <v>155</v>
      </c>
      <c r="B1959" t="s">
        <v>61</v>
      </c>
      <c r="C1959" t="s">
        <v>4</v>
      </c>
      <c r="D1959" t="s">
        <v>26</v>
      </c>
      <c r="E1959">
        <v>2</v>
      </c>
      <c r="F1959" t="s">
        <v>31</v>
      </c>
      <c r="G1959">
        <v>5.29</v>
      </c>
      <c r="H1959">
        <v>4.99</v>
      </c>
      <c r="I1959" s="2" t="str">
        <f>_xlfn.XLOOKUP(F1959,DeparaIMG!D:D,DeparaIMG!F:F,,0)</f>
        <v>GCAP1.png</v>
      </c>
    </row>
    <row r="1960" spans="1:9" x14ac:dyDescent="0.35">
      <c r="A1960" s="2" t="s">
        <v>155</v>
      </c>
      <c r="B1960" t="s">
        <v>61</v>
      </c>
      <c r="C1960" t="s">
        <v>173</v>
      </c>
      <c r="D1960" t="s">
        <v>26</v>
      </c>
      <c r="E1960">
        <v>2</v>
      </c>
      <c r="F1960" t="s">
        <v>32</v>
      </c>
      <c r="G1960">
        <v>7.49</v>
      </c>
      <c r="H1960">
        <v>7.19</v>
      </c>
      <c r="I1960" s="2" t="str">
        <f>_xlfn.XLOOKUP(F1960,DeparaIMG!D:D,DeparaIMG!F:F,,0)</f>
        <v>GCAP1,5.png</v>
      </c>
    </row>
    <row r="1961" spans="1:9" x14ac:dyDescent="0.35">
      <c r="A1961" s="2" t="s">
        <v>155</v>
      </c>
      <c r="B1961" t="s">
        <v>61</v>
      </c>
      <c r="C1961" t="s">
        <v>28</v>
      </c>
      <c r="D1961" t="s">
        <v>26</v>
      </c>
      <c r="E1961">
        <v>2</v>
      </c>
      <c r="F1961" t="s">
        <v>32</v>
      </c>
      <c r="G1961">
        <v>6.99</v>
      </c>
      <c r="H1961">
        <v>6.69</v>
      </c>
      <c r="I1961" s="2" t="str">
        <f>_xlfn.XLOOKUP(F1961,DeparaIMG!D:D,DeparaIMG!F:F,,0)</f>
        <v>GCAP1,5.png</v>
      </c>
    </row>
    <row r="1962" spans="1:9" x14ac:dyDescent="0.35">
      <c r="A1962" s="2" t="s">
        <v>155</v>
      </c>
      <c r="B1962" t="s">
        <v>61</v>
      </c>
      <c r="C1962" t="s">
        <v>29</v>
      </c>
      <c r="D1962" t="s">
        <v>26</v>
      </c>
      <c r="E1962">
        <v>2</v>
      </c>
      <c r="F1962" t="s">
        <v>32</v>
      </c>
      <c r="G1962">
        <v>6.99</v>
      </c>
      <c r="H1962">
        <v>6.69</v>
      </c>
      <c r="I1962" s="2" t="str">
        <f>_xlfn.XLOOKUP(F1962,DeparaIMG!D:D,DeparaIMG!F:F,,0)</f>
        <v>GCAP1,5.png</v>
      </c>
    </row>
    <row r="1963" spans="1:9" x14ac:dyDescent="0.35">
      <c r="A1963" s="2" t="s">
        <v>155</v>
      </c>
      <c r="B1963" t="s">
        <v>61</v>
      </c>
      <c r="C1963" t="s">
        <v>30</v>
      </c>
      <c r="D1963" t="s">
        <v>26</v>
      </c>
      <c r="E1963">
        <v>2</v>
      </c>
      <c r="F1963" t="s">
        <v>32</v>
      </c>
      <c r="G1963">
        <v>7.49</v>
      </c>
      <c r="H1963">
        <v>7.19</v>
      </c>
      <c r="I1963" s="2" t="str">
        <f>_xlfn.XLOOKUP(F1963,DeparaIMG!D:D,DeparaIMG!F:F,,0)</f>
        <v>GCAP1,5.png</v>
      </c>
    </row>
    <row r="1964" spans="1:9" x14ac:dyDescent="0.35">
      <c r="A1964" s="2" t="s">
        <v>155</v>
      </c>
      <c r="B1964" t="s">
        <v>61</v>
      </c>
      <c r="C1964" t="s">
        <v>4</v>
      </c>
      <c r="D1964" t="s">
        <v>26</v>
      </c>
      <c r="E1964">
        <v>2</v>
      </c>
      <c r="F1964" t="s">
        <v>166</v>
      </c>
      <c r="G1964">
        <v>5.29</v>
      </c>
      <c r="H1964">
        <v>4.99</v>
      </c>
      <c r="I1964" s="2" t="str">
        <f>_xlfn.XLOOKUP(F1964,DeparaIMG!D:D,DeparaIMG!F:F,,0)</f>
        <v>GCADP1.png</v>
      </c>
    </row>
    <row r="1965" spans="1:9" x14ac:dyDescent="0.35">
      <c r="A1965" s="2" t="s">
        <v>155</v>
      </c>
      <c r="B1965" t="s">
        <v>61</v>
      </c>
      <c r="C1965" t="s">
        <v>173</v>
      </c>
      <c r="D1965" t="s">
        <v>26</v>
      </c>
      <c r="E1965">
        <v>2</v>
      </c>
      <c r="F1965" t="s">
        <v>167</v>
      </c>
      <c r="G1965">
        <v>7.49</v>
      </c>
      <c r="H1965">
        <v>7.19</v>
      </c>
      <c r="I1965" s="2" t="str">
        <f>_xlfn.XLOOKUP(F1965,DeparaIMG!D:D,DeparaIMG!F:F,,0)</f>
        <v>GCADP1,5.png</v>
      </c>
    </row>
    <row r="1966" spans="1:9" x14ac:dyDescent="0.35">
      <c r="A1966" s="2" t="s">
        <v>155</v>
      </c>
      <c r="B1966" t="s">
        <v>61</v>
      </c>
      <c r="C1966" t="s">
        <v>28</v>
      </c>
      <c r="D1966" t="s">
        <v>26</v>
      </c>
      <c r="E1966">
        <v>2</v>
      </c>
      <c r="F1966" t="s">
        <v>167</v>
      </c>
      <c r="G1966">
        <v>6.99</v>
      </c>
      <c r="H1966">
        <v>6.69</v>
      </c>
      <c r="I1966" s="2" t="str">
        <f>_xlfn.XLOOKUP(F1966,DeparaIMG!D:D,DeparaIMG!F:F,,0)</f>
        <v>GCADP1,5.png</v>
      </c>
    </row>
    <row r="1967" spans="1:9" x14ac:dyDescent="0.35">
      <c r="A1967" s="2" t="s">
        <v>155</v>
      </c>
      <c r="B1967" t="s">
        <v>61</v>
      </c>
      <c r="C1967" t="s">
        <v>29</v>
      </c>
      <c r="D1967" t="s">
        <v>26</v>
      </c>
      <c r="E1967">
        <v>2</v>
      </c>
      <c r="F1967" t="s">
        <v>167</v>
      </c>
      <c r="G1967">
        <v>6.99</v>
      </c>
      <c r="H1967">
        <v>6.69</v>
      </c>
      <c r="I1967" s="2" t="str">
        <f>_xlfn.XLOOKUP(F1967,DeparaIMG!D:D,DeparaIMG!F:F,,0)</f>
        <v>GCADP1,5.png</v>
      </c>
    </row>
    <row r="1968" spans="1:9" x14ac:dyDescent="0.35">
      <c r="A1968" s="2" t="s">
        <v>155</v>
      </c>
      <c r="B1968" t="s">
        <v>61</v>
      </c>
      <c r="C1968" t="s">
        <v>30</v>
      </c>
      <c r="D1968" t="s">
        <v>26</v>
      </c>
      <c r="E1968">
        <v>2</v>
      </c>
      <c r="F1968" t="s">
        <v>167</v>
      </c>
      <c r="G1968">
        <v>7.49</v>
      </c>
      <c r="H1968">
        <v>7.19</v>
      </c>
      <c r="I1968" s="2" t="str">
        <f>_xlfn.XLOOKUP(F1968,DeparaIMG!D:D,DeparaIMG!F:F,,0)</f>
        <v>GCADP1,5.png</v>
      </c>
    </row>
    <row r="1969" spans="1:9" x14ac:dyDescent="0.35">
      <c r="A1969" s="2" t="s">
        <v>155</v>
      </c>
      <c r="B1969" t="s">
        <v>61</v>
      </c>
      <c r="C1969" t="s">
        <v>4</v>
      </c>
      <c r="D1969" t="s">
        <v>26</v>
      </c>
      <c r="E1969">
        <v>2</v>
      </c>
      <c r="F1969" t="s">
        <v>33</v>
      </c>
      <c r="G1969">
        <v>7.99</v>
      </c>
      <c r="H1969">
        <v>7.59</v>
      </c>
      <c r="I1969" s="2" t="str">
        <f>_xlfn.XLOOKUP(F1969,DeparaIMG!D:D,DeparaIMG!F:F,,0)</f>
        <v>PCP2.png</v>
      </c>
    </row>
    <row r="1970" spans="1:9" x14ac:dyDescent="0.35">
      <c r="A1970" s="2" t="s">
        <v>155</v>
      </c>
      <c r="B1970" t="s">
        <v>61</v>
      </c>
      <c r="C1970" t="s">
        <v>173</v>
      </c>
      <c r="D1970" t="s">
        <v>26</v>
      </c>
      <c r="E1970">
        <v>2</v>
      </c>
      <c r="F1970" t="s">
        <v>33</v>
      </c>
      <c r="G1970">
        <v>9.2899999999999991</v>
      </c>
      <c r="H1970">
        <v>8.89</v>
      </c>
      <c r="I1970" s="2" t="str">
        <f>_xlfn.XLOOKUP(F1970,DeparaIMG!D:D,DeparaIMG!F:F,,0)</f>
        <v>PCP2.png</v>
      </c>
    </row>
    <row r="1971" spans="1:9" x14ac:dyDescent="0.35">
      <c r="A1971" s="2" t="s">
        <v>155</v>
      </c>
      <c r="B1971" t="s">
        <v>61</v>
      </c>
      <c r="C1971" t="s">
        <v>28</v>
      </c>
      <c r="D1971" t="s">
        <v>26</v>
      </c>
      <c r="E1971">
        <v>2</v>
      </c>
      <c r="F1971" t="s">
        <v>33</v>
      </c>
      <c r="G1971">
        <v>8.2899999999999991</v>
      </c>
      <c r="H1971">
        <v>7.89</v>
      </c>
      <c r="I1971" s="2" t="str">
        <f>_xlfn.XLOOKUP(F1971,DeparaIMG!D:D,DeparaIMG!F:F,,0)</f>
        <v>PCP2.png</v>
      </c>
    </row>
    <row r="1972" spans="1:9" x14ac:dyDescent="0.35">
      <c r="A1972" s="2" t="s">
        <v>155</v>
      </c>
      <c r="B1972" t="s">
        <v>61</v>
      </c>
      <c r="C1972" t="s">
        <v>29</v>
      </c>
      <c r="D1972" t="s">
        <v>26</v>
      </c>
      <c r="E1972">
        <v>2</v>
      </c>
      <c r="F1972" t="s">
        <v>33</v>
      </c>
      <c r="G1972">
        <v>8.2899999999999991</v>
      </c>
      <c r="H1972">
        <v>7.89</v>
      </c>
      <c r="I1972" s="2" t="str">
        <f>_xlfn.XLOOKUP(F1972,DeparaIMG!D:D,DeparaIMG!F:F,,0)</f>
        <v>PCP2.png</v>
      </c>
    </row>
    <row r="1973" spans="1:9" x14ac:dyDescent="0.35">
      <c r="A1973" s="2" t="s">
        <v>155</v>
      </c>
      <c r="B1973" t="s">
        <v>61</v>
      </c>
      <c r="C1973" t="s">
        <v>30</v>
      </c>
      <c r="D1973" t="s">
        <v>26</v>
      </c>
      <c r="E1973">
        <v>2</v>
      </c>
      <c r="F1973" t="s">
        <v>33</v>
      </c>
      <c r="G1973">
        <v>9.2899999999999991</v>
      </c>
      <c r="H1973">
        <v>8.89</v>
      </c>
      <c r="I1973" s="2" t="str">
        <f>_xlfn.XLOOKUP(F1973,DeparaIMG!D:D,DeparaIMG!F:F,,0)</f>
        <v>PCP2.png</v>
      </c>
    </row>
    <row r="1974" spans="1:9" x14ac:dyDescent="0.35">
      <c r="A1974" s="2" t="s">
        <v>155</v>
      </c>
      <c r="B1974" t="s">
        <v>61</v>
      </c>
      <c r="C1974" t="s">
        <v>4</v>
      </c>
      <c r="D1974" t="s">
        <v>26</v>
      </c>
      <c r="E1974">
        <v>2</v>
      </c>
      <c r="F1974" t="s">
        <v>168</v>
      </c>
      <c r="G1974">
        <v>7.99</v>
      </c>
      <c r="H1974">
        <v>7.59</v>
      </c>
      <c r="I1974" s="2" t="str">
        <f>_xlfn.XLOOKUP(F1974,DeparaIMG!D:D,DeparaIMG!F:F,,0)</f>
        <v>PCBP2.png</v>
      </c>
    </row>
    <row r="1975" spans="1:9" x14ac:dyDescent="0.35">
      <c r="A1975" s="2" t="s">
        <v>155</v>
      </c>
      <c r="B1975" t="s">
        <v>61</v>
      </c>
      <c r="C1975" t="s">
        <v>173</v>
      </c>
      <c r="D1975" t="s">
        <v>26</v>
      </c>
      <c r="E1975">
        <v>2</v>
      </c>
      <c r="F1975" t="s">
        <v>168</v>
      </c>
      <c r="G1975">
        <v>9.2899999999999991</v>
      </c>
      <c r="H1975">
        <v>8.89</v>
      </c>
      <c r="I1975" s="2" t="str">
        <f>_xlfn.XLOOKUP(F1975,DeparaIMG!D:D,DeparaIMG!F:F,,0)</f>
        <v>PCBP2.png</v>
      </c>
    </row>
    <row r="1976" spans="1:9" x14ac:dyDescent="0.35">
      <c r="A1976" s="2" t="s">
        <v>155</v>
      </c>
      <c r="B1976" t="s">
        <v>61</v>
      </c>
      <c r="C1976" t="s">
        <v>28</v>
      </c>
      <c r="D1976" t="s">
        <v>26</v>
      </c>
      <c r="E1976">
        <v>2</v>
      </c>
      <c r="F1976" t="s">
        <v>168</v>
      </c>
      <c r="G1976">
        <v>8.2899999999999991</v>
      </c>
      <c r="H1976">
        <v>7.89</v>
      </c>
      <c r="I1976" s="2" t="str">
        <f>_xlfn.XLOOKUP(F1976,DeparaIMG!D:D,DeparaIMG!F:F,,0)</f>
        <v>PCBP2.png</v>
      </c>
    </row>
    <row r="1977" spans="1:9" x14ac:dyDescent="0.35">
      <c r="A1977" s="2" t="s">
        <v>155</v>
      </c>
      <c r="B1977" t="s">
        <v>61</v>
      </c>
      <c r="C1977" t="s">
        <v>29</v>
      </c>
      <c r="D1977" t="s">
        <v>26</v>
      </c>
      <c r="E1977">
        <v>2</v>
      </c>
      <c r="F1977" t="s">
        <v>168</v>
      </c>
      <c r="G1977">
        <v>8.2899999999999991</v>
      </c>
      <c r="H1977">
        <v>7.89</v>
      </c>
      <c r="I1977" s="2" t="str">
        <f>_xlfn.XLOOKUP(F1977,DeparaIMG!D:D,DeparaIMG!F:F,,0)</f>
        <v>PCBP2.png</v>
      </c>
    </row>
    <row r="1978" spans="1:9" x14ac:dyDescent="0.35">
      <c r="A1978" s="2" t="s">
        <v>155</v>
      </c>
      <c r="B1978" t="s">
        <v>61</v>
      </c>
      <c r="C1978" t="s">
        <v>30</v>
      </c>
      <c r="D1978" t="s">
        <v>26</v>
      </c>
      <c r="E1978">
        <v>2</v>
      </c>
      <c r="F1978" t="s">
        <v>168</v>
      </c>
      <c r="G1978">
        <v>9.2899999999999991</v>
      </c>
      <c r="H1978">
        <v>8.89</v>
      </c>
      <c r="I1978" s="2" t="str">
        <f>_xlfn.XLOOKUP(F1978,DeparaIMG!D:D,DeparaIMG!F:F,,0)</f>
        <v>PCBP2.png</v>
      </c>
    </row>
    <row r="1979" spans="1:9" x14ac:dyDescent="0.35">
      <c r="A1979" s="2" t="s">
        <v>155</v>
      </c>
      <c r="B1979" t="s">
        <v>61</v>
      </c>
      <c r="C1979" t="s">
        <v>173</v>
      </c>
      <c r="D1979" t="s">
        <v>26</v>
      </c>
      <c r="E1979">
        <v>2</v>
      </c>
      <c r="F1979" t="s">
        <v>42</v>
      </c>
      <c r="G1979">
        <v>8.49</v>
      </c>
      <c r="H1979">
        <v>7.99</v>
      </c>
      <c r="I1979" s="2" t="str">
        <f>_xlfn.XLOOKUP(F1979,DeparaIMG!D:D,DeparaIMG!F:F,,0)</f>
        <v>H2OHP1,5.png</v>
      </c>
    </row>
    <row r="1980" spans="1:9" x14ac:dyDescent="0.35">
      <c r="A1980" s="2" t="s">
        <v>155</v>
      </c>
      <c r="B1980" t="s">
        <v>61</v>
      </c>
      <c r="C1980" t="s">
        <v>28</v>
      </c>
      <c r="D1980" t="s">
        <v>26</v>
      </c>
      <c r="E1980">
        <v>2</v>
      </c>
      <c r="F1980" t="s">
        <v>42</v>
      </c>
      <c r="G1980">
        <v>7.99</v>
      </c>
      <c r="H1980">
        <v>7.49</v>
      </c>
      <c r="I1980" s="2" t="str">
        <f>_xlfn.XLOOKUP(F1980,DeparaIMG!D:D,DeparaIMG!F:F,,0)</f>
        <v>H2OHP1,5.png</v>
      </c>
    </row>
    <row r="1981" spans="1:9" x14ac:dyDescent="0.35">
      <c r="A1981" s="2" t="s">
        <v>155</v>
      </c>
      <c r="B1981" t="s">
        <v>61</v>
      </c>
      <c r="C1981" t="s">
        <v>29</v>
      </c>
      <c r="D1981" t="s">
        <v>26</v>
      </c>
      <c r="E1981">
        <v>2</v>
      </c>
      <c r="F1981" t="s">
        <v>42</v>
      </c>
      <c r="G1981">
        <v>7.99</v>
      </c>
      <c r="H1981">
        <v>7.49</v>
      </c>
      <c r="I1981" s="2" t="str">
        <f>_xlfn.XLOOKUP(F1981,DeparaIMG!D:D,DeparaIMG!F:F,,0)</f>
        <v>H2OHP1,5.png</v>
      </c>
    </row>
    <row r="1982" spans="1:9" x14ac:dyDescent="0.35">
      <c r="A1982" s="2" t="s">
        <v>155</v>
      </c>
      <c r="B1982" t="s">
        <v>61</v>
      </c>
      <c r="C1982" t="s">
        <v>30</v>
      </c>
      <c r="D1982" t="s">
        <v>26</v>
      </c>
      <c r="E1982">
        <v>2</v>
      </c>
      <c r="F1982" t="s">
        <v>42</v>
      </c>
      <c r="G1982">
        <v>8.49</v>
      </c>
      <c r="H1982">
        <v>7.99</v>
      </c>
      <c r="I1982" s="2" t="str">
        <f>_xlfn.XLOOKUP(F1982,DeparaIMG!D:D,DeparaIMG!F:F,,0)</f>
        <v>H2OHP1,5.png</v>
      </c>
    </row>
    <row r="1983" spans="1:9" x14ac:dyDescent="0.35">
      <c r="A1983" s="2" t="s">
        <v>155</v>
      </c>
      <c r="B1983" t="s">
        <v>61</v>
      </c>
      <c r="C1983" t="s">
        <v>173</v>
      </c>
      <c r="D1983" t="s">
        <v>25</v>
      </c>
      <c r="E1983">
        <v>1</v>
      </c>
      <c r="F1983" t="s">
        <v>31</v>
      </c>
      <c r="G1983">
        <v>4.99</v>
      </c>
      <c r="H1983">
        <v>4.6900000000000004</v>
      </c>
      <c r="I1983" s="2" t="str">
        <f>_xlfn.XLOOKUP(F1983,DeparaIMG!D:D,DeparaIMG!F:F,,0)</f>
        <v>GCAP1.png</v>
      </c>
    </row>
    <row r="1984" spans="1:9" x14ac:dyDescent="0.35">
      <c r="A1984" s="2" t="s">
        <v>155</v>
      </c>
      <c r="B1984" t="s">
        <v>61</v>
      </c>
      <c r="C1984" t="s">
        <v>173</v>
      </c>
      <c r="D1984" t="s">
        <v>25</v>
      </c>
      <c r="E1984">
        <v>1</v>
      </c>
      <c r="F1984" t="s">
        <v>166</v>
      </c>
      <c r="G1984">
        <v>4.99</v>
      </c>
      <c r="H1984">
        <v>4.6900000000000004</v>
      </c>
      <c r="I1984" s="2" t="str">
        <f>_xlfn.XLOOKUP(F1984,DeparaIMG!D:D,DeparaIMG!F:F,,0)</f>
        <v>GCADP1.png</v>
      </c>
    </row>
    <row r="1985" spans="1:9" x14ac:dyDescent="0.35">
      <c r="A1985" s="2" t="s">
        <v>155</v>
      </c>
      <c r="B1985" t="s">
        <v>61</v>
      </c>
      <c r="C1985" t="s">
        <v>173</v>
      </c>
      <c r="D1985" t="s">
        <v>25</v>
      </c>
      <c r="E1985">
        <v>1</v>
      </c>
      <c r="F1985" t="s">
        <v>33</v>
      </c>
      <c r="G1985">
        <v>7.79</v>
      </c>
      <c r="H1985">
        <v>7.39</v>
      </c>
      <c r="I1985" s="2" t="str">
        <f>_xlfn.XLOOKUP(F1985,DeparaIMG!D:D,DeparaIMG!F:F,,0)</f>
        <v>PCP2.png</v>
      </c>
    </row>
    <row r="1986" spans="1:9" x14ac:dyDescent="0.35">
      <c r="A1986" s="2" t="s">
        <v>155</v>
      </c>
      <c r="B1986" t="s">
        <v>61</v>
      </c>
      <c r="C1986" t="s">
        <v>173</v>
      </c>
      <c r="D1986" t="s">
        <v>25</v>
      </c>
      <c r="E1986">
        <v>1</v>
      </c>
      <c r="F1986" t="s">
        <v>168</v>
      </c>
      <c r="G1986">
        <v>7.79</v>
      </c>
      <c r="H1986">
        <v>7.39</v>
      </c>
      <c r="I1986" s="2" t="str">
        <f>_xlfn.XLOOKUP(F1986,DeparaIMG!D:D,DeparaIMG!F:F,,0)</f>
        <v>PCBP2.png</v>
      </c>
    </row>
    <row r="1987" spans="1:9" x14ac:dyDescent="0.35">
      <c r="A1987" s="2" t="s">
        <v>155</v>
      </c>
      <c r="B1987" t="s">
        <v>61</v>
      </c>
      <c r="C1987" t="s">
        <v>173</v>
      </c>
      <c r="D1987" t="s">
        <v>25</v>
      </c>
      <c r="E1987">
        <v>1</v>
      </c>
      <c r="F1987" t="s">
        <v>34</v>
      </c>
      <c r="G1987">
        <v>5.79</v>
      </c>
      <c r="H1987">
        <v>5.49</v>
      </c>
      <c r="I1987" s="2" t="str">
        <f>_xlfn.XLOOKUP(F1987,DeparaIMG!D:D,DeparaIMG!F:F,,0)</f>
        <v>BAREP2.png</v>
      </c>
    </row>
    <row r="1988" spans="1:9" x14ac:dyDescent="0.35">
      <c r="A1988" s="2" t="s">
        <v>155</v>
      </c>
      <c r="B1988" t="s">
        <v>61</v>
      </c>
      <c r="C1988" t="s">
        <v>173</v>
      </c>
      <c r="D1988" t="s">
        <v>25</v>
      </c>
      <c r="E1988">
        <v>1</v>
      </c>
      <c r="F1988" t="s">
        <v>42</v>
      </c>
      <c r="G1988">
        <v>7.79</v>
      </c>
      <c r="H1988">
        <v>7.29</v>
      </c>
      <c r="I1988" s="2" t="str">
        <f>_xlfn.XLOOKUP(F1988,DeparaIMG!D:D,DeparaIMG!F:F,,0)</f>
        <v>H2OHP1,5.png</v>
      </c>
    </row>
    <row r="1989" spans="1:9" x14ac:dyDescent="0.35">
      <c r="A1989" s="2" t="s">
        <v>155</v>
      </c>
      <c r="B1989" t="s">
        <v>61</v>
      </c>
      <c r="C1989" t="s">
        <v>173</v>
      </c>
      <c r="D1989" t="s">
        <v>26</v>
      </c>
      <c r="E1989">
        <v>1</v>
      </c>
      <c r="F1989" t="s">
        <v>37</v>
      </c>
      <c r="G1989">
        <v>8.99</v>
      </c>
      <c r="H1989">
        <v>8.2900000000000009</v>
      </c>
      <c r="I1989" s="2" t="str">
        <f>_xlfn.XLOOKUP(F1989,DeparaIMG!D:D,DeparaIMG!F:F,,0)</f>
        <v>GCAP2.png</v>
      </c>
    </row>
    <row r="1990" spans="1:9" x14ac:dyDescent="0.35">
      <c r="A1990" s="2" t="s">
        <v>155</v>
      </c>
      <c r="B1990" t="s">
        <v>61</v>
      </c>
      <c r="C1990" t="s">
        <v>173</v>
      </c>
      <c r="D1990" t="s">
        <v>26</v>
      </c>
      <c r="E1990">
        <v>1</v>
      </c>
      <c r="F1990" t="s">
        <v>169</v>
      </c>
      <c r="G1990">
        <v>8.99</v>
      </c>
      <c r="H1990">
        <v>8.2900000000000009</v>
      </c>
      <c r="I1990" s="2" t="str">
        <f>_xlfn.XLOOKUP(F1990,DeparaIMG!D:D,DeparaIMG!F:F,,0)</f>
        <v>GCADP2.png</v>
      </c>
    </row>
    <row r="1991" spans="1:9" x14ac:dyDescent="0.35">
      <c r="A1991" s="2" t="s">
        <v>155</v>
      </c>
      <c r="B1991" t="s">
        <v>61</v>
      </c>
      <c r="C1991" t="s">
        <v>173</v>
      </c>
      <c r="D1991" t="s">
        <v>26</v>
      </c>
      <c r="E1991">
        <v>1</v>
      </c>
      <c r="F1991" t="s">
        <v>34</v>
      </c>
      <c r="G1991">
        <v>5.99</v>
      </c>
      <c r="H1991">
        <v>5.49</v>
      </c>
      <c r="I1991" s="2" t="str">
        <f>_xlfn.XLOOKUP(F1991,DeparaIMG!D:D,DeparaIMG!F:F,,0)</f>
        <v>BAREP2.png</v>
      </c>
    </row>
    <row r="1992" spans="1:9" x14ac:dyDescent="0.35">
      <c r="A1992" s="2" t="s">
        <v>155</v>
      </c>
      <c r="B1992" t="s">
        <v>61</v>
      </c>
      <c r="C1992" t="s">
        <v>173</v>
      </c>
      <c r="D1992" t="s">
        <v>26</v>
      </c>
      <c r="E1992">
        <v>1</v>
      </c>
      <c r="F1992" t="s">
        <v>156</v>
      </c>
      <c r="G1992">
        <v>3.39</v>
      </c>
      <c r="H1992">
        <v>2.99</v>
      </c>
      <c r="I1992" s="2" t="str">
        <f>_xlfn.XLOOKUP(F1992,DeparaIMG!D:D,DeparaIMG!F:F,,0)</f>
        <v>PC350.png</v>
      </c>
    </row>
    <row r="1993" spans="1:9" x14ac:dyDescent="0.35">
      <c r="A1993" s="2" t="s">
        <v>155</v>
      </c>
      <c r="B1993" t="s">
        <v>61</v>
      </c>
      <c r="C1993" t="s">
        <v>173</v>
      </c>
      <c r="D1993" t="s">
        <v>25</v>
      </c>
      <c r="E1993">
        <v>2</v>
      </c>
      <c r="F1993" t="s">
        <v>37</v>
      </c>
      <c r="G1993">
        <v>8.7899999999999991</v>
      </c>
      <c r="H1993">
        <v>8.09</v>
      </c>
      <c r="I1993" s="2" t="str">
        <f>_xlfn.XLOOKUP(F1993,DeparaIMG!D:D,DeparaIMG!F:F,,0)</f>
        <v>GCAP2.png</v>
      </c>
    </row>
    <row r="1994" spans="1:9" x14ac:dyDescent="0.35">
      <c r="A1994" s="2" t="s">
        <v>155</v>
      </c>
      <c r="B1994" t="s">
        <v>61</v>
      </c>
      <c r="C1994" t="s">
        <v>173</v>
      </c>
      <c r="D1994" t="s">
        <v>25</v>
      </c>
      <c r="E1994">
        <v>2</v>
      </c>
      <c r="F1994" t="s">
        <v>169</v>
      </c>
      <c r="G1994">
        <v>8.7899999999999991</v>
      </c>
      <c r="H1994">
        <v>8.09</v>
      </c>
      <c r="I1994" s="2" t="str">
        <f>_xlfn.XLOOKUP(F1994,DeparaIMG!D:D,DeparaIMG!F:F,,0)</f>
        <v>GCADP2.png</v>
      </c>
    </row>
    <row r="1995" spans="1:9" x14ac:dyDescent="0.35">
      <c r="A1995" s="2" t="s">
        <v>155</v>
      </c>
      <c r="B1995" t="s">
        <v>61</v>
      </c>
      <c r="C1995" t="s">
        <v>173</v>
      </c>
      <c r="D1995" t="s">
        <v>26</v>
      </c>
      <c r="E1995">
        <v>2</v>
      </c>
      <c r="F1995" t="s">
        <v>31</v>
      </c>
      <c r="G1995">
        <v>5.29</v>
      </c>
      <c r="H1995">
        <v>4.99</v>
      </c>
      <c r="I1995" s="2" t="str">
        <f>_xlfn.XLOOKUP(F1995,DeparaIMG!D:D,DeparaIMG!F:F,,0)</f>
        <v>GCAP1.png</v>
      </c>
    </row>
    <row r="1996" spans="1:9" x14ac:dyDescent="0.35">
      <c r="A1996" s="2" t="s">
        <v>155</v>
      </c>
      <c r="B1996" t="s">
        <v>61</v>
      </c>
      <c r="C1996" t="s">
        <v>173</v>
      </c>
      <c r="D1996" t="s">
        <v>26</v>
      </c>
      <c r="E1996">
        <v>2</v>
      </c>
      <c r="F1996" t="s">
        <v>166</v>
      </c>
      <c r="G1996">
        <v>5.29</v>
      </c>
      <c r="H1996">
        <v>4.99</v>
      </c>
      <c r="I1996" s="2" t="str">
        <f>_xlfn.XLOOKUP(F1996,DeparaIMG!D:D,DeparaIMG!F:F,,0)</f>
        <v>GCADP1.png</v>
      </c>
    </row>
    <row r="1997" spans="1:9" x14ac:dyDescent="0.35">
      <c r="A1997" s="2" t="s">
        <v>155</v>
      </c>
      <c r="B1997" t="s">
        <v>61</v>
      </c>
      <c r="C1997" t="s">
        <v>173</v>
      </c>
      <c r="D1997" t="s">
        <v>26</v>
      </c>
      <c r="E1997">
        <v>2</v>
      </c>
      <c r="F1997" t="s">
        <v>33</v>
      </c>
      <c r="G1997">
        <v>7.99</v>
      </c>
      <c r="H1997">
        <v>7.59</v>
      </c>
      <c r="I1997" s="2" t="str">
        <f>_xlfn.XLOOKUP(F1997,DeparaIMG!D:D,DeparaIMG!F:F,,0)</f>
        <v>PCP2.png</v>
      </c>
    </row>
    <row r="1998" spans="1:9" x14ac:dyDescent="0.35">
      <c r="A1998" s="2" t="s">
        <v>155</v>
      </c>
      <c r="B1998" t="s">
        <v>61</v>
      </c>
      <c r="C1998" t="s">
        <v>173</v>
      </c>
      <c r="D1998" t="s">
        <v>26</v>
      </c>
      <c r="E1998">
        <v>2</v>
      </c>
      <c r="F1998" t="s">
        <v>168</v>
      </c>
      <c r="G1998">
        <v>7.99</v>
      </c>
      <c r="H1998">
        <v>7.59</v>
      </c>
      <c r="I1998" s="2" t="str">
        <f>_xlfn.XLOOKUP(F1998,DeparaIMG!D:D,DeparaIMG!F:F,,0)</f>
        <v>PCBP2.png</v>
      </c>
    </row>
    <row r="1999" spans="1:9" x14ac:dyDescent="0.35">
      <c r="A1999" s="2" t="s">
        <v>155</v>
      </c>
      <c r="B1999" t="s">
        <v>61</v>
      </c>
      <c r="C1999" t="s">
        <v>30</v>
      </c>
      <c r="D1999" t="s">
        <v>25</v>
      </c>
      <c r="E1999">
        <v>1</v>
      </c>
      <c r="F1999" t="s">
        <v>32</v>
      </c>
      <c r="G1999">
        <v>5.99</v>
      </c>
      <c r="H1999">
        <v>5.59</v>
      </c>
      <c r="I1999" s="2" t="str">
        <f>_xlfn.XLOOKUP(F1999,DeparaIMG!D:D,DeparaIMG!F:F,,0)</f>
        <v>GCAP1,5.png</v>
      </c>
    </row>
    <row r="2000" spans="1:9" x14ac:dyDescent="0.35">
      <c r="A2000" s="2" t="s">
        <v>155</v>
      </c>
      <c r="B2000" t="s">
        <v>61</v>
      </c>
      <c r="C2000" t="s">
        <v>30</v>
      </c>
      <c r="D2000" t="s">
        <v>25</v>
      </c>
      <c r="E2000">
        <v>1</v>
      </c>
      <c r="F2000" t="s">
        <v>167</v>
      </c>
      <c r="G2000">
        <v>5.99</v>
      </c>
      <c r="H2000">
        <v>5.59</v>
      </c>
      <c r="I2000" s="2" t="str">
        <f>_xlfn.XLOOKUP(F2000,DeparaIMG!D:D,DeparaIMG!F:F,,0)</f>
        <v>GCADP1,5.png</v>
      </c>
    </row>
    <row r="2001" spans="1:9" x14ac:dyDescent="0.35">
      <c r="A2001" s="2" t="s">
        <v>155</v>
      </c>
      <c r="B2001" t="s">
        <v>61</v>
      </c>
      <c r="C2001" t="s">
        <v>30</v>
      </c>
      <c r="D2001" t="s">
        <v>25</v>
      </c>
      <c r="E2001">
        <v>1</v>
      </c>
      <c r="F2001" t="s">
        <v>33</v>
      </c>
      <c r="G2001">
        <v>7.79</v>
      </c>
      <c r="H2001">
        <v>7.39</v>
      </c>
      <c r="I2001" s="2" t="str">
        <f>_xlfn.XLOOKUP(F2001,DeparaIMG!D:D,DeparaIMG!F:F,,0)</f>
        <v>PCP2.png</v>
      </c>
    </row>
    <row r="2002" spans="1:9" x14ac:dyDescent="0.35">
      <c r="A2002" s="2" t="s">
        <v>155</v>
      </c>
      <c r="B2002" t="s">
        <v>61</v>
      </c>
      <c r="C2002" t="s">
        <v>30</v>
      </c>
      <c r="D2002" t="s">
        <v>25</v>
      </c>
      <c r="E2002">
        <v>1</v>
      </c>
      <c r="F2002" t="s">
        <v>168</v>
      </c>
      <c r="G2002">
        <v>7.79</v>
      </c>
      <c r="H2002">
        <v>7.39</v>
      </c>
      <c r="I2002" s="2" t="str">
        <f>_xlfn.XLOOKUP(F2002,DeparaIMG!D:D,DeparaIMG!F:F,,0)</f>
        <v>PCBP2.png</v>
      </c>
    </row>
    <row r="2003" spans="1:9" x14ac:dyDescent="0.35">
      <c r="A2003" s="2" t="s">
        <v>155</v>
      </c>
      <c r="B2003" t="s">
        <v>61</v>
      </c>
      <c r="C2003" t="s">
        <v>30</v>
      </c>
      <c r="D2003" t="s">
        <v>25</v>
      </c>
      <c r="E2003">
        <v>1</v>
      </c>
      <c r="F2003" t="s">
        <v>42</v>
      </c>
      <c r="G2003">
        <v>7.79</v>
      </c>
      <c r="H2003">
        <v>7.29</v>
      </c>
      <c r="I2003" s="2" t="str">
        <f>_xlfn.XLOOKUP(F2003,DeparaIMG!D:D,DeparaIMG!F:F,,0)</f>
        <v>H2OHP1,5.png</v>
      </c>
    </row>
    <row r="2004" spans="1:9" x14ac:dyDescent="0.35">
      <c r="A2004" s="2" t="s">
        <v>155</v>
      </c>
      <c r="B2004" t="s">
        <v>61</v>
      </c>
      <c r="C2004" t="s">
        <v>30</v>
      </c>
      <c r="D2004" t="s">
        <v>26</v>
      </c>
      <c r="E2004">
        <v>1</v>
      </c>
      <c r="F2004" t="s">
        <v>37</v>
      </c>
      <c r="G2004">
        <v>8.49</v>
      </c>
      <c r="H2004">
        <v>7.79</v>
      </c>
      <c r="I2004" s="2" t="str">
        <f>_xlfn.XLOOKUP(F2004,DeparaIMG!D:D,DeparaIMG!F:F,,0)</f>
        <v>GCAP2.png</v>
      </c>
    </row>
    <row r="2005" spans="1:9" x14ac:dyDescent="0.35">
      <c r="A2005" s="2" t="s">
        <v>155</v>
      </c>
      <c r="B2005" t="s">
        <v>61</v>
      </c>
      <c r="C2005" t="s">
        <v>30</v>
      </c>
      <c r="D2005" t="s">
        <v>26</v>
      </c>
      <c r="E2005">
        <v>1</v>
      </c>
      <c r="F2005" t="s">
        <v>169</v>
      </c>
      <c r="G2005">
        <v>8.49</v>
      </c>
      <c r="H2005">
        <v>7.79</v>
      </c>
      <c r="I2005" s="2" t="str">
        <f>_xlfn.XLOOKUP(F2005,DeparaIMG!D:D,DeparaIMG!F:F,,0)</f>
        <v>GCADP2.png</v>
      </c>
    </row>
    <row r="2006" spans="1:9" x14ac:dyDescent="0.35">
      <c r="A2006" s="2" t="s">
        <v>155</v>
      </c>
      <c r="B2006" t="s">
        <v>61</v>
      </c>
      <c r="C2006" t="s">
        <v>30</v>
      </c>
      <c r="D2006" t="s">
        <v>25</v>
      </c>
      <c r="E2006">
        <v>2</v>
      </c>
      <c r="F2006" t="s">
        <v>37</v>
      </c>
      <c r="G2006">
        <v>8.2899999999999991</v>
      </c>
      <c r="H2006">
        <v>7.589999999999999</v>
      </c>
      <c r="I2006" s="2" t="str">
        <f>_xlfn.XLOOKUP(F2006,DeparaIMG!D:D,DeparaIMG!F:F,,0)</f>
        <v>GCAP2.png</v>
      </c>
    </row>
    <row r="2007" spans="1:9" x14ac:dyDescent="0.35">
      <c r="A2007" s="2" t="s">
        <v>155</v>
      </c>
      <c r="B2007" t="s">
        <v>61</v>
      </c>
      <c r="C2007" t="s">
        <v>30</v>
      </c>
      <c r="D2007" t="s">
        <v>25</v>
      </c>
      <c r="E2007">
        <v>2</v>
      </c>
      <c r="F2007" t="s">
        <v>169</v>
      </c>
      <c r="G2007">
        <v>8.2899999999999991</v>
      </c>
      <c r="H2007">
        <v>7.589999999999999</v>
      </c>
      <c r="I2007" s="2" t="str">
        <f>_xlfn.XLOOKUP(F2007,DeparaIMG!D:D,DeparaIMG!F:F,,0)</f>
        <v>GCADP2.png</v>
      </c>
    </row>
    <row r="2008" spans="1:9" x14ac:dyDescent="0.35">
      <c r="A2008" s="2" t="s">
        <v>155</v>
      </c>
      <c r="B2008" t="s">
        <v>61</v>
      </c>
      <c r="C2008" t="s">
        <v>30</v>
      </c>
      <c r="D2008" t="s">
        <v>26</v>
      </c>
      <c r="E2008">
        <v>2</v>
      </c>
      <c r="F2008" t="s">
        <v>32</v>
      </c>
      <c r="G2008">
        <v>6.99</v>
      </c>
      <c r="H2008">
        <v>6.69</v>
      </c>
      <c r="I2008" s="2" t="str">
        <f>_xlfn.XLOOKUP(F2008,DeparaIMG!D:D,DeparaIMG!F:F,,0)</f>
        <v>GCAP1,5.png</v>
      </c>
    </row>
    <row r="2009" spans="1:9" x14ac:dyDescent="0.35">
      <c r="A2009" s="2" t="s">
        <v>155</v>
      </c>
      <c r="B2009" t="s">
        <v>61</v>
      </c>
      <c r="C2009" t="s">
        <v>30</v>
      </c>
      <c r="D2009" t="s">
        <v>26</v>
      </c>
      <c r="E2009">
        <v>2</v>
      </c>
      <c r="F2009" t="s">
        <v>167</v>
      </c>
      <c r="G2009">
        <v>6.99</v>
      </c>
      <c r="H2009">
        <v>6.69</v>
      </c>
      <c r="I2009" s="2" t="str">
        <f>_xlfn.XLOOKUP(F2009,DeparaIMG!D:D,DeparaIMG!F:F,,0)</f>
        <v>GCADP1,5.png</v>
      </c>
    </row>
    <row r="2010" spans="1:9" x14ac:dyDescent="0.35">
      <c r="A2010" s="2" t="s">
        <v>155</v>
      </c>
      <c r="B2010" t="s">
        <v>61</v>
      </c>
      <c r="C2010" t="s">
        <v>30</v>
      </c>
      <c r="D2010" t="s">
        <v>26</v>
      </c>
      <c r="E2010">
        <v>2</v>
      </c>
      <c r="F2010" t="s">
        <v>33</v>
      </c>
      <c r="G2010">
        <v>8.2899999999999991</v>
      </c>
      <c r="H2010">
        <v>7.89</v>
      </c>
      <c r="I2010" s="2" t="str">
        <f>_xlfn.XLOOKUP(F2010,DeparaIMG!D:D,DeparaIMG!F:F,,0)</f>
        <v>PCP2.png</v>
      </c>
    </row>
    <row r="2011" spans="1:9" x14ac:dyDescent="0.35">
      <c r="A2011" s="2" t="s">
        <v>155</v>
      </c>
      <c r="B2011" t="s">
        <v>61</v>
      </c>
      <c r="C2011" t="s">
        <v>30</v>
      </c>
      <c r="D2011" t="s">
        <v>26</v>
      </c>
      <c r="E2011">
        <v>2</v>
      </c>
      <c r="F2011" t="s">
        <v>168</v>
      </c>
      <c r="G2011">
        <v>8.2899999999999991</v>
      </c>
      <c r="H2011">
        <v>7.89</v>
      </c>
      <c r="I2011" s="2" t="str">
        <f>_xlfn.XLOOKUP(F2011,DeparaIMG!D:D,DeparaIMG!F:F,,0)</f>
        <v>PCBP2.png</v>
      </c>
    </row>
    <row r="2012" spans="1:9" x14ac:dyDescent="0.35">
      <c r="A2012" s="2" t="s">
        <v>155</v>
      </c>
      <c r="B2012" t="s">
        <v>61</v>
      </c>
      <c r="C2012" t="s">
        <v>30</v>
      </c>
      <c r="D2012" t="s">
        <v>26</v>
      </c>
      <c r="E2012">
        <v>2</v>
      </c>
      <c r="F2012" t="s">
        <v>42</v>
      </c>
      <c r="G2012">
        <v>7.99</v>
      </c>
      <c r="H2012">
        <v>7.49</v>
      </c>
      <c r="I2012" s="2" t="str">
        <f>_xlfn.XLOOKUP(F2012,DeparaIMG!D:D,DeparaIMG!F:F,,0)</f>
        <v>H2OHP1,5.png</v>
      </c>
    </row>
  </sheetData>
  <autoFilter ref="A1:J2012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4.5" x14ac:dyDescent="0.35"/>
  <cols>
    <col min="1" max="1" width="15.81640625" customWidth="1"/>
    <col min="2" max="2" width="8.453125" bestFit="1" customWidth="1"/>
  </cols>
  <sheetData>
    <row r="1" spans="1:2" x14ac:dyDescent="0.35">
      <c r="A1" s="1" t="s">
        <v>11</v>
      </c>
      <c r="B1" s="1" t="s">
        <v>12</v>
      </c>
    </row>
    <row r="2" spans="1:2" x14ac:dyDescent="0.35">
      <c r="A2" s="2" t="s">
        <v>13</v>
      </c>
      <c r="B2" s="2" t="s">
        <v>98</v>
      </c>
    </row>
    <row r="3" spans="1:2" x14ac:dyDescent="0.35">
      <c r="A3" s="2" t="s">
        <v>14</v>
      </c>
      <c r="B3" s="2">
        <v>2026</v>
      </c>
    </row>
    <row r="4" spans="1:2" x14ac:dyDescent="0.35">
      <c r="A4" s="2" t="s">
        <v>15</v>
      </c>
      <c r="B4" s="2" t="s">
        <v>28</v>
      </c>
    </row>
    <row r="5" spans="1:2" x14ac:dyDescent="0.35">
      <c r="A5" s="2" t="s">
        <v>16</v>
      </c>
      <c r="B5" s="2" t="s">
        <v>17</v>
      </c>
    </row>
    <row r="6" spans="1:2" x14ac:dyDescent="0.3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GEOVANA PEREIRA FERREIRA</cp:lastModifiedBy>
  <dcterms:created xsi:type="dcterms:W3CDTF">2015-06-05T18:17:20Z</dcterms:created>
  <dcterms:modified xsi:type="dcterms:W3CDTF">2026-10-23T13:09:16Z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