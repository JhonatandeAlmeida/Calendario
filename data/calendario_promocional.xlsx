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360" documentId="11_F25DC773A252ABDACC1048AAA9DA54025ADE5901" xr6:coauthVersionLast="47" xr6:coauthVersionMax="47" xr10:uidLastSave="{2D11228F-D49C-4E13-B53F-AD32E22B799A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0" hidden="1">DeparaIMG!$A$1:$D$37</definedName>
    <definedName name="_xlnm._FilterDatabase" localSheetId="3" hidden="1">PRODUTOS!$A$1:$I$496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96" i="3" l="1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D13" i="5"/>
  <c r="D12" i="5"/>
  <c r="D11" i="5"/>
  <c r="D10" i="5"/>
  <c r="D9" i="5"/>
  <c r="D8" i="5"/>
  <c r="D7" i="5"/>
  <c r="D6" i="5"/>
  <c r="D5" i="5"/>
  <c r="D4" i="5"/>
  <c r="D3" i="5"/>
  <c r="D2" i="5"/>
  <c r="I2" i="3" l="1"/>
</calcChain>
</file>

<file path=xl/sharedStrings.xml><?xml version="1.0" encoding="utf-8"?>
<sst xmlns="http://schemas.openxmlformats.org/spreadsheetml/2006/main" count="2743" uniqueCount="108">
  <si>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</si>
  <si>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</si>
  <si>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</si>
  <si>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</si>
  <si>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</si>
  <si>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</si>
  <si>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</si>
  <si>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</si>
  <si>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</si>
  <si>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</si>
  <si>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Imagem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</si>
  <si>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</si>
  <si>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</si>
  <si>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</si>
  <si>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</si>
  <si>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</si>
  <si>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</si>
  <si>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</si>
  <si>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</si>
  <si>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</si>
  <si>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</si>
  <si>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</si>
  <si>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</si>
  <si>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</si>
  <si>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</si>
  <si>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</si>
  <si>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</si>
  <si>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</si>
  <si>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</si>
  <si>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</si>
  <si>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</si>
  <si>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</si>
  <si>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</si>
  <si>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</si>
  <si>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</si>
  <si>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</si>
  <si>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</si>
  <si>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</si>
  <si>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</si>
  <si>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</si>
  <si>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</si>
  <si>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</si>
  <si>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</si>
  <si>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</si>
  <si>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</si>
  <si>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</si>
  <si>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</si>
  <si>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</si>
  <si>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</si>
  <si>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</si>
  <si>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</si>
  <si>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</si>
  <si>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</si>
  <si>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</si>
  <si>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</si>
  <si>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</si>
  <si>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</si>
  <si>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</si>
  <si>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</si>
  <si>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</si>
  <si>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</si>
  <si>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</si>
  <si>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</si>
  <si>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</si>
  <si>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</si>
  <si>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</si>
  <si>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</si>
  <si>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</si>
  <si>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</si>
  <si>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</si>
  <si>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</si>
  <si>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</si>
  <si>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</si>
  <si>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</si>
  <si>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</si>
  <si>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</si>
  <si>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</si>
  <si>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</si>
  <si>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</si>
  <si>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</si>
  <si>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</si>
  <si>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</si>
  <si>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</si>
  <si>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</si>
  <si>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</si>
  <si>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</si>
  <si>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</si>
  <si>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</si>
  <si>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</si>
  <si>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</si>
  <si>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</si>
  <si>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</si>
  <si>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</si>
  <si>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</si>
  <si>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PA</t>
  </si>
  <si>
    <t>RR</t>
  </si>
  <si>
    <t>TO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</si>
  <si>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</si>
  <si>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</si>
  <si>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</si>
  <si>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</si>
  <si>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</si>
  <si>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</si>
  <si>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</si>
  <si>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</si>
  <si>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</si>
  <si>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1Q</t>
  </si>
  <si>
    <t>2Q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</si>
</sst>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37"/>
  <sheetViews>
    <sheetView workbookViewId="0">
      <selection activeCell="C1" sqref="C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56</v>
      </c>
      <c r="D1" s="4" t="s">
        <v>57</v>
      </c>
    </row>
    <row r="2" spans="1:4" x14ac:dyDescent="0.25">
      <c r="A2" t="s">
        <v>63</v>
      </c>
      <c r="B2" t="s">
        <v>32</v>
      </c>
      <c r="C2" t="s">
        <v>44</v>
      </c>
      <c r="D2" t="str">
        <f>C2&amp;".png"</f>
        <v>GCAP1.png</v>
      </c>
    </row>
    <row r="3" spans="1:4" x14ac:dyDescent="0.25">
      <c r="A3" t="s">
        <v>63</v>
      </c>
      <c r="B3" t="s">
        <v>33</v>
      </c>
      <c r="C3" t="s">
        <v>49</v>
      </c>
      <c r="D3" t="str">
        <f t="shared" ref="D3:D37" si="0">C3&amp;".png"</f>
        <v>GCAP1,5.png</v>
      </c>
    </row>
    <row r="4" spans="1:4" x14ac:dyDescent="0.25">
      <c r="A4" t="s">
        <v>63</v>
      </c>
      <c r="B4" t="s">
        <v>34</v>
      </c>
      <c r="C4" t="s">
        <v>45</v>
      </c>
      <c r="D4" t="str">
        <f t="shared" si="0"/>
        <v>PCP2.png</v>
      </c>
    </row>
    <row r="5" spans="1:4" x14ac:dyDescent="0.25">
      <c r="A5" t="s">
        <v>63</v>
      </c>
      <c r="B5" t="s">
        <v>35</v>
      </c>
      <c r="C5" t="s">
        <v>46</v>
      </c>
      <c r="D5" t="str">
        <f t="shared" si="0"/>
        <v>BAREP2.png</v>
      </c>
    </row>
    <row r="6" spans="1:4" x14ac:dyDescent="0.25">
      <c r="A6" t="s">
        <v>63</v>
      </c>
      <c r="B6" t="s">
        <v>36</v>
      </c>
      <c r="C6" t="s">
        <v>50</v>
      </c>
      <c r="D6" t="str">
        <f t="shared" si="0"/>
        <v>H2OHP500.png</v>
      </c>
    </row>
    <row r="7" spans="1:4" x14ac:dyDescent="0.25">
      <c r="A7" t="s">
        <v>63</v>
      </c>
      <c r="B7" t="s">
        <v>37</v>
      </c>
      <c r="C7" t="s">
        <v>47</v>
      </c>
      <c r="D7" t="str">
        <f t="shared" si="0"/>
        <v>SUKP2.png</v>
      </c>
    </row>
    <row r="8" spans="1:4" x14ac:dyDescent="0.25">
      <c r="A8" t="s">
        <v>63</v>
      </c>
      <c r="B8" t="s">
        <v>38</v>
      </c>
      <c r="C8" t="s">
        <v>48</v>
      </c>
      <c r="D8" t="str">
        <f t="shared" si="0"/>
        <v>GCAP2.png</v>
      </c>
    </row>
    <row r="9" spans="1:4" x14ac:dyDescent="0.25">
      <c r="A9" t="s">
        <v>63</v>
      </c>
      <c r="B9" t="s">
        <v>39</v>
      </c>
      <c r="C9" t="s">
        <v>51</v>
      </c>
      <c r="D9" t="str">
        <f t="shared" si="0"/>
        <v>GCA350.png</v>
      </c>
    </row>
    <row r="10" spans="1:4" x14ac:dyDescent="0.25">
      <c r="A10" t="s">
        <v>63</v>
      </c>
      <c r="B10" t="s">
        <v>40</v>
      </c>
      <c r="C10" t="s">
        <v>54</v>
      </c>
      <c r="D10" t="str">
        <f t="shared" si="0"/>
        <v>PCB350.png</v>
      </c>
    </row>
    <row r="11" spans="1:4" x14ac:dyDescent="0.25">
      <c r="A11" t="s">
        <v>63</v>
      </c>
      <c r="B11" t="s">
        <v>41</v>
      </c>
      <c r="C11" t="s">
        <v>52</v>
      </c>
      <c r="D11" t="str">
        <f t="shared" si="0"/>
        <v>GCA269.png</v>
      </c>
    </row>
    <row r="12" spans="1:4" x14ac:dyDescent="0.25">
      <c r="A12" t="s">
        <v>63</v>
      </c>
      <c r="B12" t="s">
        <v>42</v>
      </c>
      <c r="C12" t="s">
        <v>53</v>
      </c>
      <c r="D12" t="str">
        <f t="shared" si="0"/>
        <v>PC269.png</v>
      </c>
    </row>
    <row r="13" spans="1:4" x14ac:dyDescent="0.25">
      <c r="A13" t="s">
        <v>63</v>
      </c>
      <c r="B13" t="s">
        <v>43</v>
      </c>
      <c r="C13" t="s">
        <v>55</v>
      </c>
      <c r="D13" t="str">
        <f t="shared" si="0"/>
        <v>H2OHP1,5.png</v>
      </c>
    </row>
    <row r="14" spans="1:4" x14ac:dyDescent="0.25">
      <c r="A14" t="s">
        <v>64</v>
      </c>
      <c r="B14" t="s">
        <v>68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64</v>
      </c>
      <c r="B15" t="s">
        <v>65</v>
      </c>
      <c r="C15" t="str">
        <f t="shared" ref="C15:C36" si="1">SUBSTITUTE(B15," ","")</f>
        <v>SKZERO269</v>
      </c>
      <c r="D15" t="str">
        <f t="shared" si="0"/>
        <v>SKZERO269.png</v>
      </c>
    </row>
    <row r="16" spans="1:4" x14ac:dyDescent="0.25">
      <c r="A16" t="s">
        <v>64</v>
      </c>
      <c r="B16" t="s">
        <v>69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64</v>
      </c>
      <c r="B17" t="s">
        <v>70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64</v>
      </c>
      <c r="B18" t="s">
        <v>71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64</v>
      </c>
      <c r="B19" t="s">
        <v>72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64</v>
      </c>
      <c r="B20" t="s">
        <v>73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64</v>
      </c>
      <c r="B21" t="s">
        <v>66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64</v>
      </c>
      <c r="B22" t="s">
        <v>74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64</v>
      </c>
      <c r="B23" t="s">
        <v>75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64</v>
      </c>
      <c r="B24" t="s">
        <v>76</v>
      </c>
      <c r="C24" t="s">
        <v>100</v>
      </c>
      <c r="D24" t="str">
        <f t="shared" si="0"/>
        <v>BUDZERO350.png</v>
      </c>
    </row>
    <row r="25" spans="1:4" x14ac:dyDescent="0.25">
      <c r="A25" t="s">
        <v>64</v>
      </c>
      <c r="B25" t="s">
        <v>77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64</v>
      </c>
      <c r="B26" t="s">
        <v>78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64</v>
      </c>
      <c r="B27" t="s">
        <v>79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64</v>
      </c>
      <c r="B28" t="s">
        <v>67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64</v>
      </c>
      <c r="B29" t="s">
        <v>80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64</v>
      </c>
      <c r="B30" t="s">
        <v>81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64</v>
      </c>
      <c r="B31" t="s">
        <v>82</v>
      </c>
      <c r="C31" t="s">
        <v>99</v>
      </c>
      <c r="D31" t="str">
        <f t="shared" si="0"/>
        <v>CORCERO350.png</v>
      </c>
    </row>
    <row r="32" spans="1:4" x14ac:dyDescent="0.25">
      <c r="A32" t="s">
        <v>64</v>
      </c>
      <c r="B32" t="s">
        <v>83</v>
      </c>
      <c r="C32" t="s">
        <v>97</v>
      </c>
      <c r="D32" t="str">
        <f t="shared" si="0"/>
        <v>BUDZEROLN.png</v>
      </c>
    </row>
    <row r="33" spans="1:4" x14ac:dyDescent="0.25">
      <c r="A33" t="s">
        <v>64</v>
      </c>
      <c r="B33" t="s">
        <v>84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64</v>
      </c>
      <c r="B34" t="s">
        <v>85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64</v>
      </c>
      <c r="B35" t="s">
        <v>86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64</v>
      </c>
      <c r="B36" t="s">
        <v>87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64</v>
      </c>
      <c r="B37" t="s">
        <v>88</v>
      </c>
      <c r="C37" t="s">
        <v>98</v>
      </c>
      <c r="D37" t="str">
        <f t="shared" si="0"/>
        <v>CORCEROLN.png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5"/>
  <sheetViews>
    <sheetView workbookViewId="0">
      <selection activeCell="B2" sqref="B2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21</v>
      </c>
    </row>
    <row r="3" spans="1:2" x14ac:dyDescent="0.25">
      <c r="A3" s="3">
        <f>A2+1</f>
        <v>46267</v>
      </c>
      <c r="B3" s="2" t="s">
        <v>21</v>
      </c>
    </row>
    <row r="4" spans="1:2" x14ac:dyDescent="0.25">
      <c r="A4" s="3">
        <f t="shared" ref="A4:A35" si="0">A3+1</f>
        <v>46268</v>
      </c>
      <c r="B4" s="2" t="s">
        <v>21</v>
      </c>
    </row>
    <row r="5" spans="1:2" x14ac:dyDescent="0.25">
      <c r="A5" s="3">
        <f t="shared" si="0"/>
        <v>46269</v>
      </c>
      <c r="B5" s="2" t="s">
        <v>21</v>
      </c>
    </row>
    <row r="6" spans="1:2" x14ac:dyDescent="0.25">
      <c r="A6" s="3">
        <f t="shared" si="0"/>
        <v>46270</v>
      </c>
      <c r="B6" s="2" t="s">
        <v>21</v>
      </c>
    </row>
    <row r="7" spans="1:2" x14ac:dyDescent="0.25">
      <c r="A7" s="3">
        <f t="shared" si="0"/>
        <v>46271</v>
      </c>
      <c r="B7" s="2" t="s">
        <v>21</v>
      </c>
    </row>
    <row r="8" spans="1:2" x14ac:dyDescent="0.25">
      <c r="A8" s="3">
        <f t="shared" si="0"/>
        <v>46272</v>
      </c>
      <c r="B8" s="2" t="s">
        <v>21</v>
      </c>
    </row>
    <row r="9" spans="1:2" x14ac:dyDescent="0.25">
      <c r="A9" s="3">
        <f t="shared" si="0"/>
        <v>46273</v>
      </c>
      <c r="B9" s="2" t="s">
        <v>21</v>
      </c>
    </row>
    <row r="10" spans="1:2" x14ac:dyDescent="0.25">
      <c r="A10" s="3">
        <f t="shared" si="0"/>
        <v>46274</v>
      </c>
      <c r="B10" s="2" t="s">
        <v>21</v>
      </c>
    </row>
    <row r="11" spans="1:2" x14ac:dyDescent="0.25">
      <c r="A11" s="3">
        <f t="shared" si="0"/>
        <v>46275</v>
      </c>
      <c r="B11" s="2" t="s">
        <v>21</v>
      </c>
    </row>
    <row r="12" spans="1:2" x14ac:dyDescent="0.25">
      <c r="A12" s="3">
        <f t="shared" si="0"/>
        <v>46276</v>
      </c>
      <c r="B12" s="2" t="s">
        <v>21</v>
      </c>
    </row>
    <row r="13" spans="1:2" x14ac:dyDescent="0.25">
      <c r="A13" s="3">
        <f t="shared" si="0"/>
        <v>46277</v>
      </c>
      <c r="B13" s="2" t="s">
        <v>21</v>
      </c>
    </row>
    <row r="14" spans="1:2" x14ac:dyDescent="0.25">
      <c r="A14" s="3">
        <f t="shared" si="0"/>
        <v>46278</v>
      </c>
      <c r="B14" s="2" t="s">
        <v>21</v>
      </c>
    </row>
    <row r="15" spans="1:2" x14ac:dyDescent="0.25">
      <c r="A15" s="3">
        <f t="shared" si="0"/>
        <v>46279</v>
      </c>
      <c r="B15" s="2" t="s">
        <v>22</v>
      </c>
    </row>
    <row r="16" spans="1:2" x14ac:dyDescent="0.25">
      <c r="A16" s="3">
        <f t="shared" si="0"/>
        <v>46280</v>
      </c>
      <c r="B16" s="2" t="s">
        <v>22</v>
      </c>
    </row>
    <row r="17" spans="1:2" x14ac:dyDescent="0.25">
      <c r="A17" s="3">
        <f t="shared" si="0"/>
        <v>46281</v>
      </c>
      <c r="B17" s="2" t="s">
        <v>22</v>
      </c>
    </row>
    <row r="18" spans="1:2" x14ac:dyDescent="0.25">
      <c r="A18" s="3">
        <f t="shared" si="0"/>
        <v>46282</v>
      </c>
      <c r="B18" s="2" t="s">
        <v>22</v>
      </c>
    </row>
    <row r="19" spans="1:2" x14ac:dyDescent="0.25">
      <c r="A19" s="3">
        <f t="shared" si="0"/>
        <v>46283</v>
      </c>
      <c r="B19" s="2" t="s">
        <v>22</v>
      </c>
    </row>
    <row r="20" spans="1:2" x14ac:dyDescent="0.25">
      <c r="A20" s="3">
        <f t="shared" si="0"/>
        <v>46284</v>
      </c>
      <c r="B20" s="2" t="s">
        <v>22</v>
      </c>
    </row>
    <row r="21" spans="1:2" x14ac:dyDescent="0.25">
      <c r="A21" s="3">
        <f t="shared" si="0"/>
        <v>46285</v>
      </c>
      <c r="B21" s="2" t="s">
        <v>22</v>
      </c>
    </row>
    <row r="22" spans="1:2" x14ac:dyDescent="0.25">
      <c r="A22" s="3">
        <f t="shared" si="0"/>
        <v>46286</v>
      </c>
      <c r="B22" s="2" t="s">
        <v>22</v>
      </c>
    </row>
    <row r="23" spans="1:2" x14ac:dyDescent="0.25">
      <c r="A23" s="3">
        <f t="shared" si="0"/>
        <v>46287</v>
      </c>
      <c r="B23" s="2" t="s">
        <v>22</v>
      </c>
    </row>
    <row r="24" spans="1:2" x14ac:dyDescent="0.25">
      <c r="A24" s="3">
        <f t="shared" si="0"/>
        <v>46288</v>
      </c>
      <c r="B24" s="2" t="s">
        <v>22</v>
      </c>
    </row>
    <row r="25" spans="1:2" x14ac:dyDescent="0.25">
      <c r="A25" s="3">
        <f t="shared" si="0"/>
        <v>46289</v>
      </c>
      <c r="B25" s="2" t="s">
        <v>22</v>
      </c>
    </row>
    <row r="26" spans="1:2" x14ac:dyDescent="0.25">
      <c r="A26" s="3">
        <f t="shared" si="0"/>
        <v>46290</v>
      </c>
      <c r="B26" s="2" t="s">
        <v>22</v>
      </c>
    </row>
    <row r="27" spans="1:2" x14ac:dyDescent="0.25">
      <c r="A27" s="3">
        <f t="shared" si="0"/>
        <v>46291</v>
      </c>
      <c r="B27" s="2" t="s">
        <v>22</v>
      </c>
    </row>
    <row r="28" spans="1:2" x14ac:dyDescent="0.25">
      <c r="A28" s="3">
        <f t="shared" si="0"/>
        <v>46292</v>
      </c>
      <c r="B28" s="2" t="s">
        <v>22</v>
      </c>
    </row>
    <row r="29" spans="1:2" x14ac:dyDescent="0.25">
      <c r="A29" s="3">
        <f t="shared" si="0"/>
        <v>46293</v>
      </c>
      <c r="B29" s="2" t="s">
        <v>22</v>
      </c>
    </row>
    <row r="30" spans="1:2" x14ac:dyDescent="0.25">
      <c r="A30" s="3">
        <f t="shared" si="0"/>
        <v>46294</v>
      </c>
      <c r="B30" s="2" t="s">
        <v>22</v>
      </c>
    </row>
    <row r="31" spans="1:2" x14ac:dyDescent="0.25">
      <c r="A31" s="3">
        <f t="shared" si="0"/>
        <v>46295</v>
      </c>
      <c r="B31" s="2" t="s">
        <v>22</v>
      </c>
    </row>
    <row r="32" spans="1:2" x14ac:dyDescent="0.25">
      <c r="A32" s="3">
        <f t="shared" si="0"/>
        <v>46296</v>
      </c>
      <c r="B32" s="2" t="s">
        <v>22</v>
      </c>
    </row>
    <row r="33" spans="1:2" x14ac:dyDescent="0.25">
      <c r="A33" s="3">
        <f t="shared" si="0"/>
        <v>46297</v>
      </c>
      <c r="B33" s="2" t="s">
        <v>22</v>
      </c>
    </row>
    <row r="34" spans="1:2" x14ac:dyDescent="0.25">
      <c r="A34" s="3">
        <f t="shared" si="0"/>
        <v>46298</v>
      </c>
      <c r="B34" s="2" t="s">
        <v>22</v>
      </c>
    </row>
    <row r="35" spans="1:2" x14ac:dyDescent="0.25">
      <c r="A35" s="3">
        <f t="shared" si="0"/>
        <v>46299</v>
      </c>
      <c r="B35" s="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14"/>
  <sheetViews>
    <sheetView workbookViewId="0">
      <selection activeCell="D13" sqref="D13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11</v>
      </c>
      <c r="B2" s="2" t="s">
        <v>63</v>
      </c>
      <c r="C2" s="2" t="s">
        <v>24</v>
      </c>
      <c r="D2" s="2" t="s">
        <v>58</v>
      </c>
    </row>
    <row r="3" spans="1:4" x14ac:dyDescent="0.25">
      <c r="A3" s="2" t="s">
        <v>11</v>
      </c>
      <c r="B3" s="2" t="s">
        <v>63</v>
      </c>
      <c r="C3" s="2" t="s">
        <v>24</v>
      </c>
      <c r="D3" s="2" t="s">
        <v>60</v>
      </c>
    </row>
    <row r="4" spans="1:4" x14ac:dyDescent="0.25">
      <c r="A4" s="2" t="s">
        <v>11</v>
      </c>
      <c r="B4" s="2" t="s">
        <v>63</v>
      </c>
      <c r="C4" s="2" t="s">
        <v>24</v>
      </c>
      <c r="D4" s="2" t="s">
        <v>59</v>
      </c>
    </row>
    <row r="5" spans="1:4" x14ac:dyDescent="0.25">
      <c r="A5" s="2" t="s">
        <v>11</v>
      </c>
      <c r="B5" s="2" t="s">
        <v>63</v>
      </c>
      <c r="C5" s="2" t="s">
        <v>24</v>
      </c>
      <c r="D5" s="2" t="s">
        <v>61</v>
      </c>
    </row>
    <row r="6" spans="1:4" x14ac:dyDescent="0.25">
      <c r="A6" s="2" t="s">
        <v>11</v>
      </c>
      <c r="B6" s="2" t="s">
        <v>63</v>
      </c>
      <c r="C6" s="2" t="s">
        <v>25</v>
      </c>
      <c r="D6" s="2" t="s">
        <v>58</v>
      </c>
    </row>
    <row r="7" spans="1:4" x14ac:dyDescent="0.25">
      <c r="A7" s="2" t="s">
        <v>11</v>
      </c>
      <c r="B7" s="2" t="s">
        <v>63</v>
      </c>
      <c r="C7" s="2" t="s">
        <v>25</v>
      </c>
      <c r="D7" s="2" t="s">
        <v>60</v>
      </c>
    </row>
    <row r="8" spans="1:4" x14ac:dyDescent="0.25">
      <c r="A8" s="2" t="s">
        <v>11</v>
      </c>
      <c r="B8" s="2" t="s">
        <v>63</v>
      </c>
      <c r="C8" s="2" t="s">
        <v>25</v>
      </c>
      <c r="D8" s="2" t="s">
        <v>62</v>
      </c>
    </row>
    <row r="9" spans="1:4" x14ac:dyDescent="0.25">
      <c r="A9" s="2" t="s">
        <v>11</v>
      </c>
      <c r="B9" s="2" t="s">
        <v>64</v>
      </c>
      <c r="C9" s="2" t="s">
        <v>24</v>
      </c>
      <c r="D9" s="2" t="s">
        <v>60</v>
      </c>
    </row>
    <row r="10" spans="1:4" x14ac:dyDescent="0.25">
      <c r="A10" s="2" t="s">
        <v>11</v>
      </c>
      <c r="B10" s="2" t="s">
        <v>64</v>
      </c>
      <c r="C10" s="2" t="s">
        <v>24</v>
      </c>
      <c r="D10" s="2" t="s">
        <v>101</v>
      </c>
    </row>
    <row r="11" spans="1:4" x14ac:dyDescent="0.25">
      <c r="A11" s="2" t="s">
        <v>11</v>
      </c>
      <c r="B11" s="2" t="s">
        <v>64</v>
      </c>
      <c r="C11" s="2" t="s">
        <v>24</v>
      </c>
      <c r="D11" s="2" t="s">
        <v>103</v>
      </c>
    </row>
    <row r="12" spans="1:4" x14ac:dyDescent="0.25">
      <c r="A12" s="2" t="s">
        <v>11</v>
      </c>
      <c r="B12" s="2" t="s">
        <v>64</v>
      </c>
      <c r="C12" s="2" t="s">
        <v>24</v>
      </c>
      <c r="D12" s="2" t="s">
        <v>104</v>
      </c>
    </row>
    <row r="13" spans="1:4" x14ac:dyDescent="0.25">
      <c r="A13" s="2" t="s">
        <v>11</v>
      </c>
      <c r="B13" s="2" t="s">
        <v>64</v>
      </c>
      <c r="C13" s="2" t="s">
        <v>25</v>
      </c>
      <c r="D13" s="2" t="s">
        <v>60</v>
      </c>
    </row>
    <row r="14" spans="1:4" x14ac:dyDescent="0.25">
      <c r="A14" s="2" t="s">
        <v>11</v>
      </c>
      <c r="B14" s="2" t="s">
        <v>64</v>
      </c>
      <c r="C14" s="2" t="s">
        <v>25</v>
      </c>
      <c r="D14" s="2" t="s">
        <v>102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496"/>
  <sheetViews>
    <sheetView tabSelected="1" workbookViewId="0">
      <selection activeCell="F1" sqref="F1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23</v>
      </c>
      <c r="F1" s="1" t="s">
        <v>7</v>
      </c>
      <c r="G1" s="1" t="s">
        <v>8</v>
      </c>
      <c r="H1" s="1" t="s">
        <v>9</v>
      </c>
      <c r="I1" s="1" t="s">
        <v>10</v>
      </c>
    </row>
    <row r="2" spans="1:9" x14ac:dyDescent="0.25">
      <c r="A2" s="2" t="s">
        <v>11</v>
      </c>
      <c r="B2" s="2" t="s">
        <v>63</v>
      </c>
      <c r="C2" s="2" t="s">
        <v>4</v>
      </c>
      <c r="D2" s="2" t="s">
        <v>26</v>
      </c>
      <c r="E2" s="2">
        <v>1</v>
      </c>
      <c r="F2" s="2" t="s">
        <v>32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11</v>
      </c>
      <c r="B3" s="2" t="s">
        <v>63</v>
      </c>
      <c r="C3" s="2" t="s">
        <v>28</v>
      </c>
      <c r="D3" s="2" t="s">
        <v>26</v>
      </c>
      <c r="E3" s="2">
        <v>1</v>
      </c>
      <c r="F3" s="2" t="s">
        <v>33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11</v>
      </c>
      <c r="B4" s="2" t="s">
        <v>63</v>
      </c>
      <c r="C4" s="2" t="s">
        <v>29</v>
      </c>
      <c r="D4" s="2" t="s">
        <v>26</v>
      </c>
      <c r="E4" s="2">
        <v>1</v>
      </c>
      <c r="F4" s="2" t="s">
        <v>33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11</v>
      </c>
      <c r="B5" s="2" t="s">
        <v>63</v>
      </c>
      <c r="C5" s="2" t="s">
        <v>30</v>
      </c>
      <c r="D5" s="2" t="s">
        <v>26</v>
      </c>
      <c r="E5" s="2">
        <v>1</v>
      </c>
      <c r="F5" s="2" t="s">
        <v>33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11</v>
      </c>
      <c r="B6" s="2" t="s">
        <v>63</v>
      </c>
      <c r="C6" s="2" t="s">
        <v>31</v>
      </c>
      <c r="D6" s="2" t="s">
        <v>26</v>
      </c>
      <c r="E6" s="2">
        <v>1</v>
      </c>
      <c r="F6" s="2" t="s">
        <v>33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11</v>
      </c>
      <c r="B7" s="2" t="s">
        <v>63</v>
      </c>
      <c r="C7" t="s">
        <v>4</v>
      </c>
      <c r="D7" t="s">
        <v>26</v>
      </c>
      <c r="E7" s="2">
        <v>1</v>
      </c>
      <c r="F7" t="s">
        <v>34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11</v>
      </c>
      <c r="B8" s="2" t="s">
        <v>63</v>
      </c>
      <c r="C8" t="s">
        <v>28</v>
      </c>
      <c r="D8" t="s">
        <v>26</v>
      </c>
      <c r="E8" s="2">
        <v>1</v>
      </c>
      <c r="F8" t="s">
        <v>34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11</v>
      </c>
      <c r="B9" s="2" t="s">
        <v>63</v>
      </c>
      <c r="C9" t="s">
        <v>29</v>
      </c>
      <c r="D9" t="s">
        <v>26</v>
      </c>
      <c r="E9" s="2">
        <v>1</v>
      </c>
      <c r="F9" t="s">
        <v>34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11</v>
      </c>
      <c r="B10" s="2" t="s">
        <v>63</v>
      </c>
      <c r="C10" t="s">
        <v>30</v>
      </c>
      <c r="D10" t="s">
        <v>26</v>
      </c>
      <c r="E10" s="2">
        <v>1</v>
      </c>
      <c r="F10" t="s">
        <v>34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11</v>
      </c>
      <c r="B11" s="2" t="s">
        <v>63</v>
      </c>
      <c r="C11" t="s">
        <v>31</v>
      </c>
      <c r="D11" t="s">
        <v>26</v>
      </c>
      <c r="E11" s="2">
        <v>1</v>
      </c>
      <c r="F11" t="s">
        <v>34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11</v>
      </c>
      <c r="B12" s="2" t="s">
        <v>63</v>
      </c>
      <c r="C12" t="s">
        <v>4</v>
      </c>
      <c r="D12" t="s">
        <v>26</v>
      </c>
      <c r="E12" s="2">
        <v>1</v>
      </c>
      <c r="F12" t="s">
        <v>35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11</v>
      </c>
      <c r="B13" s="2" t="s">
        <v>63</v>
      </c>
      <c r="C13" t="s">
        <v>28</v>
      </c>
      <c r="D13" t="s">
        <v>26</v>
      </c>
      <c r="E13" s="2">
        <v>1</v>
      </c>
      <c r="F13" t="s">
        <v>36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11</v>
      </c>
      <c r="B14" s="2" t="s">
        <v>63</v>
      </c>
      <c r="C14" t="s">
        <v>29</v>
      </c>
      <c r="D14" t="s">
        <v>26</v>
      </c>
      <c r="E14" s="2">
        <v>1</v>
      </c>
      <c r="F14" t="s">
        <v>36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11</v>
      </c>
      <c r="B15" s="2" t="s">
        <v>63</v>
      </c>
      <c r="C15" t="s">
        <v>30</v>
      </c>
      <c r="D15" t="s">
        <v>26</v>
      </c>
      <c r="E15" s="2">
        <v>1</v>
      </c>
      <c r="F15" t="s">
        <v>36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11</v>
      </c>
      <c r="B16" s="2" t="s">
        <v>63</v>
      </c>
      <c r="C16" t="s">
        <v>31</v>
      </c>
      <c r="D16" t="s">
        <v>26</v>
      </c>
      <c r="E16" s="2">
        <v>1</v>
      </c>
      <c r="F16" t="s">
        <v>36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11</v>
      </c>
      <c r="B17" s="2" t="s">
        <v>63</v>
      </c>
      <c r="C17" t="s">
        <v>4</v>
      </c>
      <c r="D17" t="s">
        <v>26</v>
      </c>
      <c r="E17" s="2">
        <v>1</v>
      </c>
      <c r="F17" t="s">
        <v>37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11</v>
      </c>
      <c r="B18" s="2" t="s">
        <v>63</v>
      </c>
      <c r="C18" t="s">
        <v>28</v>
      </c>
      <c r="D18" t="s">
        <v>26</v>
      </c>
      <c r="E18" s="2">
        <v>1</v>
      </c>
      <c r="F18" t="s">
        <v>37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11</v>
      </c>
      <c r="B19" s="2" t="s">
        <v>63</v>
      </c>
      <c r="C19" t="s">
        <v>29</v>
      </c>
      <c r="D19" t="s">
        <v>26</v>
      </c>
      <c r="E19" s="2">
        <v>1</v>
      </c>
      <c r="F19" t="s">
        <v>37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11</v>
      </c>
      <c r="B20" s="2" t="s">
        <v>63</v>
      </c>
      <c r="C20" t="s">
        <v>30</v>
      </c>
      <c r="D20" t="s">
        <v>26</v>
      </c>
      <c r="E20" s="2">
        <v>1</v>
      </c>
      <c r="F20" t="s">
        <v>37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11</v>
      </c>
      <c r="B21" s="2" t="s">
        <v>63</v>
      </c>
      <c r="C21" t="s">
        <v>31</v>
      </c>
      <c r="D21" t="s">
        <v>26</v>
      </c>
      <c r="E21" s="2">
        <v>1</v>
      </c>
      <c r="F21" t="s">
        <v>37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11</v>
      </c>
      <c r="B22" s="2" t="s">
        <v>63</v>
      </c>
      <c r="C22" t="s">
        <v>4</v>
      </c>
      <c r="D22" t="s">
        <v>27</v>
      </c>
      <c r="E22" s="2">
        <v>1</v>
      </c>
      <c r="F22" t="s">
        <v>38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11</v>
      </c>
      <c r="B23" s="2" t="s">
        <v>63</v>
      </c>
      <c r="C23" t="s">
        <v>28</v>
      </c>
      <c r="D23" t="s">
        <v>27</v>
      </c>
      <c r="E23" s="2">
        <v>1</v>
      </c>
      <c r="F23" t="s">
        <v>38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11</v>
      </c>
      <c r="B24" s="2" t="s">
        <v>63</v>
      </c>
      <c r="C24" t="s">
        <v>29</v>
      </c>
      <c r="D24" t="s">
        <v>27</v>
      </c>
      <c r="E24" s="2">
        <v>1</v>
      </c>
      <c r="F24" t="s">
        <v>38</v>
      </c>
      <c r="G24">
        <v>8.2899999999999991</v>
      </c>
      <c r="H24">
        <v>7.7899999999999991</v>
      </c>
      <c r="I24" s="2" t="str">
        <f>_xlfn.XLOOKUP(F24,DeparaIMG!B:B,DeparaIMG!D:D,,0)</f>
        <v>GCAP2.png</v>
      </c>
    </row>
    <row r="25" spans="1:9" x14ac:dyDescent="0.25">
      <c r="A25" s="2" t="s">
        <v>11</v>
      </c>
      <c r="B25" s="2" t="s">
        <v>63</v>
      </c>
      <c r="C25" t="s">
        <v>30</v>
      </c>
      <c r="D25" t="s">
        <v>27</v>
      </c>
      <c r="E25" s="2">
        <v>1</v>
      </c>
      <c r="F25" t="s">
        <v>38</v>
      </c>
      <c r="G25">
        <v>8.2899999999999991</v>
      </c>
      <c r="H25">
        <v>7.7899999999999991</v>
      </c>
      <c r="I25" s="2" t="str">
        <f>_xlfn.XLOOKUP(F25,DeparaIMG!B:B,DeparaIMG!D:D,,0)</f>
        <v>GCAP2.png</v>
      </c>
    </row>
    <row r="26" spans="1:9" x14ac:dyDescent="0.25">
      <c r="A26" s="2" t="s">
        <v>11</v>
      </c>
      <c r="B26" s="2" t="s">
        <v>63</v>
      </c>
      <c r="C26" t="s">
        <v>31</v>
      </c>
      <c r="D26" t="s">
        <v>27</v>
      </c>
      <c r="E26" s="2">
        <v>1</v>
      </c>
      <c r="F26" t="s">
        <v>38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11</v>
      </c>
      <c r="B27" s="2" t="s">
        <v>63</v>
      </c>
      <c r="C27" t="s">
        <v>4</v>
      </c>
      <c r="D27" t="s">
        <v>27</v>
      </c>
      <c r="E27" s="2">
        <v>1</v>
      </c>
      <c r="F27" t="s">
        <v>39</v>
      </c>
      <c r="G27">
        <v>3.49</v>
      </c>
      <c r="H27">
        <v>3.1900000000000004</v>
      </c>
      <c r="I27" s="2" t="str">
        <f>_xlfn.XLOOKUP(F27,DeparaIMG!B:B,DeparaIMG!D:D,,0)</f>
        <v>GCA350.png</v>
      </c>
    </row>
    <row r="28" spans="1:9" x14ac:dyDescent="0.25">
      <c r="A28" s="2" t="s">
        <v>11</v>
      </c>
      <c r="B28" s="2" t="s">
        <v>63</v>
      </c>
      <c r="C28" t="s">
        <v>28</v>
      </c>
      <c r="D28" t="s">
        <v>27</v>
      </c>
      <c r="E28" s="2">
        <v>1</v>
      </c>
      <c r="F28" t="s">
        <v>39</v>
      </c>
      <c r="G28">
        <v>3.49</v>
      </c>
      <c r="H28">
        <v>3.1900000000000004</v>
      </c>
      <c r="I28" s="2" t="str">
        <f>_xlfn.XLOOKUP(F28,DeparaIMG!B:B,DeparaIMG!D:D,,0)</f>
        <v>GCA350.png</v>
      </c>
    </row>
    <row r="29" spans="1:9" x14ac:dyDescent="0.25">
      <c r="A29" s="2" t="s">
        <v>11</v>
      </c>
      <c r="B29" s="2" t="s">
        <v>63</v>
      </c>
      <c r="C29" t="s">
        <v>29</v>
      </c>
      <c r="D29" t="s">
        <v>27</v>
      </c>
      <c r="E29" s="2">
        <v>1</v>
      </c>
      <c r="F29" t="s">
        <v>39</v>
      </c>
      <c r="G29">
        <v>3.49</v>
      </c>
      <c r="H29">
        <v>3.1900000000000004</v>
      </c>
      <c r="I29" s="2" t="str">
        <f>_xlfn.XLOOKUP(F29,DeparaIMG!B:B,DeparaIMG!D:D,,0)</f>
        <v>GCA350.png</v>
      </c>
    </row>
    <row r="30" spans="1:9" x14ac:dyDescent="0.25">
      <c r="A30" s="2" t="s">
        <v>11</v>
      </c>
      <c r="B30" s="2" t="s">
        <v>63</v>
      </c>
      <c r="C30" t="s">
        <v>30</v>
      </c>
      <c r="D30" t="s">
        <v>27</v>
      </c>
      <c r="E30" s="2">
        <v>1</v>
      </c>
      <c r="F30" t="s">
        <v>39</v>
      </c>
      <c r="G30">
        <v>3.49</v>
      </c>
      <c r="H30">
        <v>3.1900000000000004</v>
      </c>
      <c r="I30" s="2" t="str">
        <f>_xlfn.XLOOKUP(F30,DeparaIMG!B:B,DeparaIMG!D:D,,0)</f>
        <v>GCA350.png</v>
      </c>
    </row>
    <row r="31" spans="1:9" x14ac:dyDescent="0.25">
      <c r="A31" s="2" t="s">
        <v>11</v>
      </c>
      <c r="B31" s="2" t="s">
        <v>63</v>
      </c>
      <c r="C31" t="s">
        <v>31</v>
      </c>
      <c r="D31" t="s">
        <v>27</v>
      </c>
      <c r="E31" s="2">
        <v>1</v>
      </c>
      <c r="F31" t="s">
        <v>39</v>
      </c>
      <c r="G31">
        <v>3.49</v>
      </c>
      <c r="H31">
        <v>3.1900000000000004</v>
      </c>
      <c r="I31" s="2" t="str">
        <f>_xlfn.XLOOKUP(F31,DeparaIMG!B:B,DeparaIMG!D:D,,0)</f>
        <v>GCA350.png</v>
      </c>
    </row>
    <row r="32" spans="1:9" x14ac:dyDescent="0.25">
      <c r="A32" s="2" t="s">
        <v>11</v>
      </c>
      <c r="B32" s="2" t="s">
        <v>63</v>
      </c>
      <c r="C32" t="s">
        <v>4</v>
      </c>
      <c r="D32" t="s">
        <v>27</v>
      </c>
      <c r="E32" s="2">
        <v>1</v>
      </c>
      <c r="F32" t="s">
        <v>35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11</v>
      </c>
      <c r="B33" s="2" t="s">
        <v>63</v>
      </c>
      <c r="C33" t="s">
        <v>28</v>
      </c>
      <c r="D33" t="s">
        <v>27</v>
      </c>
      <c r="E33" s="2">
        <v>1</v>
      </c>
      <c r="F33" t="s">
        <v>36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11</v>
      </c>
      <c r="B34" s="2" t="s">
        <v>63</v>
      </c>
      <c r="C34" t="s">
        <v>29</v>
      </c>
      <c r="D34" t="s">
        <v>27</v>
      </c>
      <c r="E34" s="2">
        <v>1</v>
      </c>
      <c r="F34" t="s">
        <v>36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11</v>
      </c>
      <c r="B35" s="2" t="s">
        <v>63</v>
      </c>
      <c r="C35" t="s">
        <v>30</v>
      </c>
      <c r="D35" t="s">
        <v>27</v>
      </c>
      <c r="E35" s="2">
        <v>1</v>
      </c>
      <c r="F35" t="s">
        <v>36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11</v>
      </c>
      <c r="B36" s="2" t="s">
        <v>63</v>
      </c>
      <c r="C36" t="s">
        <v>31</v>
      </c>
      <c r="D36" t="s">
        <v>27</v>
      </c>
      <c r="E36" s="2">
        <v>1</v>
      </c>
      <c r="F36" t="s">
        <v>36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11</v>
      </c>
      <c r="B37" s="2" t="s">
        <v>63</v>
      </c>
      <c r="C37" t="s">
        <v>4</v>
      </c>
      <c r="D37" t="s">
        <v>27</v>
      </c>
      <c r="E37" s="2">
        <v>1</v>
      </c>
      <c r="F37" t="s">
        <v>40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11</v>
      </c>
      <c r="B38" s="2" t="s">
        <v>63</v>
      </c>
      <c r="C38" t="s">
        <v>28</v>
      </c>
      <c r="D38" t="s">
        <v>27</v>
      </c>
      <c r="E38" s="2">
        <v>1</v>
      </c>
      <c r="F38" t="s">
        <v>40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11</v>
      </c>
      <c r="B39" s="2" t="s">
        <v>63</v>
      </c>
      <c r="C39" t="s">
        <v>29</v>
      </c>
      <c r="D39" t="s">
        <v>27</v>
      </c>
      <c r="E39" s="2">
        <v>1</v>
      </c>
      <c r="F39" t="s">
        <v>40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11</v>
      </c>
      <c r="B40" s="2" t="s">
        <v>63</v>
      </c>
      <c r="C40" t="s">
        <v>30</v>
      </c>
      <c r="D40" t="s">
        <v>27</v>
      </c>
      <c r="E40" s="2">
        <v>1</v>
      </c>
      <c r="F40" t="s">
        <v>40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11</v>
      </c>
      <c r="B41" s="2" t="s">
        <v>63</v>
      </c>
      <c r="C41" t="s">
        <v>31</v>
      </c>
      <c r="D41" t="s">
        <v>27</v>
      </c>
      <c r="E41" s="2">
        <v>1</v>
      </c>
      <c r="F41" t="s">
        <v>40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11</v>
      </c>
      <c r="B42" s="2" t="s">
        <v>63</v>
      </c>
      <c r="C42" t="s">
        <v>4</v>
      </c>
      <c r="D42" t="s">
        <v>26</v>
      </c>
      <c r="E42" s="2">
        <v>2</v>
      </c>
      <c r="F42" t="s">
        <v>38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11</v>
      </c>
      <c r="B43" s="2" t="s">
        <v>63</v>
      </c>
      <c r="C43" t="s">
        <v>28</v>
      </c>
      <c r="D43" t="s">
        <v>26</v>
      </c>
      <c r="E43" s="2">
        <v>2</v>
      </c>
      <c r="F43" t="s">
        <v>38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11</v>
      </c>
      <c r="B44" s="2" t="s">
        <v>63</v>
      </c>
      <c r="C44" t="s">
        <v>29</v>
      </c>
      <c r="D44" t="s">
        <v>26</v>
      </c>
      <c r="E44" s="2">
        <v>2</v>
      </c>
      <c r="F44" t="s">
        <v>38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11</v>
      </c>
      <c r="B45" s="2" t="s">
        <v>63</v>
      </c>
      <c r="C45" t="s">
        <v>30</v>
      </c>
      <c r="D45" t="s">
        <v>26</v>
      </c>
      <c r="E45" s="2">
        <v>2</v>
      </c>
      <c r="F45" t="s">
        <v>38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11</v>
      </c>
      <c r="B46" s="2" t="s">
        <v>63</v>
      </c>
      <c r="C46" t="s">
        <v>31</v>
      </c>
      <c r="D46" t="s">
        <v>26</v>
      </c>
      <c r="E46" s="2">
        <v>2</v>
      </c>
      <c r="F46" t="s">
        <v>38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11</v>
      </c>
      <c r="B47" s="2" t="s">
        <v>63</v>
      </c>
      <c r="C47" t="s">
        <v>4</v>
      </c>
      <c r="D47" t="s">
        <v>26</v>
      </c>
      <c r="E47" s="2">
        <v>2</v>
      </c>
      <c r="F47" t="s">
        <v>41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11</v>
      </c>
      <c r="B48" s="2" t="s">
        <v>63</v>
      </c>
      <c r="C48" t="s">
        <v>28</v>
      </c>
      <c r="D48" t="s">
        <v>26</v>
      </c>
      <c r="E48" s="2">
        <v>2</v>
      </c>
      <c r="F48" t="s">
        <v>41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11</v>
      </c>
      <c r="B49" s="2" t="s">
        <v>63</v>
      </c>
      <c r="C49" t="s">
        <v>29</v>
      </c>
      <c r="D49" t="s">
        <v>26</v>
      </c>
      <c r="E49" s="2">
        <v>2</v>
      </c>
      <c r="F49" t="s">
        <v>41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11</v>
      </c>
      <c r="B50" s="2" t="s">
        <v>63</v>
      </c>
      <c r="C50" t="s">
        <v>30</v>
      </c>
      <c r="D50" t="s">
        <v>26</v>
      </c>
      <c r="E50" s="2">
        <v>2</v>
      </c>
      <c r="F50" t="s">
        <v>41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11</v>
      </c>
      <c r="B51" s="2" t="s">
        <v>63</v>
      </c>
      <c r="C51" t="s">
        <v>31</v>
      </c>
      <c r="D51" t="s">
        <v>26</v>
      </c>
      <c r="E51" s="2">
        <v>2</v>
      </c>
      <c r="F51" t="s">
        <v>41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11</v>
      </c>
      <c r="B52" s="2" t="s">
        <v>63</v>
      </c>
      <c r="C52" t="s">
        <v>4</v>
      </c>
      <c r="D52" t="s">
        <v>26</v>
      </c>
      <c r="E52" s="2">
        <v>2</v>
      </c>
      <c r="F52" t="s">
        <v>42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11</v>
      </c>
      <c r="B53" s="2" t="s">
        <v>63</v>
      </c>
      <c r="C53" t="s">
        <v>28</v>
      </c>
      <c r="D53" t="s">
        <v>26</v>
      </c>
      <c r="E53" s="2">
        <v>2</v>
      </c>
      <c r="F53" t="s">
        <v>42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11</v>
      </c>
      <c r="B54" s="2" t="s">
        <v>63</v>
      </c>
      <c r="C54" t="s">
        <v>29</v>
      </c>
      <c r="D54" t="s">
        <v>26</v>
      </c>
      <c r="E54" s="2">
        <v>2</v>
      </c>
      <c r="F54" t="s">
        <v>42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11</v>
      </c>
      <c r="B55" s="2" t="s">
        <v>63</v>
      </c>
      <c r="C55" t="s">
        <v>30</v>
      </c>
      <c r="D55" t="s">
        <v>26</v>
      </c>
      <c r="E55" s="2">
        <v>2</v>
      </c>
      <c r="F55" t="s">
        <v>42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11</v>
      </c>
      <c r="B56" s="2" t="s">
        <v>63</v>
      </c>
      <c r="C56" t="s">
        <v>31</v>
      </c>
      <c r="D56" t="s">
        <v>26</v>
      </c>
      <c r="E56" s="2">
        <v>2</v>
      </c>
      <c r="F56" t="s">
        <v>42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11</v>
      </c>
      <c r="B57" s="2" t="s">
        <v>63</v>
      </c>
      <c r="C57" t="s">
        <v>4</v>
      </c>
      <c r="D57" t="s">
        <v>27</v>
      </c>
      <c r="E57" s="2">
        <v>2</v>
      </c>
      <c r="F57" t="s">
        <v>32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11</v>
      </c>
      <c r="B58" s="2" t="s">
        <v>63</v>
      </c>
      <c r="C58" t="s">
        <v>28</v>
      </c>
      <c r="D58" t="s">
        <v>27</v>
      </c>
      <c r="E58" s="2">
        <v>2</v>
      </c>
      <c r="F58" t="s">
        <v>33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11</v>
      </c>
      <c r="B59" s="2" t="s">
        <v>63</v>
      </c>
      <c r="C59" t="s">
        <v>29</v>
      </c>
      <c r="D59" t="s">
        <v>27</v>
      </c>
      <c r="E59" s="2">
        <v>2</v>
      </c>
      <c r="F59" t="s">
        <v>33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11</v>
      </c>
      <c r="B60" s="2" t="s">
        <v>63</v>
      </c>
      <c r="C60" t="s">
        <v>30</v>
      </c>
      <c r="D60" t="s">
        <v>27</v>
      </c>
      <c r="E60" s="2">
        <v>2</v>
      </c>
      <c r="F60" t="s">
        <v>33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11</v>
      </c>
      <c r="B61" s="2" t="s">
        <v>63</v>
      </c>
      <c r="C61" t="s">
        <v>31</v>
      </c>
      <c r="D61" t="s">
        <v>27</v>
      </c>
      <c r="E61" s="2">
        <v>2</v>
      </c>
      <c r="F61" t="s">
        <v>33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11</v>
      </c>
      <c r="B62" s="2" t="s">
        <v>63</v>
      </c>
      <c r="C62" t="s">
        <v>4</v>
      </c>
      <c r="D62" t="s">
        <v>27</v>
      </c>
      <c r="E62" s="2">
        <v>2</v>
      </c>
      <c r="F62" t="s">
        <v>34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11</v>
      </c>
      <c r="B63" s="2" t="s">
        <v>63</v>
      </c>
      <c r="C63" t="s">
        <v>28</v>
      </c>
      <c r="D63" t="s">
        <v>27</v>
      </c>
      <c r="E63" s="2">
        <v>2</v>
      </c>
      <c r="F63" t="s">
        <v>34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11</v>
      </c>
      <c r="B64" s="2" t="s">
        <v>63</v>
      </c>
      <c r="C64" t="s">
        <v>29</v>
      </c>
      <c r="D64" t="s">
        <v>27</v>
      </c>
      <c r="E64" s="2">
        <v>2</v>
      </c>
      <c r="F64" t="s">
        <v>34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11</v>
      </c>
      <c r="B65" s="2" t="s">
        <v>63</v>
      </c>
      <c r="C65" t="s">
        <v>30</v>
      </c>
      <c r="D65" t="s">
        <v>27</v>
      </c>
      <c r="E65" s="2">
        <v>2</v>
      </c>
      <c r="F65" t="s">
        <v>34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11</v>
      </c>
      <c r="B66" s="2" t="s">
        <v>63</v>
      </c>
      <c r="C66" t="s">
        <v>31</v>
      </c>
      <c r="D66" t="s">
        <v>27</v>
      </c>
      <c r="E66" s="2">
        <v>2</v>
      </c>
      <c r="F66" t="s">
        <v>34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11</v>
      </c>
      <c r="B67" s="2" t="s">
        <v>63</v>
      </c>
      <c r="C67" t="s">
        <v>28</v>
      </c>
      <c r="D67" t="s">
        <v>27</v>
      </c>
      <c r="E67" s="2">
        <v>2</v>
      </c>
      <c r="F67" t="s">
        <v>43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11</v>
      </c>
      <c r="B68" s="2" t="s">
        <v>63</v>
      </c>
      <c r="C68" t="s">
        <v>29</v>
      </c>
      <c r="D68" t="s">
        <v>27</v>
      </c>
      <c r="E68" s="2">
        <v>2</v>
      </c>
      <c r="F68" t="s">
        <v>43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11</v>
      </c>
      <c r="B69" s="2" t="s">
        <v>63</v>
      </c>
      <c r="C69" t="s">
        <v>30</v>
      </c>
      <c r="D69" t="s">
        <v>27</v>
      </c>
      <c r="E69" s="2">
        <v>2</v>
      </c>
      <c r="F69" t="s">
        <v>43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11</v>
      </c>
      <c r="B70" s="2" t="s">
        <v>63</v>
      </c>
      <c r="C70" t="s">
        <v>31</v>
      </c>
      <c r="D70" t="s">
        <v>27</v>
      </c>
      <c r="E70" s="2">
        <v>2</v>
      </c>
      <c r="F70" t="s">
        <v>43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11</v>
      </c>
      <c r="B71" s="2" t="s">
        <v>63</v>
      </c>
      <c r="C71" t="s">
        <v>4</v>
      </c>
      <c r="D71" t="s">
        <v>27</v>
      </c>
      <c r="E71" s="2">
        <v>2</v>
      </c>
      <c r="F71" t="s">
        <v>37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11</v>
      </c>
      <c r="B72" s="2" t="s">
        <v>63</v>
      </c>
      <c r="C72" t="s">
        <v>28</v>
      </c>
      <c r="D72" t="s">
        <v>27</v>
      </c>
      <c r="E72" s="2">
        <v>2</v>
      </c>
      <c r="F72" t="s">
        <v>37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11</v>
      </c>
      <c r="B73" s="2" t="s">
        <v>63</v>
      </c>
      <c r="C73" t="s">
        <v>29</v>
      </c>
      <c r="D73" t="s">
        <v>27</v>
      </c>
      <c r="E73" s="2">
        <v>2</v>
      </c>
      <c r="F73" t="s">
        <v>37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11</v>
      </c>
      <c r="B74" s="2" t="s">
        <v>63</v>
      </c>
      <c r="C74" t="s">
        <v>30</v>
      </c>
      <c r="D74" t="s">
        <v>27</v>
      </c>
      <c r="E74" s="2">
        <v>2</v>
      </c>
      <c r="F74" t="s">
        <v>37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11</v>
      </c>
      <c r="B75" s="2" t="s">
        <v>63</v>
      </c>
      <c r="C75" t="s">
        <v>31</v>
      </c>
      <c r="D75" t="s">
        <v>27</v>
      </c>
      <c r="E75" s="2">
        <v>2</v>
      </c>
      <c r="F75" t="s">
        <v>37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11</v>
      </c>
      <c r="B76" s="2" t="s">
        <v>64</v>
      </c>
      <c r="C76" t="s">
        <v>89</v>
      </c>
      <c r="D76" t="s">
        <v>26</v>
      </c>
      <c r="E76" s="2">
        <v>2</v>
      </c>
      <c r="F76" t="s">
        <v>68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11</v>
      </c>
      <c r="B77" s="2" t="s">
        <v>64</v>
      </c>
      <c r="C77" t="s">
        <v>89</v>
      </c>
      <c r="D77" t="s">
        <v>26</v>
      </c>
      <c r="E77" s="2">
        <v>2</v>
      </c>
      <c r="F77" t="s">
        <v>68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11</v>
      </c>
      <c r="B78" s="2" t="s">
        <v>64</v>
      </c>
      <c r="C78" t="s">
        <v>89</v>
      </c>
      <c r="D78" t="s">
        <v>27</v>
      </c>
      <c r="E78" s="2">
        <v>2</v>
      </c>
      <c r="F78" t="s">
        <v>68</v>
      </c>
      <c r="G78">
        <v>3.09</v>
      </c>
      <c r="H78">
        <v>2.89</v>
      </c>
      <c r="I78" s="2" t="str">
        <f>_xlfn.XLOOKUP(F78,DeparaIMG!B:B,DeparaIMG!D:D,,0)</f>
        <v>SK269.png</v>
      </c>
    </row>
    <row r="79" spans="1:9" x14ac:dyDescent="0.25">
      <c r="A79" s="2" t="s">
        <v>11</v>
      </c>
      <c r="B79" s="2" t="s">
        <v>64</v>
      </c>
      <c r="C79" t="s">
        <v>4</v>
      </c>
      <c r="D79" t="s">
        <v>27</v>
      </c>
      <c r="E79" s="2">
        <v>2</v>
      </c>
      <c r="F79" t="s">
        <v>65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11</v>
      </c>
      <c r="B80" s="2" t="s">
        <v>64</v>
      </c>
      <c r="C80" t="s">
        <v>4</v>
      </c>
      <c r="D80" t="s">
        <v>26</v>
      </c>
      <c r="E80" s="2">
        <v>2</v>
      </c>
      <c r="F80" t="s">
        <v>65</v>
      </c>
      <c r="G80">
        <v>3.19</v>
      </c>
      <c r="H80">
        <v>2.99</v>
      </c>
      <c r="I80" s="2" t="str">
        <f>_xlfn.XLOOKUP(F80,DeparaIMG!B:B,DeparaIMG!D:D,,0)</f>
        <v>SKZERO269.png</v>
      </c>
    </row>
    <row r="81" spans="1:9" x14ac:dyDescent="0.25">
      <c r="A81" s="2" t="s">
        <v>11</v>
      </c>
      <c r="B81" s="2" t="s">
        <v>64</v>
      </c>
      <c r="C81" t="s">
        <v>29</v>
      </c>
      <c r="D81" t="s">
        <v>26</v>
      </c>
      <c r="E81" s="2">
        <v>2</v>
      </c>
      <c r="F81" t="s">
        <v>69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11</v>
      </c>
      <c r="B82" s="2" t="s">
        <v>64</v>
      </c>
      <c r="C82" t="s">
        <v>30</v>
      </c>
      <c r="D82" t="s">
        <v>26</v>
      </c>
      <c r="E82" s="2">
        <v>2</v>
      </c>
      <c r="F82" t="s">
        <v>69</v>
      </c>
      <c r="G82">
        <v>3.19</v>
      </c>
      <c r="H82">
        <v>2.99</v>
      </c>
      <c r="I82" s="2" t="str">
        <f>_xlfn.XLOOKUP(F82,DeparaIMG!B:B,DeparaIMG!D:D,,0)</f>
        <v>AP269.png</v>
      </c>
    </row>
    <row r="83" spans="1:9" x14ac:dyDescent="0.25">
      <c r="A83" s="2" t="s">
        <v>11</v>
      </c>
      <c r="B83" s="2" t="s">
        <v>64</v>
      </c>
      <c r="C83" t="s">
        <v>89</v>
      </c>
      <c r="D83" t="s">
        <v>27</v>
      </c>
      <c r="E83" s="2">
        <v>2</v>
      </c>
      <c r="F83" t="s">
        <v>65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11</v>
      </c>
      <c r="B84" s="2" t="s">
        <v>64</v>
      </c>
      <c r="C84" t="s">
        <v>89</v>
      </c>
      <c r="D84" t="s">
        <v>26</v>
      </c>
      <c r="E84" s="2">
        <v>2</v>
      </c>
      <c r="F84" t="s">
        <v>65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11</v>
      </c>
      <c r="B85" s="2" t="s">
        <v>64</v>
      </c>
      <c r="C85" t="s">
        <v>90</v>
      </c>
      <c r="D85" t="s">
        <v>27</v>
      </c>
      <c r="E85" s="2">
        <v>2</v>
      </c>
      <c r="F85" t="s">
        <v>65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11</v>
      </c>
      <c r="B86" s="2" t="s">
        <v>64</v>
      </c>
      <c r="C86" t="s">
        <v>90</v>
      </c>
      <c r="D86" t="s">
        <v>26</v>
      </c>
      <c r="E86" s="2">
        <v>2</v>
      </c>
      <c r="F86" t="s">
        <v>65</v>
      </c>
      <c r="G86">
        <v>3.19</v>
      </c>
      <c r="H86">
        <v>2.99</v>
      </c>
      <c r="I86" s="2" t="str">
        <f>_xlfn.XLOOKUP(F86,DeparaIMG!B:B,DeparaIMG!D:D,,0)</f>
        <v>SKZERO269.png</v>
      </c>
    </row>
    <row r="87" spans="1:9" x14ac:dyDescent="0.25">
      <c r="A87" s="2" t="s">
        <v>11</v>
      </c>
      <c r="B87" s="2" t="s">
        <v>64</v>
      </c>
      <c r="C87" t="s">
        <v>91</v>
      </c>
      <c r="D87" t="s">
        <v>27</v>
      </c>
      <c r="E87" s="2">
        <v>2</v>
      </c>
      <c r="F87" t="s">
        <v>65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11</v>
      </c>
      <c r="B88" s="2" t="s">
        <v>64</v>
      </c>
      <c r="C88" t="s">
        <v>91</v>
      </c>
      <c r="D88" t="s">
        <v>26</v>
      </c>
      <c r="E88" s="2">
        <v>2</v>
      </c>
      <c r="F88" t="s">
        <v>65</v>
      </c>
      <c r="G88">
        <v>3.19</v>
      </c>
      <c r="H88">
        <v>3.09</v>
      </c>
      <c r="I88" s="2" t="str">
        <f>_xlfn.XLOOKUP(F88,DeparaIMG!B:B,DeparaIMG!D:D,,0)</f>
        <v>SKZERO269.png</v>
      </c>
    </row>
    <row r="89" spans="1:9" x14ac:dyDescent="0.25">
      <c r="A89" s="2" t="s">
        <v>11</v>
      </c>
      <c r="B89" s="2" t="s">
        <v>64</v>
      </c>
      <c r="C89" t="s">
        <v>92</v>
      </c>
      <c r="D89" t="s">
        <v>27</v>
      </c>
      <c r="E89" s="2">
        <v>2</v>
      </c>
      <c r="F89" t="s">
        <v>65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11</v>
      </c>
      <c r="B90" s="2" t="s">
        <v>64</v>
      </c>
      <c r="C90" t="s">
        <v>92</v>
      </c>
      <c r="D90" t="s">
        <v>26</v>
      </c>
      <c r="E90" s="2">
        <v>2</v>
      </c>
      <c r="F90" t="s">
        <v>65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11</v>
      </c>
      <c r="B91" s="2" t="s">
        <v>64</v>
      </c>
      <c r="C91" t="s">
        <v>29</v>
      </c>
      <c r="D91" t="s">
        <v>27</v>
      </c>
      <c r="E91" s="2">
        <v>2</v>
      </c>
      <c r="F91" t="s">
        <v>65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11</v>
      </c>
      <c r="B92" s="2" t="s">
        <v>64</v>
      </c>
      <c r="C92" t="s">
        <v>29</v>
      </c>
      <c r="D92" t="s">
        <v>26</v>
      </c>
      <c r="E92" s="2">
        <v>2</v>
      </c>
      <c r="F92" t="s">
        <v>65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11</v>
      </c>
      <c r="B93" s="2" t="s">
        <v>64</v>
      </c>
      <c r="C93" t="s">
        <v>30</v>
      </c>
      <c r="D93" t="s">
        <v>27</v>
      </c>
      <c r="E93" s="2">
        <v>2</v>
      </c>
      <c r="F93" t="s">
        <v>65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11</v>
      </c>
      <c r="B94" s="2" t="s">
        <v>64</v>
      </c>
      <c r="C94" t="s">
        <v>30</v>
      </c>
      <c r="D94" t="s">
        <v>26</v>
      </c>
      <c r="E94" s="2">
        <v>2</v>
      </c>
      <c r="F94" t="s">
        <v>65</v>
      </c>
      <c r="G94">
        <v>3.19</v>
      </c>
      <c r="H94">
        <v>2.99</v>
      </c>
      <c r="I94" s="2" t="str">
        <f>_xlfn.XLOOKUP(F94,DeparaIMG!B:B,DeparaIMG!D:D,,0)</f>
        <v>SKZERO269.png</v>
      </c>
    </row>
    <row r="95" spans="1:9" x14ac:dyDescent="0.25">
      <c r="A95" s="2" t="s">
        <v>11</v>
      </c>
      <c r="B95" s="2" t="s">
        <v>64</v>
      </c>
      <c r="C95" t="s">
        <v>30</v>
      </c>
      <c r="D95" t="s">
        <v>26</v>
      </c>
      <c r="E95" s="2">
        <v>1</v>
      </c>
      <c r="F95" t="s">
        <v>70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11</v>
      </c>
      <c r="B96" s="2" t="s">
        <v>64</v>
      </c>
      <c r="C96" t="s">
        <v>29</v>
      </c>
      <c r="D96" t="s">
        <v>26</v>
      </c>
      <c r="E96" s="2">
        <v>1</v>
      </c>
      <c r="F96" t="s">
        <v>70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11</v>
      </c>
      <c r="B97" s="2" t="s">
        <v>64</v>
      </c>
      <c r="C97" t="s">
        <v>29</v>
      </c>
      <c r="D97" t="s">
        <v>27</v>
      </c>
      <c r="E97" s="2">
        <v>1</v>
      </c>
      <c r="F97" t="s">
        <v>70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11</v>
      </c>
      <c r="B98" s="2" t="s">
        <v>64</v>
      </c>
      <c r="C98" t="s">
        <v>89</v>
      </c>
      <c r="D98" t="s">
        <v>26</v>
      </c>
      <c r="E98" s="2">
        <v>1</v>
      </c>
      <c r="F98" t="s">
        <v>70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11</v>
      </c>
      <c r="B99" s="2" t="s">
        <v>64</v>
      </c>
      <c r="C99" t="s">
        <v>89</v>
      </c>
      <c r="D99" t="s">
        <v>27</v>
      </c>
      <c r="E99" s="2">
        <v>1</v>
      </c>
      <c r="F99" t="s">
        <v>70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11</v>
      </c>
      <c r="B100" s="2" t="s">
        <v>64</v>
      </c>
      <c r="C100" t="s">
        <v>4</v>
      </c>
      <c r="D100" t="s">
        <v>26</v>
      </c>
      <c r="E100" s="2">
        <v>1</v>
      </c>
      <c r="F100" t="s">
        <v>70</v>
      </c>
      <c r="G100">
        <v>3.19</v>
      </c>
      <c r="H100">
        <v>2.99</v>
      </c>
      <c r="I100" s="2" t="str">
        <f>_xlfn.XLOOKUP(F100,DeparaIMG!B:B,DeparaIMG!D:D,,0)</f>
        <v>BC269.png</v>
      </c>
    </row>
    <row r="101" spans="1:9" x14ac:dyDescent="0.25">
      <c r="A101" s="2" t="s">
        <v>11</v>
      </c>
      <c r="B101" s="2" t="s">
        <v>64</v>
      </c>
      <c r="C101" t="s">
        <v>4</v>
      </c>
      <c r="D101" t="s">
        <v>26</v>
      </c>
      <c r="E101" s="2">
        <v>2</v>
      </c>
      <c r="F101" t="s">
        <v>68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11</v>
      </c>
      <c r="B102" s="2" t="s">
        <v>64</v>
      </c>
      <c r="C102" t="s">
        <v>4</v>
      </c>
      <c r="D102" t="s">
        <v>27</v>
      </c>
      <c r="E102" s="2">
        <v>2</v>
      </c>
      <c r="F102" t="s">
        <v>68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11</v>
      </c>
      <c r="B103" s="2" t="s">
        <v>64</v>
      </c>
      <c r="C103" t="s">
        <v>90</v>
      </c>
      <c r="D103" t="s">
        <v>26</v>
      </c>
      <c r="E103" s="2">
        <v>2</v>
      </c>
      <c r="F103" t="s">
        <v>68</v>
      </c>
      <c r="G103">
        <v>3.29</v>
      </c>
      <c r="H103">
        <v>3.09</v>
      </c>
      <c r="I103" s="2" t="str">
        <f>_xlfn.XLOOKUP(F103,DeparaIMG!B:B,DeparaIMG!D:D,,0)</f>
        <v>SK269.png</v>
      </c>
    </row>
    <row r="104" spans="1:9" x14ac:dyDescent="0.25">
      <c r="A104" s="2" t="s">
        <v>11</v>
      </c>
      <c r="B104" s="2" t="s">
        <v>64</v>
      </c>
      <c r="C104" t="s">
        <v>91</v>
      </c>
      <c r="D104" t="s">
        <v>26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SK269.png</v>
      </c>
    </row>
    <row r="105" spans="1:9" x14ac:dyDescent="0.25">
      <c r="A105" s="2" t="s">
        <v>11</v>
      </c>
      <c r="B105" s="2" t="s">
        <v>64</v>
      </c>
      <c r="C105" t="s">
        <v>92</v>
      </c>
      <c r="D105" t="s">
        <v>26</v>
      </c>
      <c r="E105" s="2">
        <v>2</v>
      </c>
      <c r="F105" t="s">
        <v>69</v>
      </c>
      <c r="G105">
        <v>3.29</v>
      </c>
      <c r="H105">
        <v>3.19</v>
      </c>
      <c r="I105" s="2" t="str">
        <f>_xlfn.XLOOKUP(F105,DeparaIMG!B:B,DeparaIMG!D:D,,0)</f>
        <v>AP269.png</v>
      </c>
    </row>
    <row r="106" spans="1:9" x14ac:dyDescent="0.25">
      <c r="A106" s="2" t="s">
        <v>11</v>
      </c>
      <c r="B106" s="2" t="s">
        <v>64</v>
      </c>
      <c r="C106" t="s">
        <v>91</v>
      </c>
      <c r="D106" t="s">
        <v>26</v>
      </c>
      <c r="E106" s="2">
        <v>1</v>
      </c>
      <c r="F106" t="s">
        <v>70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11</v>
      </c>
      <c r="B107" s="2" t="s">
        <v>64</v>
      </c>
      <c r="C107" t="s">
        <v>91</v>
      </c>
      <c r="D107" t="s">
        <v>27</v>
      </c>
      <c r="E107" s="2">
        <v>1</v>
      </c>
      <c r="F107" t="s">
        <v>70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11</v>
      </c>
      <c r="B108" s="2" t="s">
        <v>64</v>
      </c>
      <c r="C108" t="s">
        <v>90</v>
      </c>
      <c r="D108" t="s">
        <v>26</v>
      </c>
      <c r="E108" s="2">
        <v>1</v>
      </c>
      <c r="F108" t="s">
        <v>70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11</v>
      </c>
      <c r="B109" s="2" t="s">
        <v>64</v>
      </c>
      <c r="C109" t="s">
        <v>90</v>
      </c>
      <c r="D109" t="s">
        <v>27</v>
      </c>
      <c r="E109" s="2">
        <v>1</v>
      </c>
      <c r="F109" t="s">
        <v>70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11</v>
      </c>
      <c r="B110" s="2" t="s">
        <v>64</v>
      </c>
      <c r="C110" t="s">
        <v>92</v>
      </c>
      <c r="D110" t="s">
        <v>26</v>
      </c>
      <c r="E110" s="2">
        <v>1</v>
      </c>
      <c r="F110" t="s">
        <v>70</v>
      </c>
      <c r="G110">
        <v>3.29</v>
      </c>
      <c r="H110">
        <v>2.99</v>
      </c>
      <c r="I110" s="2" t="str">
        <f>_xlfn.XLOOKUP(F110,DeparaIMG!B:B,DeparaIMG!D:D,,0)</f>
        <v>BC269.png</v>
      </c>
    </row>
    <row r="111" spans="1:9" x14ac:dyDescent="0.25">
      <c r="A111" s="2" t="s">
        <v>11</v>
      </c>
      <c r="B111" s="2" t="s">
        <v>64</v>
      </c>
      <c r="C111" t="s">
        <v>92</v>
      </c>
      <c r="D111" t="s">
        <v>27</v>
      </c>
      <c r="E111" s="2">
        <v>2</v>
      </c>
      <c r="F111" t="s">
        <v>69</v>
      </c>
      <c r="G111">
        <v>3.29</v>
      </c>
      <c r="H111">
        <v>3.19</v>
      </c>
      <c r="I111" s="2" t="str">
        <f>_xlfn.XLOOKUP(F111,DeparaIMG!B:B,DeparaIMG!D:D,,0)</f>
        <v>AP269.png</v>
      </c>
    </row>
    <row r="112" spans="1:9" x14ac:dyDescent="0.25">
      <c r="A112" s="2" t="s">
        <v>11</v>
      </c>
      <c r="B112" s="2" t="s">
        <v>64</v>
      </c>
      <c r="C112" t="s">
        <v>92</v>
      </c>
      <c r="D112" t="s">
        <v>27</v>
      </c>
      <c r="E112" s="2">
        <v>1</v>
      </c>
      <c r="F112" t="s">
        <v>70</v>
      </c>
      <c r="G112">
        <v>3.29</v>
      </c>
      <c r="H112">
        <v>2.99</v>
      </c>
      <c r="I112" s="2" t="str">
        <f>_xlfn.XLOOKUP(F112,DeparaIMG!B:B,DeparaIMG!D:D,,0)</f>
        <v>BC269.png</v>
      </c>
    </row>
    <row r="113" spans="1:9" x14ac:dyDescent="0.25">
      <c r="A113" s="2" t="s">
        <v>11</v>
      </c>
      <c r="B113" s="2" t="s">
        <v>64</v>
      </c>
      <c r="C113" t="s">
        <v>90</v>
      </c>
      <c r="D113" t="s">
        <v>27</v>
      </c>
      <c r="E113" s="2">
        <v>2</v>
      </c>
      <c r="F113" t="s">
        <v>68</v>
      </c>
      <c r="G113">
        <v>3.29</v>
      </c>
      <c r="H113">
        <v>3.09</v>
      </c>
      <c r="I113" s="2" t="str">
        <f>_xlfn.XLOOKUP(F113,DeparaIMG!B:B,DeparaIMG!D:D,,0)</f>
        <v>SK269.png</v>
      </c>
    </row>
    <row r="114" spans="1:9" x14ac:dyDescent="0.25">
      <c r="A114" s="2" t="s">
        <v>11</v>
      </c>
      <c r="B114" s="2" t="s">
        <v>64</v>
      </c>
      <c r="C114" t="s">
        <v>91</v>
      </c>
      <c r="D114" t="s">
        <v>27</v>
      </c>
      <c r="E114" s="2">
        <v>2</v>
      </c>
      <c r="F114" t="s">
        <v>68</v>
      </c>
      <c r="G114">
        <v>3.29</v>
      </c>
      <c r="H114">
        <v>3.19</v>
      </c>
      <c r="I114" s="2" t="str">
        <f>_xlfn.XLOOKUP(F114,DeparaIMG!B:B,DeparaIMG!D:D,,0)</f>
        <v>SK269.png</v>
      </c>
    </row>
    <row r="115" spans="1:9" x14ac:dyDescent="0.25">
      <c r="A115" s="2" t="s">
        <v>11</v>
      </c>
      <c r="B115" s="2" t="s">
        <v>64</v>
      </c>
      <c r="C115" t="s">
        <v>4</v>
      </c>
      <c r="D115" t="s">
        <v>26</v>
      </c>
      <c r="E115" s="2">
        <v>1</v>
      </c>
      <c r="F115" t="s">
        <v>71</v>
      </c>
      <c r="G115">
        <v>3.39</v>
      </c>
      <c r="H115">
        <v>2.99</v>
      </c>
      <c r="I115" s="2" t="str">
        <f>_xlfn.XLOOKUP(F115,DeparaIMG!B:B,DeparaIMG!D:D,,0)</f>
        <v>BUD269.png</v>
      </c>
    </row>
    <row r="116" spans="1:9" x14ac:dyDescent="0.25">
      <c r="A116" s="2" t="s">
        <v>11</v>
      </c>
      <c r="B116" s="2" t="s">
        <v>64</v>
      </c>
      <c r="C116" t="s">
        <v>90</v>
      </c>
      <c r="D116" t="s">
        <v>26</v>
      </c>
      <c r="E116" s="2">
        <v>1</v>
      </c>
      <c r="F116" t="s">
        <v>71</v>
      </c>
      <c r="G116">
        <v>2.99</v>
      </c>
      <c r="H116">
        <v>2.99</v>
      </c>
      <c r="I116" s="2" t="str">
        <f>_xlfn.XLOOKUP(F116,DeparaIMG!B:B,DeparaIMG!D:D,,0)</f>
        <v>BUD269.png</v>
      </c>
    </row>
    <row r="117" spans="1:9" x14ac:dyDescent="0.25">
      <c r="A117" s="2" t="s">
        <v>11</v>
      </c>
      <c r="B117" s="2" t="s">
        <v>64</v>
      </c>
      <c r="C117" t="s">
        <v>90</v>
      </c>
      <c r="D117" t="s">
        <v>27</v>
      </c>
      <c r="E117" s="2">
        <v>1</v>
      </c>
      <c r="F117" t="s">
        <v>71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11</v>
      </c>
      <c r="B118" s="2" t="s">
        <v>64</v>
      </c>
      <c r="C118" t="s">
        <v>91</v>
      </c>
      <c r="D118" t="s">
        <v>26</v>
      </c>
      <c r="E118" s="2">
        <v>1</v>
      </c>
      <c r="F118" t="s">
        <v>71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11</v>
      </c>
      <c r="B119" s="2" t="s">
        <v>64</v>
      </c>
      <c r="C119" t="s">
        <v>91</v>
      </c>
      <c r="D119" t="s">
        <v>27</v>
      </c>
      <c r="E119" s="2">
        <v>1</v>
      </c>
      <c r="F119" t="s">
        <v>71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11</v>
      </c>
      <c r="B120" s="2" t="s">
        <v>64</v>
      </c>
      <c r="C120" t="s">
        <v>92</v>
      </c>
      <c r="D120" t="s">
        <v>27</v>
      </c>
      <c r="E120" s="2">
        <v>1</v>
      </c>
      <c r="F120" t="s">
        <v>71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11</v>
      </c>
      <c r="B121" s="2" t="s">
        <v>64</v>
      </c>
      <c r="C121" t="s">
        <v>92</v>
      </c>
      <c r="D121" t="s">
        <v>26</v>
      </c>
      <c r="E121" s="2">
        <v>1</v>
      </c>
      <c r="F121" t="s">
        <v>71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11</v>
      </c>
      <c r="B122" s="2" t="s">
        <v>64</v>
      </c>
      <c r="C122" t="s">
        <v>29</v>
      </c>
      <c r="D122" t="s">
        <v>26</v>
      </c>
      <c r="E122" s="2">
        <v>1</v>
      </c>
      <c r="F122" t="s">
        <v>71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11</v>
      </c>
      <c r="B123" s="2" t="s">
        <v>64</v>
      </c>
      <c r="C123" t="s">
        <v>30</v>
      </c>
      <c r="D123" t="s">
        <v>26</v>
      </c>
      <c r="E123" s="2">
        <v>1</v>
      </c>
      <c r="F123" t="s">
        <v>71</v>
      </c>
      <c r="G123">
        <v>3.49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11</v>
      </c>
      <c r="B124" s="2" t="s">
        <v>64</v>
      </c>
      <c r="C124" t="s">
        <v>89</v>
      </c>
      <c r="D124" t="s">
        <v>26</v>
      </c>
      <c r="E124" s="2">
        <v>1</v>
      </c>
      <c r="F124" t="s">
        <v>71</v>
      </c>
      <c r="G124">
        <v>3.09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11</v>
      </c>
      <c r="B125" s="2" t="s">
        <v>64</v>
      </c>
      <c r="C125" t="s">
        <v>89</v>
      </c>
      <c r="D125" t="s">
        <v>27</v>
      </c>
      <c r="E125" s="2">
        <v>1</v>
      </c>
      <c r="F125" t="s">
        <v>71</v>
      </c>
      <c r="G125">
        <v>3.49</v>
      </c>
      <c r="H125">
        <v>3.09</v>
      </c>
      <c r="I125" s="2" t="str">
        <f>_xlfn.XLOOKUP(F125,DeparaIMG!B:B,DeparaIMG!D:D,,0)</f>
        <v>BUD269.png</v>
      </c>
    </row>
    <row r="126" spans="1:9" x14ac:dyDescent="0.25">
      <c r="A126" s="2" t="s">
        <v>11</v>
      </c>
      <c r="B126" s="2" t="s">
        <v>64</v>
      </c>
      <c r="C126" t="s">
        <v>29</v>
      </c>
      <c r="D126" t="s">
        <v>26</v>
      </c>
      <c r="E126" s="2">
        <v>1</v>
      </c>
      <c r="F126" t="s">
        <v>72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11</v>
      </c>
      <c r="B127" s="2" t="s">
        <v>64</v>
      </c>
      <c r="C127" t="s">
        <v>29</v>
      </c>
      <c r="D127" t="s">
        <v>26</v>
      </c>
      <c r="E127" s="2">
        <v>2</v>
      </c>
      <c r="F127" t="s">
        <v>72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11</v>
      </c>
      <c r="B128" s="2" t="s">
        <v>64</v>
      </c>
      <c r="C128" t="s">
        <v>30</v>
      </c>
      <c r="D128" t="s">
        <v>26</v>
      </c>
      <c r="E128" s="2">
        <v>1</v>
      </c>
      <c r="F128" t="s">
        <v>72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11</v>
      </c>
      <c r="B129" s="2" t="s">
        <v>64</v>
      </c>
      <c r="C129" t="s">
        <v>30</v>
      </c>
      <c r="D129" t="s">
        <v>26</v>
      </c>
      <c r="E129" s="2">
        <v>2</v>
      </c>
      <c r="F129" t="s">
        <v>72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11</v>
      </c>
      <c r="B130" s="2" t="s">
        <v>64</v>
      </c>
      <c r="C130" t="s">
        <v>90</v>
      </c>
      <c r="D130" t="s">
        <v>26</v>
      </c>
      <c r="E130" s="2">
        <v>1</v>
      </c>
      <c r="F130" t="s">
        <v>72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11</v>
      </c>
      <c r="B131" s="2" t="s">
        <v>64</v>
      </c>
      <c r="C131" t="s">
        <v>90</v>
      </c>
      <c r="D131" t="s">
        <v>26</v>
      </c>
      <c r="E131" s="2">
        <v>2</v>
      </c>
      <c r="F131" t="s">
        <v>72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11</v>
      </c>
      <c r="B132" s="2" t="s">
        <v>64</v>
      </c>
      <c r="C132" t="s">
        <v>4</v>
      </c>
      <c r="D132" t="s">
        <v>26</v>
      </c>
      <c r="E132" s="2">
        <v>1</v>
      </c>
      <c r="F132" t="s">
        <v>72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11</v>
      </c>
      <c r="B133" s="2" t="s">
        <v>64</v>
      </c>
      <c r="C133" t="s">
        <v>4</v>
      </c>
      <c r="D133" t="s">
        <v>26</v>
      </c>
      <c r="E133" s="2">
        <v>2</v>
      </c>
      <c r="F133" t="s">
        <v>72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11</v>
      </c>
      <c r="B134" s="2" t="s">
        <v>64</v>
      </c>
      <c r="C134" t="s">
        <v>91</v>
      </c>
      <c r="D134" t="s">
        <v>26</v>
      </c>
      <c r="E134" s="2">
        <v>1</v>
      </c>
      <c r="F134" t="s">
        <v>72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11</v>
      </c>
      <c r="B135" s="2" t="s">
        <v>64</v>
      </c>
      <c r="C135" t="s">
        <v>91</v>
      </c>
      <c r="D135" t="s">
        <v>26</v>
      </c>
      <c r="E135" s="2">
        <v>2</v>
      </c>
      <c r="F135" t="s">
        <v>72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11</v>
      </c>
      <c r="B136" s="2" t="s">
        <v>64</v>
      </c>
      <c r="C136" t="s">
        <v>92</v>
      </c>
      <c r="D136" t="s">
        <v>26</v>
      </c>
      <c r="E136" s="2">
        <v>1</v>
      </c>
      <c r="F136" t="s">
        <v>72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11</v>
      </c>
      <c r="B137" s="2" t="s">
        <v>64</v>
      </c>
      <c r="C137" t="s">
        <v>92</v>
      </c>
      <c r="D137" t="s">
        <v>26</v>
      </c>
      <c r="E137" s="2">
        <v>2</v>
      </c>
      <c r="F137" t="s">
        <v>72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11</v>
      </c>
      <c r="B138" s="2" t="s">
        <v>64</v>
      </c>
      <c r="C138" t="s">
        <v>89</v>
      </c>
      <c r="D138" t="s">
        <v>26</v>
      </c>
      <c r="E138" s="2">
        <v>1</v>
      </c>
      <c r="F138" t="s">
        <v>72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11</v>
      </c>
      <c r="B139" s="2" t="s">
        <v>64</v>
      </c>
      <c r="C139" t="s">
        <v>89</v>
      </c>
      <c r="D139" t="s">
        <v>26</v>
      </c>
      <c r="E139" s="2">
        <v>2</v>
      </c>
      <c r="F139" t="s">
        <v>72</v>
      </c>
      <c r="G139">
        <v>3.69</v>
      </c>
      <c r="H139">
        <v>3.19</v>
      </c>
      <c r="I139" s="2" t="str">
        <f>_xlfn.XLOOKUP(F139,DeparaIMG!B:B,DeparaIMG!D:D,,0)</f>
        <v>BC0350.png</v>
      </c>
    </row>
    <row r="140" spans="1:9" x14ac:dyDescent="0.25">
      <c r="A140" s="2" t="s">
        <v>11</v>
      </c>
      <c r="B140" s="2" t="s">
        <v>64</v>
      </c>
      <c r="C140" t="s">
        <v>4</v>
      </c>
      <c r="D140" t="s">
        <v>27</v>
      </c>
      <c r="E140" s="2">
        <v>1</v>
      </c>
      <c r="F140" t="s">
        <v>73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x14ac:dyDescent="0.25">
      <c r="A141" s="2" t="s">
        <v>11</v>
      </c>
      <c r="B141" s="2" t="s">
        <v>64</v>
      </c>
      <c r="C141" t="s">
        <v>30</v>
      </c>
      <c r="D141" t="s">
        <v>27</v>
      </c>
      <c r="E141" s="2">
        <v>1</v>
      </c>
      <c r="F141" t="s">
        <v>73</v>
      </c>
      <c r="G141">
        <v>3.79</v>
      </c>
      <c r="H141">
        <v>3.49</v>
      </c>
      <c r="I141" s="2" t="str">
        <f>_xlfn.XLOOKUP(F141,DeparaIMG!B:B,DeparaIMG!D:D,,0)</f>
        <v>BC350.png</v>
      </c>
    </row>
    <row r="142" spans="1:9" x14ac:dyDescent="0.25">
      <c r="A142" s="2" t="s">
        <v>11</v>
      </c>
      <c r="B142" s="2" t="s">
        <v>64</v>
      </c>
      <c r="C142" t="s">
        <v>89</v>
      </c>
      <c r="D142" t="s">
        <v>26</v>
      </c>
      <c r="E142" s="2">
        <v>2</v>
      </c>
      <c r="F142" t="s">
        <v>66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x14ac:dyDescent="0.25">
      <c r="A143" s="2" t="s">
        <v>11</v>
      </c>
      <c r="B143" s="2" t="s">
        <v>64</v>
      </c>
      <c r="C143" t="s">
        <v>90</v>
      </c>
      <c r="D143" t="s">
        <v>26</v>
      </c>
      <c r="E143" s="2">
        <v>2</v>
      </c>
      <c r="F143" t="s">
        <v>66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11</v>
      </c>
      <c r="B144" s="2" t="s">
        <v>64</v>
      </c>
      <c r="C144" t="s">
        <v>4</v>
      </c>
      <c r="D144" t="s">
        <v>26</v>
      </c>
      <c r="E144" s="2">
        <v>2</v>
      </c>
      <c r="F144" t="s">
        <v>66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11</v>
      </c>
      <c r="B145" s="2" t="s">
        <v>64</v>
      </c>
      <c r="C145" t="s">
        <v>91</v>
      </c>
      <c r="D145" t="s">
        <v>26</v>
      </c>
      <c r="E145" s="2">
        <v>2</v>
      </c>
      <c r="F145" t="s">
        <v>66</v>
      </c>
      <c r="G145">
        <v>3.89</v>
      </c>
      <c r="H145">
        <v>3.79</v>
      </c>
      <c r="I145" s="2" t="str">
        <f>_xlfn.XLOOKUP(F145,DeparaIMG!B:B,DeparaIMG!D:D,,0)</f>
        <v>SKZERO350.png</v>
      </c>
    </row>
    <row r="146" spans="1:9" x14ac:dyDescent="0.25">
      <c r="A146" s="2" t="s">
        <v>11</v>
      </c>
      <c r="B146" s="2" t="s">
        <v>64</v>
      </c>
      <c r="C146" t="s">
        <v>92</v>
      </c>
      <c r="D146" t="s">
        <v>26</v>
      </c>
      <c r="E146" s="2">
        <v>2</v>
      </c>
      <c r="F146" t="s">
        <v>66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11</v>
      </c>
      <c r="B147" s="2" t="s">
        <v>64</v>
      </c>
      <c r="C147" t="s">
        <v>29</v>
      </c>
      <c r="D147" t="s">
        <v>26</v>
      </c>
      <c r="E147" s="2">
        <v>2</v>
      </c>
      <c r="F147" t="s">
        <v>66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11</v>
      </c>
      <c r="B148" s="2" t="s">
        <v>64</v>
      </c>
      <c r="C148" t="s">
        <v>30</v>
      </c>
      <c r="D148" t="s">
        <v>26</v>
      </c>
      <c r="E148" s="2">
        <v>2</v>
      </c>
      <c r="F148" t="s">
        <v>66</v>
      </c>
      <c r="G148">
        <v>3.89</v>
      </c>
      <c r="H148">
        <v>3.69</v>
      </c>
      <c r="I148" s="2" t="str">
        <f>_xlfn.XLOOKUP(F148,DeparaIMG!B:B,DeparaIMG!D:D,,0)</f>
        <v>SKZERO350.png</v>
      </c>
    </row>
    <row r="149" spans="1:9" x14ac:dyDescent="0.25">
      <c r="A149" s="2" t="s">
        <v>11</v>
      </c>
      <c r="B149" s="2" t="s">
        <v>64</v>
      </c>
      <c r="C149" t="s">
        <v>90</v>
      </c>
      <c r="D149" t="s">
        <v>26</v>
      </c>
      <c r="E149" s="2">
        <v>2</v>
      </c>
      <c r="F149" t="s">
        <v>74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11</v>
      </c>
      <c r="B150" s="2" t="s">
        <v>64</v>
      </c>
      <c r="C150" t="s">
        <v>90</v>
      </c>
      <c r="D150" t="s">
        <v>27</v>
      </c>
      <c r="E150" s="2">
        <v>2</v>
      </c>
      <c r="F150" t="s">
        <v>74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11</v>
      </c>
      <c r="B151" s="2" t="s">
        <v>64</v>
      </c>
      <c r="C151" t="s">
        <v>91</v>
      </c>
      <c r="D151" t="s">
        <v>26</v>
      </c>
      <c r="E151" s="2">
        <v>2</v>
      </c>
      <c r="F151" t="s">
        <v>74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11</v>
      </c>
      <c r="B152" s="2" t="s">
        <v>64</v>
      </c>
      <c r="C152" t="s">
        <v>92</v>
      </c>
      <c r="D152" t="s">
        <v>26</v>
      </c>
      <c r="E152" s="2">
        <v>2</v>
      </c>
      <c r="F152" t="s">
        <v>74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11</v>
      </c>
      <c r="B153" s="2" t="s">
        <v>64</v>
      </c>
      <c r="C153" t="s">
        <v>91</v>
      </c>
      <c r="D153" t="s">
        <v>27</v>
      </c>
      <c r="E153" s="2">
        <v>2</v>
      </c>
      <c r="F153" t="s">
        <v>74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11</v>
      </c>
      <c r="B154" s="2" t="s">
        <v>64</v>
      </c>
      <c r="C154" t="s">
        <v>92</v>
      </c>
      <c r="D154" t="s">
        <v>27</v>
      </c>
      <c r="E154" s="2">
        <v>2</v>
      </c>
      <c r="F154" t="s">
        <v>74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11</v>
      </c>
      <c r="B155" s="2" t="s">
        <v>64</v>
      </c>
      <c r="C155" t="s">
        <v>29</v>
      </c>
      <c r="D155" t="s">
        <v>26</v>
      </c>
      <c r="E155" s="2">
        <v>2</v>
      </c>
      <c r="F155" t="s">
        <v>74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11</v>
      </c>
      <c r="B156" s="2" t="s">
        <v>64</v>
      </c>
      <c r="C156" t="s">
        <v>30</v>
      </c>
      <c r="D156" t="s">
        <v>26</v>
      </c>
      <c r="E156" s="2">
        <v>2</v>
      </c>
      <c r="F156" t="s">
        <v>74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11</v>
      </c>
      <c r="B157" s="2" t="s">
        <v>64</v>
      </c>
      <c r="C157" t="s">
        <v>29</v>
      </c>
      <c r="D157" t="s">
        <v>27</v>
      </c>
      <c r="E157" s="2">
        <v>2</v>
      </c>
      <c r="F157" t="s">
        <v>74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11</v>
      </c>
      <c r="B158" s="2" t="s">
        <v>64</v>
      </c>
      <c r="C158" t="s">
        <v>30</v>
      </c>
      <c r="D158" t="s">
        <v>27</v>
      </c>
      <c r="E158" s="2">
        <v>2</v>
      </c>
      <c r="F158" t="s">
        <v>74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11</v>
      </c>
      <c r="B159" s="2" t="s">
        <v>64</v>
      </c>
      <c r="C159" t="s">
        <v>89</v>
      </c>
      <c r="D159" t="s">
        <v>26</v>
      </c>
      <c r="E159" s="2">
        <v>2</v>
      </c>
      <c r="F159" t="s">
        <v>74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11</v>
      </c>
      <c r="B160" s="2" t="s">
        <v>64</v>
      </c>
      <c r="C160" t="s">
        <v>89</v>
      </c>
      <c r="D160" t="s">
        <v>27</v>
      </c>
      <c r="E160" s="2">
        <v>2</v>
      </c>
      <c r="F160" t="s">
        <v>74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11</v>
      </c>
      <c r="B161" s="2" t="s">
        <v>64</v>
      </c>
      <c r="C161" t="s">
        <v>4</v>
      </c>
      <c r="D161" t="s">
        <v>26</v>
      </c>
      <c r="E161" s="2">
        <v>2</v>
      </c>
      <c r="F161" t="s">
        <v>74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11</v>
      </c>
      <c r="B162" s="2" t="s">
        <v>64</v>
      </c>
      <c r="C162" t="s">
        <v>4</v>
      </c>
      <c r="D162" t="s">
        <v>27</v>
      </c>
      <c r="E162" s="2">
        <v>2</v>
      </c>
      <c r="F162" t="s">
        <v>74</v>
      </c>
      <c r="G162">
        <v>3.89</v>
      </c>
      <c r="H162">
        <v>3.59</v>
      </c>
      <c r="I162" s="2" t="str">
        <f>_xlfn.XLOOKUP(F162,DeparaIMG!B:B,DeparaIMG!D:D,,0)</f>
        <v>ORI269.png</v>
      </c>
    </row>
    <row r="163" spans="1:9" x14ac:dyDescent="0.25">
      <c r="A163" s="2" t="s">
        <v>11</v>
      </c>
      <c r="B163" s="2" t="s">
        <v>64</v>
      </c>
      <c r="C163" t="s">
        <v>29</v>
      </c>
      <c r="D163" t="s">
        <v>27</v>
      </c>
      <c r="E163" s="2">
        <v>2</v>
      </c>
      <c r="F163" t="s">
        <v>75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x14ac:dyDescent="0.25">
      <c r="A164" s="2" t="s">
        <v>11</v>
      </c>
      <c r="B164" s="2" t="s">
        <v>64</v>
      </c>
      <c r="C164" t="s">
        <v>30</v>
      </c>
      <c r="D164" t="s">
        <v>27</v>
      </c>
      <c r="E164" s="2">
        <v>2</v>
      </c>
      <c r="F164" t="s">
        <v>75</v>
      </c>
      <c r="G164">
        <v>3.99</v>
      </c>
      <c r="H164">
        <v>3.69</v>
      </c>
      <c r="I164" s="2" t="str">
        <f>_xlfn.XLOOKUP(F164,DeparaIMG!B:B,DeparaIMG!D:D,,0)</f>
        <v>AP350.png</v>
      </c>
    </row>
    <row r="165" spans="1:9" x14ac:dyDescent="0.25">
      <c r="A165" s="2" t="s">
        <v>11</v>
      </c>
      <c r="B165" s="2" t="s">
        <v>64</v>
      </c>
      <c r="C165" t="s">
        <v>29</v>
      </c>
      <c r="D165" t="s">
        <v>27</v>
      </c>
      <c r="E165" s="2">
        <v>1</v>
      </c>
      <c r="F165" t="s">
        <v>72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11</v>
      </c>
      <c r="B166" s="2" t="s">
        <v>64</v>
      </c>
      <c r="C166" t="s">
        <v>29</v>
      </c>
      <c r="D166" t="s">
        <v>27</v>
      </c>
      <c r="E166" s="2">
        <v>2</v>
      </c>
      <c r="F166" t="s">
        <v>72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11</v>
      </c>
      <c r="B167" s="2" t="s">
        <v>64</v>
      </c>
      <c r="C167" t="s">
        <v>89</v>
      </c>
      <c r="D167" t="s">
        <v>27</v>
      </c>
      <c r="E167" s="2">
        <v>1</v>
      </c>
      <c r="F167" t="s">
        <v>72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11</v>
      </c>
      <c r="B168" s="2" t="s">
        <v>64</v>
      </c>
      <c r="C168" t="s">
        <v>89</v>
      </c>
      <c r="D168" t="s">
        <v>27</v>
      </c>
      <c r="E168" s="2">
        <v>2</v>
      </c>
      <c r="F168" t="s">
        <v>72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11</v>
      </c>
      <c r="B169" s="2" t="s">
        <v>64</v>
      </c>
      <c r="C169" t="s">
        <v>30</v>
      </c>
      <c r="D169" t="s">
        <v>27</v>
      </c>
      <c r="E169" s="2">
        <v>1</v>
      </c>
      <c r="F169" t="s">
        <v>72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11</v>
      </c>
      <c r="B170" s="2" t="s">
        <v>64</v>
      </c>
      <c r="C170" t="s">
        <v>30</v>
      </c>
      <c r="D170" t="s">
        <v>27</v>
      </c>
      <c r="E170" s="2">
        <v>2</v>
      </c>
      <c r="F170" t="s">
        <v>72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11</v>
      </c>
      <c r="B171" s="2" t="s">
        <v>64</v>
      </c>
      <c r="C171" t="s">
        <v>90</v>
      </c>
      <c r="D171" t="s">
        <v>27</v>
      </c>
      <c r="E171" s="2">
        <v>1</v>
      </c>
      <c r="F171" t="s">
        <v>72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11</v>
      </c>
      <c r="B172" s="2" t="s">
        <v>64</v>
      </c>
      <c r="C172" t="s">
        <v>90</v>
      </c>
      <c r="D172" t="s">
        <v>27</v>
      </c>
      <c r="E172" s="2">
        <v>2</v>
      </c>
      <c r="F172" t="s">
        <v>72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11</v>
      </c>
      <c r="B173" s="2" t="s">
        <v>64</v>
      </c>
      <c r="C173" t="s">
        <v>4</v>
      </c>
      <c r="D173" t="s">
        <v>27</v>
      </c>
      <c r="E173" s="2">
        <v>1</v>
      </c>
      <c r="F173" t="s">
        <v>72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11</v>
      </c>
      <c r="B174" s="2" t="s">
        <v>64</v>
      </c>
      <c r="C174" t="s">
        <v>4</v>
      </c>
      <c r="D174" t="s">
        <v>27</v>
      </c>
      <c r="E174" s="2">
        <v>2</v>
      </c>
      <c r="F174" t="s">
        <v>72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11</v>
      </c>
      <c r="B175" s="2" t="s">
        <v>64</v>
      </c>
      <c r="C175" t="s">
        <v>92</v>
      </c>
      <c r="D175" t="s">
        <v>27</v>
      </c>
      <c r="E175" s="2">
        <v>1</v>
      </c>
      <c r="F175" t="s">
        <v>72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11</v>
      </c>
      <c r="B176" s="2" t="s">
        <v>64</v>
      </c>
      <c r="C176" t="s">
        <v>92</v>
      </c>
      <c r="D176" t="s">
        <v>27</v>
      </c>
      <c r="E176" s="2">
        <v>2</v>
      </c>
      <c r="F176" t="s">
        <v>72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11</v>
      </c>
      <c r="B177" s="2" t="s">
        <v>64</v>
      </c>
      <c r="C177" t="s">
        <v>91</v>
      </c>
      <c r="D177" t="s">
        <v>27</v>
      </c>
      <c r="E177" s="2">
        <v>1</v>
      </c>
      <c r="F177" t="s">
        <v>72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11</v>
      </c>
      <c r="B178" s="2" t="s">
        <v>64</v>
      </c>
      <c r="C178" t="s">
        <v>91</v>
      </c>
      <c r="D178" t="s">
        <v>27</v>
      </c>
      <c r="E178" s="2">
        <v>2</v>
      </c>
      <c r="F178" t="s">
        <v>72</v>
      </c>
      <c r="G178">
        <v>3.99</v>
      </c>
      <c r="H178">
        <v>3.49</v>
      </c>
      <c r="I178" s="2" t="str">
        <f>_xlfn.XLOOKUP(F178,DeparaIMG!B:B,DeparaIMG!D:D,,0)</f>
        <v>BC0350.png</v>
      </c>
    </row>
    <row r="179" spans="1:9" x14ac:dyDescent="0.25">
      <c r="A179" s="2" t="s">
        <v>11</v>
      </c>
      <c r="B179" s="2" t="s">
        <v>64</v>
      </c>
      <c r="C179" t="s">
        <v>4</v>
      </c>
      <c r="D179" t="s">
        <v>26</v>
      </c>
      <c r="E179" s="2">
        <v>1</v>
      </c>
      <c r="F179" t="s">
        <v>76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x14ac:dyDescent="0.25">
      <c r="A180" s="2" t="s">
        <v>11</v>
      </c>
      <c r="B180" s="2" t="s">
        <v>64</v>
      </c>
      <c r="C180" t="s">
        <v>4</v>
      </c>
      <c r="D180" t="s">
        <v>27</v>
      </c>
      <c r="E180" s="2">
        <v>1</v>
      </c>
      <c r="F180" t="s">
        <v>76</v>
      </c>
      <c r="G180">
        <v>4.1900000000000004</v>
      </c>
      <c r="H180">
        <v>3.19</v>
      </c>
      <c r="I180" s="2" t="str">
        <f>_xlfn.XLOOKUP(F180,DeparaIMG!B:B,DeparaIMG!D:D,,0)</f>
        <v>BUDZERO350.png</v>
      </c>
    </row>
    <row r="181" spans="1:9" x14ac:dyDescent="0.25">
      <c r="A181" s="2" t="s">
        <v>11</v>
      </c>
      <c r="B181" s="2" t="s">
        <v>64</v>
      </c>
      <c r="C181" t="s">
        <v>89</v>
      </c>
      <c r="D181" t="s">
        <v>27</v>
      </c>
      <c r="E181" s="2">
        <v>2</v>
      </c>
      <c r="F181" t="s">
        <v>66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x14ac:dyDescent="0.25">
      <c r="A182" s="2" t="s">
        <v>11</v>
      </c>
      <c r="B182" s="2" t="s">
        <v>64</v>
      </c>
      <c r="C182" t="s">
        <v>90</v>
      </c>
      <c r="D182" t="s">
        <v>27</v>
      </c>
      <c r="E182" s="2">
        <v>2</v>
      </c>
      <c r="F182" t="s">
        <v>66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11</v>
      </c>
      <c r="B183" s="2" t="s">
        <v>64</v>
      </c>
      <c r="C183" t="s">
        <v>4</v>
      </c>
      <c r="D183" t="s">
        <v>27</v>
      </c>
      <c r="E183" s="2">
        <v>2</v>
      </c>
      <c r="F183" t="s">
        <v>66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11</v>
      </c>
      <c r="B184" s="2" t="s">
        <v>64</v>
      </c>
      <c r="C184" t="s">
        <v>91</v>
      </c>
      <c r="D184" t="s">
        <v>27</v>
      </c>
      <c r="E184" s="2">
        <v>2</v>
      </c>
      <c r="F184" t="s">
        <v>66</v>
      </c>
      <c r="G184">
        <v>4.1900000000000004</v>
      </c>
      <c r="H184">
        <v>4.09</v>
      </c>
      <c r="I184" s="2" t="str">
        <f>_xlfn.XLOOKUP(F184,DeparaIMG!B:B,DeparaIMG!D:D,,0)</f>
        <v>SKZERO350.png</v>
      </c>
    </row>
    <row r="185" spans="1:9" x14ac:dyDescent="0.25">
      <c r="A185" s="2" t="s">
        <v>11</v>
      </c>
      <c r="B185" s="2" t="s">
        <v>64</v>
      </c>
      <c r="C185" t="s">
        <v>92</v>
      </c>
      <c r="D185" t="s">
        <v>27</v>
      </c>
      <c r="E185" s="2">
        <v>2</v>
      </c>
      <c r="F185" t="s">
        <v>66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11</v>
      </c>
      <c r="B186" s="2" t="s">
        <v>64</v>
      </c>
      <c r="C186" t="s">
        <v>29</v>
      </c>
      <c r="D186" t="s">
        <v>27</v>
      </c>
      <c r="E186" s="2">
        <v>2</v>
      </c>
      <c r="F186" t="s">
        <v>66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11</v>
      </c>
      <c r="B187" s="2" t="s">
        <v>64</v>
      </c>
      <c r="C187" t="s">
        <v>30</v>
      </c>
      <c r="D187" t="s">
        <v>27</v>
      </c>
      <c r="E187" s="2">
        <v>2</v>
      </c>
      <c r="F187" t="s">
        <v>66</v>
      </c>
      <c r="G187">
        <v>4.1900000000000004</v>
      </c>
      <c r="H187">
        <v>3.99</v>
      </c>
      <c r="I187" s="2" t="str">
        <f>_xlfn.XLOOKUP(F187,DeparaIMG!B:B,DeparaIMG!D:D,,0)</f>
        <v>SKZERO350.png</v>
      </c>
    </row>
    <row r="188" spans="1:9" x14ac:dyDescent="0.25">
      <c r="A188" s="2" t="s">
        <v>11</v>
      </c>
      <c r="B188" s="2" t="s">
        <v>64</v>
      </c>
      <c r="C188" t="s">
        <v>89</v>
      </c>
      <c r="D188" t="s">
        <v>27</v>
      </c>
      <c r="E188" s="2">
        <v>2</v>
      </c>
      <c r="F188" t="s">
        <v>77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11</v>
      </c>
      <c r="B189" s="2" t="s">
        <v>64</v>
      </c>
      <c r="C189" t="s">
        <v>89</v>
      </c>
      <c r="D189" t="s">
        <v>26</v>
      </c>
      <c r="E189" s="2">
        <v>2</v>
      </c>
      <c r="F189" t="s">
        <v>77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x14ac:dyDescent="0.25">
      <c r="A190" s="2" t="s">
        <v>11</v>
      </c>
      <c r="B190" s="2" t="s">
        <v>64</v>
      </c>
      <c r="C190" t="s">
        <v>90</v>
      </c>
      <c r="D190" t="s">
        <v>26</v>
      </c>
      <c r="E190" s="2">
        <v>2</v>
      </c>
      <c r="F190" t="s">
        <v>77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x14ac:dyDescent="0.25">
      <c r="A191" s="2" t="s">
        <v>11</v>
      </c>
      <c r="B191" s="2" t="s">
        <v>64</v>
      </c>
      <c r="C191" t="s">
        <v>92</v>
      </c>
      <c r="D191" t="s">
        <v>26</v>
      </c>
      <c r="E191" s="2">
        <v>2</v>
      </c>
      <c r="F191" t="s">
        <v>77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x14ac:dyDescent="0.25">
      <c r="A192" s="2" t="s">
        <v>11</v>
      </c>
      <c r="B192" s="2" t="s">
        <v>64</v>
      </c>
      <c r="C192" t="s">
        <v>91</v>
      </c>
      <c r="D192" t="s">
        <v>26</v>
      </c>
      <c r="E192" s="2">
        <v>2</v>
      </c>
      <c r="F192" t="s">
        <v>77</v>
      </c>
      <c r="G192">
        <v>3.49</v>
      </c>
      <c r="H192">
        <v>3.49</v>
      </c>
      <c r="I192" s="2" t="str">
        <f>_xlfn.XLOOKUP(F192,DeparaIMG!B:B,DeparaIMG!D:D,,0)</f>
        <v>STE269.png</v>
      </c>
    </row>
    <row r="193" spans="1:9" x14ac:dyDescent="0.25">
      <c r="A193" s="2" t="s">
        <v>11</v>
      </c>
      <c r="B193" s="2" t="s">
        <v>64</v>
      </c>
      <c r="C193" t="s">
        <v>90</v>
      </c>
      <c r="D193" t="s">
        <v>27</v>
      </c>
      <c r="E193" s="2">
        <v>2</v>
      </c>
      <c r="F193" t="s">
        <v>77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x14ac:dyDescent="0.25">
      <c r="A194" s="2" t="s">
        <v>11</v>
      </c>
      <c r="B194" s="2" t="s">
        <v>64</v>
      </c>
      <c r="C194" t="s">
        <v>92</v>
      </c>
      <c r="D194" t="s">
        <v>27</v>
      </c>
      <c r="E194" s="2">
        <v>2</v>
      </c>
      <c r="F194" t="s">
        <v>77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x14ac:dyDescent="0.25">
      <c r="A195" s="2" t="s">
        <v>11</v>
      </c>
      <c r="B195" s="2" t="s">
        <v>64</v>
      </c>
      <c r="C195" t="s">
        <v>91</v>
      </c>
      <c r="D195" t="s">
        <v>27</v>
      </c>
      <c r="E195" s="2">
        <v>2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STE269.png</v>
      </c>
    </row>
    <row r="196" spans="1:9" x14ac:dyDescent="0.25">
      <c r="A196" s="2" t="s">
        <v>11</v>
      </c>
      <c r="B196" s="2" t="s">
        <v>64</v>
      </c>
      <c r="C196" t="s">
        <v>4</v>
      </c>
      <c r="D196" t="s">
        <v>27</v>
      </c>
      <c r="E196" s="2">
        <v>1</v>
      </c>
      <c r="F196" t="s">
        <v>78</v>
      </c>
      <c r="G196">
        <v>4.29</v>
      </c>
      <c r="H196">
        <v>3.69</v>
      </c>
      <c r="I196" s="2" t="str">
        <f>_xlfn.XLOOKUP(F196,DeparaIMG!B:B,DeparaIMG!D:D,,0)</f>
        <v>BUD350.png</v>
      </c>
    </row>
    <row r="197" spans="1:9" x14ac:dyDescent="0.25">
      <c r="A197" s="2" t="s">
        <v>11</v>
      </c>
      <c r="B197" s="2" t="s">
        <v>64</v>
      </c>
      <c r="C197" t="s">
        <v>29</v>
      </c>
      <c r="D197" t="s">
        <v>26</v>
      </c>
      <c r="E197" s="2">
        <v>1</v>
      </c>
      <c r="F197" t="s">
        <v>76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11</v>
      </c>
      <c r="B198" s="2" t="s">
        <v>64</v>
      </c>
      <c r="C198" t="s">
        <v>29</v>
      </c>
      <c r="D198" t="s">
        <v>27</v>
      </c>
      <c r="E198" s="2">
        <v>1</v>
      </c>
      <c r="F198" t="s">
        <v>78</v>
      </c>
      <c r="G198">
        <v>4.49</v>
      </c>
      <c r="H198">
        <v>3.89</v>
      </c>
      <c r="I198" s="2" t="str">
        <f>_xlfn.XLOOKUP(F198,DeparaIMG!B:B,DeparaIMG!D:D,,0)</f>
        <v>BUD350.png</v>
      </c>
    </row>
    <row r="199" spans="1:9" x14ac:dyDescent="0.25">
      <c r="A199" s="2" t="s">
        <v>11</v>
      </c>
      <c r="B199" s="2" t="s">
        <v>64</v>
      </c>
      <c r="C199" t="s">
        <v>29</v>
      </c>
      <c r="D199" t="s">
        <v>27</v>
      </c>
      <c r="E199" s="2">
        <v>1</v>
      </c>
      <c r="F199" t="s">
        <v>76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11</v>
      </c>
      <c r="B200" s="2" t="s">
        <v>64</v>
      </c>
      <c r="C200" t="s">
        <v>30</v>
      </c>
      <c r="D200" t="s">
        <v>26</v>
      </c>
      <c r="E200" s="2">
        <v>1</v>
      </c>
      <c r="F200" t="s">
        <v>76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11</v>
      </c>
      <c r="B201" s="2" t="s">
        <v>64</v>
      </c>
      <c r="C201" t="s">
        <v>30</v>
      </c>
      <c r="D201" t="s">
        <v>27</v>
      </c>
      <c r="E201" s="2">
        <v>1</v>
      </c>
      <c r="F201" t="s">
        <v>78</v>
      </c>
      <c r="G201">
        <v>4.49</v>
      </c>
      <c r="H201">
        <v>3.89</v>
      </c>
      <c r="I201" s="2" t="str">
        <f>_xlfn.XLOOKUP(F201,DeparaIMG!B:B,DeparaIMG!D:D,,0)</f>
        <v>BUD350.png</v>
      </c>
    </row>
    <row r="202" spans="1:9" x14ac:dyDescent="0.25">
      <c r="A202" s="2" t="s">
        <v>11</v>
      </c>
      <c r="B202" s="2" t="s">
        <v>64</v>
      </c>
      <c r="C202" t="s">
        <v>30</v>
      </c>
      <c r="D202" t="s">
        <v>27</v>
      </c>
      <c r="E202" s="2">
        <v>1</v>
      </c>
      <c r="F202" t="s">
        <v>76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11</v>
      </c>
      <c r="B203" s="2" t="s">
        <v>64</v>
      </c>
      <c r="C203" t="s">
        <v>89</v>
      </c>
      <c r="D203" t="s">
        <v>26</v>
      </c>
      <c r="E203" s="2">
        <v>1</v>
      </c>
      <c r="F203" t="s">
        <v>76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11</v>
      </c>
      <c r="B204" s="2" t="s">
        <v>64</v>
      </c>
      <c r="C204" t="s">
        <v>89</v>
      </c>
      <c r="D204" t="s">
        <v>27</v>
      </c>
      <c r="E204" s="2">
        <v>1</v>
      </c>
      <c r="F204" t="s">
        <v>76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11</v>
      </c>
      <c r="B205" s="2" t="s">
        <v>64</v>
      </c>
      <c r="C205" t="s">
        <v>90</v>
      </c>
      <c r="D205" t="s">
        <v>26</v>
      </c>
      <c r="E205" s="2">
        <v>1</v>
      </c>
      <c r="F205" t="s">
        <v>76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x14ac:dyDescent="0.25">
      <c r="A206" s="2" t="s">
        <v>11</v>
      </c>
      <c r="B206" s="2" t="s">
        <v>64</v>
      </c>
      <c r="C206" t="s">
        <v>90</v>
      </c>
      <c r="D206" t="s">
        <v>27</v>
      </c>
      <c r="E206" s="2">
        <v>1</v>
      </c>
      <c r="F206" t="s">
        <v>76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11</v>
      </c>
      <c r="B207" s="2" t="s">
        <v>64</v>
      </c>
      <c r="C207" t="s">
        <v>91</v>
      </c>
      <c r="D207" t="s">
        <v>27</v>
      </c>
      <c r="E207" s="2">
        <v>1</v>
      </c>
      <c r="F207" t="s">
        <v>76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11</v>
      </c>
      <c r="B208" s="2" t="s">
        <v>64</v>
      </c>
      <c r="C208" t="s">
        <v>91</v>
      </c>
      <c r="D208" t="s">
        <v>26</v>
      </c>
      <c r="E208" s="2">
        <v>1</v>
      </c>
      <c r="F208" t="s">
        <v>76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11</v>
      </c>
      <c r="B209" s="2" t="s">
        <v>64</v>
      </c>
      <c r="C209" t="s">
        <v>92</v>
      </c>
      <c r="D209" t="s">
        <v>26</v>
      </c>
      <c r="E209" s="2">
        <v>1</v>
      </c>
      <c r="F209" t="s">
        <v>76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11</v>
      </c>
      <c r="B210" s="2" t="s">
        <v>64</v>
      </c>
      <c r="C210" t="s">
        <v>92</v>
      </c>
      <c r="D210" t="s">
        <v>27</v>
      </c>
      <c r="E210" s="2">
        <v>1</v>
      </c>
      <c r="F210" t="s">
        <v>76</v>
      </c>
      <c r="G210">
        <v>4.49</v>
      </c>
      <c r="H210">
        <v>3.49</v>
      </c>
      <c r="I210" s="2" t="str">
        <f>_xlfn.XLOOKUP(F210,DeparaIMG!B:B,DeparaIMG!D:D,,0)</f>
        <v>BUDZERO350.png</v>
      </c>
    </row>
    <row r="211" spans="1:9" x14ac:dyDescent="0.25">
      <c r="A211" s="2" t="s">
        <v>11</v>
      </c>
      <c r="B211" s="2" t="s">
        <v>64</v>
      </c>
      <c r="C211" t="s">
        <v>89</v>
      </c>
      <c r="D211" t="s">
        <v>27</v>
      </c>
      <c r="E211" s="2">
        <v>2</v>
      </c>
      <c r="F211" t="s">
        <v>79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x14ac:dyDescent="0.25">
      <c r="A212" s="2" t="s">
        <v>11</v>
      </c>
      <c r="B212" s="2" t="s">
        <v>64</v>
      </c>
      <c r="C212" t="s">
        <v>90</v>
      </c>
      <c r="D212" t="s">
        <v>27</v>
      </c>
      <c r="E212" s="2">
        <v>2</v>
      </c>
      <c r="F212" t="s">
        <v>79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x14ac:dyDescent="0.25">
      <c r="A213" s="2" t="s">
        <v>11</v>
      </c>
      <c r="B213" s="2" t="s">
        <v>64</v>
      </c>
      <c r="C213" t="s">
        <v>92</v>
      </c>
      <c r="D213" t="s">
        <v>27</v>
      </c>
      <c r="E213" s="2">
        <v>2</v>
      </c>
      <c r="F213" t="s">
        <v>79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x14ac:dyDescent="0.25">
      <c r="A214" s="2" t="s">
        <v>11</v>
      </c>
      <c r="B214" s="2" t="s">
        <v>64</v>
      </c>
      <c r="C214" t="s">
        <v>91</v>
      </c>
      <c r="D214" t="s">
        <v>27</v>
      </c>
      <c r="E214" s="2">
        <v>2</v>
      </c>
      <c r="F214" t="s">
        <v>79</v>
      </c>
      <c r="G214">
        <v>4.6900000000000004</v>
      </c>
      <c r="H214">
        <v>4.1900000000000004</v>
      </c>
      <c r="I214" s="2" t="str">
        <f>_xlfn.XLOOKUP(F214,DeparaIMG!B:B,DeparaIMG!D:D,,0)</f>
        <v>COR269.png</v>
      </c>
    </row>
    <row r="215" spans="1:9" x14ac:dyDescent="0.25">
      <c r="A215" s="2" t="s">
        <v>11</v>
      </c>
      <c r="B215" s="2" t="s">
        <v>64</v>
      </c>
      <c r="C215" t="s">
        <v>29</v>
      </c>
      <c r="D215" t="s">
        <v>27</v>
      </c>
      <c r="E215" s="2">
        <v>2</v>
      </c>
      <c r="F215" t="s">
        <v>67</v>
      </c>
      <c r="G215">
        <v>4.49</v>
      </c>
      <c r="H215">
        <v>4.49</v>
      </c>
      <c r="I215" s="2" t="str">
        <f>_xlfn.XLOOKUP(F215,DeparaIMG!B:B,DeparaIMG!D:D,,0)</f>
        <v>STE350.png</v>
      </c>
    </row>
    <row r="216" spans="1:9" x14ac:dyDescent="0.25">
      <c r="A216" s="2" t="s">
        <v>11</v>
      </c>
      <c r="B216" s="2" t="s">
        <v>64</v>
      </c>
      <c r="C216" t="s">
        <v>30</v>
      </c>
      <c r="D216" t="s">
        <v>27</v>
      </c>
      <c r="E216" s="2">
        <v>2</v>
      </c>
      <c r="F216" t="s">
        <v>67</v>
      </c>
      <c r="G216">
        <v>5.49</v>
      </c>
      <c r="H216">
        <v>4.6900000000000004</v>
      </c>
      <c r="I216" s="2" t="str">
        <f>_xlfn.XLOOKUP(F216,DeparaIMG!B:B,DeparaIMG!D:D,,0)</f>
        <v>STE350.png</v>
      </c>
    </row>
    <row r="217" spans="1:9" x14ac:dyDescent="0.25">
      <c r="A217" s="2" t="s">
        <v>11</v>
      </c>
      <c r="B217" s="2" t="s">
        <v>64</v>
      </c>
      <c r="C217" t="s">
        <v>29</v>
      </c>
      <c r="D217" t="s">
        <v>26</v>
      </c>
      <c r="E217" s="2">
        <v>1</v>
      </c>
      <c r="F217" t="s">
        <v>80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x14ac:dyDescent="0.25">
      <c r="A218" s="2" t="s">
        <v>11</v>
      </c>
      <c r="B218" s="2" t="s">
        <v>64</v>
      </c>
      <c r="C218" t="s">
        <v>29</v>
      </c>
      <c r="D218" t="s">
        <v>27</v>
      </c>
      <c r="E218" s="2">
        <v>1</v>
      </c>
      <c r="F218" t="s">
        <v>80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x14ac:dyDescent="0.25">
      <c r="A219" s="2" t="s">
        <v>11</v>
      </c>
      <c r="B219" s="2" t="s">
        <v>64</v>
      </c>
      <c r="C219" t="s">
        <v>30</v>
      </c>
      <c r="D219" t="s">
        <v>26</v>
      </c>
      <c r="E219" s="2">
        <v>1</v>
      </c>
      <c r="F219" t="s">
        <v>80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x14ac:dyDescent="0.25">
      <c r="A220" s="2" t="s">
        <v>11</v>
      </c>
      <c r="B220" s="2" t="s">
        <v>64</v>
      </c>
      <c r="C220" t="s">
        <v>30</v>
      </c>
      <c r="D220" t="s">
        <v>27</v>
      </c>
      <c r="E220" s="2">
        <v>1</v>
      </c>
      <c r="F220" t="s">
        <v>80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11</v>
      </c>
      <c r="B221" s="2" t="s">
        <v>64</v>
      </c>
      <c r="C221" t="s">
        <v>89</v>
      </c>
      <c r="D221" t="s">
        <v>26</v>
      </c>
      <c r="E221" s="2">
        <v>1</v>
      </c>
      <c r="F221" t="s">
        <v>80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11</v>
      </c>
      <c r="B222" s="2" t="s">
        <v>64</v>
      </c>
      <c r="C222" t="s">
        <v>89</v>
      </c>
      <c r="D222" t="s">
        <v>27</v>
      </c>
      <c r="E222" s="2">
        <v>1</v>
      </c>
      <c r="F222" t="s">
        <v>80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11</v>
      </c>
      <c r="B223" s="2" t="s">
        <v>64</v>
      </c>
      <c r="C223" t="s">
        <v>4</v>
      </c>
      <c r="D223" t="s">
        <v>26</v>
      </c>
      <c r="E223" s="2">
        <v>1</v>
      </c>
      <c r="F223" t="s">
        <v>80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11</v>
      </c>
      <c r="B224" s="2" t="s">
        <v>64</v>
      </c>
      <c r="C224" t="s">
        <v>4</v>
      </c>
      <c r="D224" t="s">
        <v>27</v>
      </c>
      <c r="E224" s="2">
        <v>1</v>
      </c>
      <c r="F224" t="s">
        <v>80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11</v>
      </c>
      <c r="B225" s="2" t="s">
        <v>64</v>
      </c>
      <c r="C225" t="s">
        <v>29</v>
      </c>
      <c r="D225" t="s">
        <v>26</v>
      </c>
      <c r="E225" s="2">
        <v>2</v>
      </c>
      <c r="F225" t="s">
        <v>67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x14ac:dyDescent="0.25">
      <c r="A226" s="2" t="s">
        <v>11</v>
      </c>
      <c r="B226" s="2" t="s">
        <v>64</v>
      </c>
      <c r="C226" t="s">
        <v>30</v>
      </c>
      <c r="D226" t="s">
        <v>26</v>
      </c>
      <c r="E226" s="2">
        <v>2</v>
      </c>
      <c r="F226" t="s">
        <v>67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11</v>
      </c>
      <c r="B227" s="2" t="s">
        <v>64</v>
      </c>
      <c r="C227" t="s">
        <v>4</v>
      </c>
      <c r="D227" t="s">
        <v>27</v>
      </c>
      <c r="E227" s="2">
        <v>2</v>
      </c>
      <c r="F227" t="s">
        <v>67</v>
      </c>
      <c r="G227">
        <v>5.49</v>
      </c>
      <c r="H227">
        <v>4.6900000000000004</v>
      </c>
      <c r="I227" s="2" t="str">
        <f>_xlfn.XLOOKUP(F227,DeparaIMG!B:B,DeparaIMG!D:D,,0)</f>
        <v>STE350.png</v>
      </c>
    </row>
    <row r="228" spans="1:9" x14ac:dyDescent="0.25">
      <c r="A228" s="2" t="s">
        <v>11</v>
      </c>
      <c r="B228" s="2" t="s">
        <v>64</v>
      </c>
      <c r="C228" t="s">
        <v>90</v>
      </c>
      <c r="D228" t="s">
        <v>26</v>
      </c>
      <c r="E228" s="2">
        <v>1</v>
      </c>
      <c r="F228" t="s">
        <v>80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11</v>
      </c>
      <c r="B229" s="2" t="s">
        <v>64</v>
      </c>
      <c r="C229" t="s">
        <v>90</v>
      </c>
      <c r="D229" t="s">
        <v>27</v>
      </c>
      <c r="E229" s="2">
        <v>1</v>
      </c>
      <c r="F229" t="s">
        <v>80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x14ac:dyDescent="0.25">
      <c r="A230" s="2" t="s">
        <v>11</v>
      </c>
      <c r="B230" s="2" t="s">
        <v>64</v>
      </c>
      <c r="C230" t="s">
        <v>91</v>
      </c>
      <c r="D230" t="s">
        <v>26</v>
      </c>
      <c r="E230" s="2">
        <v>1</v>
      </c>
      <c r="F230" t="s">
        <v>80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x14ac:dyDescent="0.25">
      <c r="A231" s="2" t="s">
        <v>11</v>
      </c>
      <c r="B231" s="2" t="s">
        <v>64</v>
      </c>
      <c r="C231" t="s">
        <v>92</v>
      </c>
      <c r="D231" t="s">
        <v>26</v>
      </c>
      <c r="E231" s="2">
        <v>1</v>
      </c>
      <c r="F231" t="s">
        <v>80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x14ac:dyDescent="0.25">
      <c r="A232" s="2" t="s">
        <v>11</v>
      </c>
      <c r="B232" s="2" t="s">
        <v>64</v>
      </c>
      <c r="C232" t="s">
        <v>91</v>
      </c>
      <c r="D232" t="s">
        <v>27</v>
      </c>
      <c r="E232" s="2">
        <v>1</v>
      </c>
      <c r="F232" t="s">
        <v>80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11</v>
      </c>
      <c r="B233" s="2" t="s">
        <v>64</v>
      </c>
      <c r="C233" t="s">
        <v>92</v>
      </c>
      <c r="D233" t="s">
        <v>27</v>
      </c>
      <c r="E233" s="2">
        <v>1</v>
      </c>
      <c r="F233" t="s">
        <v>80</v>
      </c>
      <c r="G233">
        <v>5.49</v>
      </c>
      <c r="H233">
        <v>4.99</v>
      </c>
      <c r="I233" s="2" t="str">
        <f>_xlfn.XLOOKUP(F233,DeparaIMG!B:B,DeparaIMG!D:D,,0)</f>
        <v>MIC350.png</v>
      </c>
    </row>
    <row r="234" spans="1:9" x14ac:dyDescent="0.25">
      <c r="A234" s="2" t="s">
        <v>11</v>
      </c>
      <c r="B234" s="2" t="s">
        <v>64</v>
      </c>
      <c r="C234" t="s">
        <v>4</v>
      </c>
      <c r="D234" t="s">
        <v>26</v>
      </c>
      <c r="E234" s="2">
        <v>2</v>
      </c>
      <c r="F234" t="s">
        <v>67</v>
      </c>
      <c r="G234">
        <v>5.49</v>
      </c>
      <c r="H234">
        <v>4.6900000000000004</v>
      </c>
      <c r="I234" s="2" t="str">
        <f>_xlfn.XLOOKUP(F234,DeparaIMG!B:B,DeparaIMG!D:D,,0)</f>
        <v>STE350.png</v>
      </c>
    </row>
    <row r="235" spans="1:9" x14ac:dyDescent="0.25">
      <c r="A235" s="2" t="s">
        <v>11</v>
      </c>
      <c r="B235" s="2" t="s">
        <v>64</v>
      </c>
      <c r="C235" t="s">
        <v>29</v>
      </c>
      <c r="D235" t="s">
        <v>27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COR350.png</v>
      </c>
    </row>
    <row r="236" spans="1:9" x14ac:dyDescent="0.25">
      <c r="A236" s="2" t="s">
        <v>11</v>
      </c>
      <c r="B236" s="2" t="s">
        <v>64</v>
      </c>
      <c r="C236" t="s">
        <v>29</v>
      </c>
      <c r="D236" t="s">
        <v>27</v>
      </c>
      <c r="E236" s="2">
        <v>2</v>
      </c>
      <c r="F236" t="s">
        <v>82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x14ac:dyDescent="0.25">
      <c r="A237" s="2" t="s">
        <v>11</v>
      </c>
      <c r="B237" s="2" t="s">
        <v>64</v>
      </c>
      <c r="C237" t="s">
        <v>29</v>
      </c>
      <c r="D237" t="s">
        <v>26</v>
      </c>
      <c r="E237" s="2">
        <v>2</v>
      </c>
      <c r="F237" t="s">
        <v>82</v>
      </c>
      <c r="G237">
        <v>6.19</v>
      </c>
      <c r="H237">
        <v>5.39</v>
      </c>
      <c r="I237" s="2" t="str">
        <f>_xlfn.XLOOKUP(F237,DeparaIMG!B:B,DeparaIMG!D:D,,0)</f>
        <v>CORCERO350.png</v>
      </c>
    </row>
    <row r="238" spans="1:9" x14ac:dyDescent="0.25">
      <c r="A238" s="2" t="s">
        <v>11</v>
      </c>
      <c r="B238" s="2" t="s">
        <v>64</v>
      </c>
      <c r="C238" t="s">
        <v>30</v>
      </c>
      <c r="D238" t="s">
        <v>27</v>
      </c>
      <c r="E238" s="2">
        <v>2</v>
      </c>
      <c r="F238" t="s">
        <v>81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x14ac:dyDescent="0.25">
      <c r="A239" s="2" t="s">
        <v>11</v>
      </c>
      <c r="B239" s="2" t="s">
        <v>64</v>
      </c>
      <c r="C239" t="s">
        <v>4</v>
      </c>
      <c r="D239" t="s">
        <v>27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COR350.png</v>
      </c>
    </row>
    <row r="240" spans="1:9" x14ac:dyDescent="0.25">
      <c r="A240" s="2" t="s">
        <v>11</v>
      </c>
      <c r="B240" s="2" t="s">
        <v>64</v>
      </c>
      <c r="C240" t="s">
        <v>30</v>
      </c>
      <c r="D240" t="s">
        <v>27</v>
      </c>
      <c r="E240" s="2">
        <v>2</v>
      </c>
      <c r="F240" t="s">
        <v>82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11</v>
      </c>
      <c r="B241" s="2" t="s">
        <v>64</v>
      </c>
      <c r="C241" t="s">
        <v>89</v>
      </c>
      <c r="D241" t="s">
        <v>27</v>
      </c>
      <c r="E241" s="2">
        <v>2</v>
      </c>
      <c r="F241" t="s">
        <v>82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11</v>
      </c>
      <c r="B242" s="2" t="s">
        <v>64</v>
      </c>
      <c r="C242" t="s">
        <v>90</v>
      </c>
      <c r="D242" t="s">
        <v>27</v>
      </c>
      <c r="E242" s="2">
        <v>2</v>
      </c>
      <c r="F242" t="s">
        <v>82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11</v>
      </c>
      <c r="B243" s="2" t="s">
        <v>64</v>
      </c>
      <c r="C243" t="s">
        <v>4</v>
      </c>
      <c r="D243" t="s">
        <v>27</v>
      </c>
      <c r="E243" s="2">
        <v>2</v>
      </c>
      <c r="F243" t="s">
        <v>82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11</v>
      </c>
      <c r="B244" s="2" t="s">
        <v>64</v>
      </c>
      <c r="C244" t="s">
        <v>92</v>
      </c>
      <c r="D244" t="s">
        <v>27</v>
      </c>
      <c r="E244" s="2">
        <v>2</v>
      </c>
      <c r="F244" t="s">
        <v>82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11</v>
      </c>
      <c r="B245" s="2" t="s">
        <v>64</v>
      </c>
      <c r="C245" t="s">
        <v>91</v>
      </c>
      <c r="D245" t="s">
        <v>27</v>
      </c>
      <c r="E245" s="2">
        <v>2</v>
      </c>
      <c r="F245" t="s">
        <v>82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11</v>
      </c>
      <c r="B246" s="2" t="s">
        <v>64</v>
      </c>
      <c r="C246" t="s">
        <v>89</v>
      </c>
      <c r="D246" t="s">
        <v>26</v>
      </c>
      <c r="E246" s="2">
        <v>2</v>
      </c>
      <c r="F246" t="s">
        <v>82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11</v>
      </c>
      <c r="B247" s="2" t="s">
        <v>64</v>
      </c>
      <c r="C247" t="s">
        <v>90</v>
      </c>
      <c r="D247" t="s">
        <v>26</v>
      </c>
      <c r="E247" s="2">
        <v>2</v>
      </c>
      <c r="F247" t="s">
        <v>82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11</v>
      </c>
      <c r="B248" s="2" t="s">
        <v>64</v>
      </c>
      <c r="C248" t="s">
        <v>92</v>
      </c>
      <c r="D248" t="s">
        <v>26</v>
      </c>
      <c r="E248" s="2">
        <v>2</v>
      </c>
      <c r="F248" t="s">
        <v>82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11</v>
      </c>
      <c r="B249" s="2" t="s">
        <v>64</v>
      </c>
      <c r="C249" t="s">
        <v>91</v>
      </c>
      <c r="D249" t="s">
        <v>26</v>
      </c>
      <c r="E249" s="2">
        <v>2</v>
      </c>
      <c r="F249" t="s">
        <v>82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11</v>
      </c>
      <c r="B250" s="2" t="s">
        <v>64</v>
      </c>
      <c r="C250" t="s">
        <v>30</v>
      </c>
      <c r="D250" t="s">
        <v>26</v>
      </c>
      <c r="E250" s="2">
        <v>2</v>
      </c>
      <c r="F250" t="s">
        <v>82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11</v>
      </c>
      <c r="B251" s="2" t="s">
        <v>64</v>
      </c>
      <c r="C251" t="s">
        <v>4</v>
      </c>
      <c r="D251" t="s">
        <v>26</v>
      </c>
      <c r="E251" s="2">
        <v>2</v>
      </c>
      <c r="F251" t="s">
        <v>82</v>
      </c>
      <c r="G251">
        <v>6.29</v>
      </c>
      <c r="H251">
        <v>5.49</v>
      </c>
      <c r="I251" s="2" t="str">
        <f>_xlfn.XLOOKUP(F251,DeparaIMG!B:B,DeparaIMG!D:D,,0)</f>
        <v>CORCERO350.png</v>
      </c>
    </row>
    <row r="252" spans="1:9" x14ac:dyDescent="0.25">
      <c r="A252" s="2" t="s">
        <v>11</v>
      </c>
      <c r="B252" s="2" t="s">
        <v>64</v>
      </c>
      <c r="C252" t="s">
        <v>29</v>
      </c>
      <c r="D252" t="s">
        <v>27</v>
      </c>
      <c r="E252" s="2">
        <v>1</v>
      </c>
      <c r="F252" t="s">
        <v>83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11</v>
      </c>
      <c r="B253" s="2" t="s">
        <v>64</v>
      </c>
      <c r="C253" t="s">
        <v>30</v>
      </c>
      <c r="D253" t="s">
        <v>27</v>
      </c>
      <c r="E253" s="2">
        <v>1</v>
      </c>
      <c r="F253" t="s">
        <v>83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x14ac:dyDescent="0.25">
      <c r="A254" s="2" t="s">
        <v>11</v>
      </c>
      <c r="B254" s="2" t="s">
        <v>64</v>
      </c>
      <c r="C254" t="s">
        <v>89</v>
      </c>
      <c r="D254" t="s">
        <v>27</v>
      </c>
      <c r="E254" s="2">
        <v>1</v>
      </c>
      <c r="F254" t="s">
        <v>83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x14ac:dyDescent="0.25">
      <c r="A255" s="2" t="s">
        <v>11</v>
      </c>
      <c r="B255" s="2" t="s">
        <v>64</v>
      </c>
      <c r="C255" t="s">
        <v>90</v>
      </c>
      <c r="D255" t="s">
        <v>27</v>
      </c>
      <c r="E255" s="2">
        <v>1</v>
      </c>
      <c r="F255" t="s">
        <v>83</v>
      </c>
      <c r="G255">
        <v>6.39</v>
      </c>
      <c r="H255">
        <v>5.39</v>
      </c>
      <c r="I255" s="2" t="str">
        <f>_xlfn.XLOOKUP(F255,DeparaIMG!B:B,DeparaIMG!D:D,,0)</f>
        <v>BUDZEROLN.png</v>
      </c>
    </row>
    <row r="256" spans="1:9" x14ac:dyDescent="0.25">
      <c r="A256" s="2" t="s">
        <v>11</v>
      </c>
      <c r="B256" s="2" t="s">
        <v>64</v>
      </c>
      <c r="C256" t="s">
        <v>4</v>
      </c>
      <c r="D256" t="s">
        <v>26</v>
      </c>
      <c r="E256" s="2">
        <v>1</v>
      </c>
      <c r="F256" t="s">
        <v>84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11</v>
      </c>
      <c r="B257" s="2" t="s">
        <v>64</v>
      </c>
      <c r="C257" t="s">
        <v>4</v>
      </c>
      <c r="D257" t="s">
        <v>27</v>
      </c>
      <c r="E257" s="2">
        <v>1</v>
      </c>
      <c r="F257" t="s">
        <v>84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11</v>
      </c>
      <c r="B258" s="2" t="s">
        <v>64</v>
      </c>
      <c r="C258" t="s">
        <v>4</v>
      </c>
      <c r="D258" t="s">
        <v>26</v>
      </c>
      <c r="E258" s="2">
        <v>1</v>
      </c>
      <c r="F258" t="s">
        <v>83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11</v>
      </c>
      <c r="B259" s="2" t="s">
        <v>64</v>
      </c>
      <c r="C259" t="s">
        <v>4</v>
      </c>
      <c r="D259" t="s">
        <v>27</v>
      </c>
      <c r="E259" s="2">
        <v>1</v>
      </c>
      <c r="F259" t="s">
        <v>83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11</v>
      </c>
      <c r="B260" s="2" t="s">
        <v>64</v>
      </c>
      <c r="C260" t="s">
        <v>92</v>
      </c>
      <c r="D260" t="s">
        <v>27</v>
      </c>
      <c r="E260" s="2">
        <v>1</v>
      </c>
      <c r="F260" t="s">
        <v>83</v>
      </c>
      <c r="G260">
        <v>6.39</v>
      </c>
      <c r="H260">
        <v>5.39</v>
      </c>
      <c r="I260" s="2" t="str">
        <f>_xlfn.XLOOKUP(F260,DeparaIMG!B:B,DeparaIMG!D:D,,0)</f>
        <v>BUDZEROLN.png</v>
      </c>
    </row>
    <row r="261" spans="1:9" x14ac:dyDescent="0.25">
      <c r="A261" s="2" t="s">
        <v>11</v>
      </c>
      <c r="B261" s="2" t="s">
        <v>64</v>
      </c>
      <c r="C261" t="s">
        <v>29</v>
      </c>
      <c r="D261" t="s">
        <v>27</v>
      </c>
      <c r="E261" s="2">
        <v>1</v>
      </c>
      <c r="F261" t="s">
        <v>84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11</v>
      </c>
      <c r="B262" s="2" t="s">
        <v>64</v>
      </c>
      <c r="C262" t="s">
        <v>30</v>
      </c>
      <c r="D262" t="s">
        <v>27</v>
      </c>
      <c r="E262" s="2">
        <v>1</v>
      </c>
      <c r="F262" t="s">
        <v>84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x14ac:dyDescent="0.25">
      <c r="A263" s="2" t="s">
        <v>11</v>
      </c>
      <c r="B263" s="2" t="s">
        <v>64</v>
      </c>
      <c r="C263" t="s">
        <v>89</v>
      </c>
      <c r="D263" t="s">
        <v>27</v>
      </c>
      <c r="E263" s="2">
        <v>1</v>
      </c>
      <c r="F263" t="s">
        <v>84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x14ac:dyDescent="0.25">
      <c r="A264" s="2" t="s">
        <v>11</v>
      </c>
      <c r="B264" s="2" t="s">
        <v>64</v>
      </c>
      <c r="C264" t="s">
        <v>90</v>
      </c>
      <c r="D264" t="s">
        <v>27</v>
      </c>
      <c r="E264" s="2">
        <v>1</v>
      </c>
      <c r="F264" t="s">
        <v>84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x14ac:dyDescent="0.25">
      <c r="A265" s="2" t="s">
        <v>11</v>
      </c>
      <c r="B265" s="2" t="s">
        <v>64</v>
      </c>
      <c r="C265" t="s">
        <v>92</v>
      </c>
      <c r="D265" t="s">
        <v>27</v>
      </c>
      <c r="E265" s="2">
        <v>1</v>
      </c>
      <c r="F265" t="s">
        <v>84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11</v>
      </c>
      <c r="B266" s="2" t="s">
        <v>64</v>
      </c>
      <c r="C266" t="s">
        <v>91</v>
      </c>
      <c r="D266" t="s">
        <v>27</v>
      </c>
      <c r="E266" s="2">
        <v>1</v>
      </c>
      <c r="F266" t="s">
        <v>84</v>
      </c>
      <c r="G266">
        <v>6.39</v>
      </c>
      <c r="H266">
        <v>5.69</v>
      </c>
      <c r="I266" s="2" t="str">
        <f>_xlfn.XLOOKUP(F266,DeparaIMG!B:B,DeparaIMG!D:D,,0)</f>
        <v>BUDLN.png</v>
      </c>
    </row>
    <row r="267" spans="1:9" x14ac:dyDescent="0.25">
      <c r="A267" s="2" t="s">
        <v>11</v>
      </c>
      <c r="B267" s="2" t="s">
        <v>64</v>
      </c>
      <c r="C267" t="s">
        <v>91</v>
      </c>
      <c r="D267" t="s">
        <v>27</v>
      </c>
      <c r="E267" s="2">
        <v>1</v>
      </c>
      <c r="F267" t="s">
        <v>83</v>
      </c>
      <c r="G267">
        <v>6.39</v>
      </c>
      <c r="H267">
        <v>5.39</v>
      </c>
      <c r="I267" s="2" t="str">
        <f>_xlfn.XLOOKUP(F267,DeparaIMG!B:B,DeparaIMG!D:D,,0)</f>
        <v>BUDZEROLN.png</v>
      </c>
    </row>
    <row r="268" spans="1:9" x14ac:dyDescent="0.25">
      <c r="A268" s="2" t="s">
        <v>11</v>
      </c>
      <c r="B268" s="2" t="s">
        <v>64</v>
      </c>
      <c r="C268" t="s">
        <v>29</v>
      </c>
      <c r="D268" t="s">
        <v>26</v>
      </c>
      <c r="E268" s="2">
        <v>2</v>
      </c>
      <c r="F268" t="s">
        <v>85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11</v>
      </c>
      <c r="B269" s="2" t="s">
        <v>64</v>
      </c>
      <c r="C269" t="s">
        <v>29</v>
      </c>
      <c r="D269" t="s">
        <v>27</v>
      </c>
      <c r="E269" s="2">
        <v>2</v>
      </c>
      <c r="F269" t="s">
        <v>85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11</v>
      </c>
      <c r="B270" s="2" t="s">
        <v>64</v>
      </c>
      <c r="C270" t="s">
        <v>30</v>
      </c>
      <c r="D270" t="s">
        <v>26</v>
      </c>
      <c r="E270" s="2">
        <v>2</v>
      </c>
      <c r="F270" t="s">
        <v>85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11</v>
      </c>
      <c r="B271" s="2" t="s">
        <v>64</v>
      </c>
      <c r="C271" t="s">
        <v>30</v>
      </c>
      <c r="D271" t="s">
        <v>27</v>
      </c>
      <c r="E271" s="2">
        <v>2</v>
      </c>
      <c r="F271" t="s">
        <v>85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11</v>
      </c>
      <c r="B272" s="2" t="s">
        <v>64</v>
      </c>
      <c r="C272" t="s">
        <v>89</v>
      </c>
      <c r="D272" t="s">
        <v>26</v>
      </c>
      <c r="E272" s="2">
        <v>2</v>
      </c>
      <c r="F272" t="s">
        <v>85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11</v>
      </c>
      <c r="B273" s="2" t="s">
        <v>64</v>
      </c>
      <c r="C273" t="s">
        <v>89</v>
      </c>
      <c r="D273" t="s">
        <v>27</v>
      </c>
      <c r="E273" s="2">
        <v>2</v>
      </c>
      <c r="F273" t="s">
        <v>85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11</v>
      </c>
      <c r="B274" s="2" t="s">
        <v>64</v>
      </c>
      <c r="C274" t="s">
        <v>90</v>
      </c>
      <c r="D274" t="s">
        <v>26</v>
      </c>
      <c r="E274" s="2">
        <v>2</v>
      </c>
      <c r="F274" t="s">
        <v>85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11</v>
      </c>
      <c r="B275" s="2" t="s">
        <v>64</v>
      </c>
      <c r="C275" t="s">
        <v>90</v>
      </c>
      <c r="D275" t="s">
        <v>27</v>
      </c>
      <c r="E275" s="2">
        <v>2</v>
      </c>
      <c r="F275" t="s">
        <v>85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11</v>
      </c>
      <c r="B276" s="2" t="s">
        <v>64</v>
      </c>
      <c r="C276" t="s">
        <v>4</v>
      </c>
      <c r="D276" t="s">
        <v>26</v>
      </c>
      <c r="E276" s="2">
        <v>2</v>
      </c>
      <c r="F276" t="s">
        <v>85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11</v>
      </c>
      <c r="B277" s="2" t="s">
        <v>64</v>
      </c>
      <c r="C277" t="s">
        <v>4</v>
      </c>
      <c r="D277" t="s">
        <v>27</v>
      </c>
      <c r="E277" s="2">
        <v>2</v>
      </c>
      <c r="F277" t="s">
        <v>85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11</v>
      </c>
      <c r="B278" s="2" t="s">
        <v>64</v>
      </c>
      <c r="C278" t="s">
        <v>92</v>
      </c>
      <c r="D278" t="s">
        <v>27</v>
      </c>
      <c r="E278" s="2">
        <v>2</v>
      </c>
      <c r="F278" t="s">
        <v>85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11</v>
      </c>
      <c r="B279" s="2" t="s">
        <v>64</v>
      </c>
      <c r="C279" t="s">
        <v>91</v>
      </c>
      <c r="D279" t="s">
        <v>27</v>
      </c>
      <c r="E279" s="2">
        <v>2</v>
      </c>
      <c r="F279" t="s">
        <v>85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11</v>
      </c>
      <c r="B280" s="2" t="s">
        <v>64</v>
      </c>
      <c r="C280" t="s">
        <v>91</v>
      </c>
      <c r="D280" t="s">
        <v>26</v>
      </c>
      <c r="E280" s="2">
        <v>2</v>
      </c>
      <c r="F280" t="s">
        <v>85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11</v>
      </c>
      <c r="B281" s="2" t="s">
        <v>64</v>
      </c>
      <c r="C281" t="s">
        <v>92</v>
      </c>
      <c r="D281" t="s">
        <v>26</v>
      </c>
      <c r="E281" s="2">
        <v>2</v>
      </c>
      <c r="F281" t="s">
        <v>85</v>
      </c>
      <c r="G281">
        <v>6.69</v>
      </c>
      <c r="H281">
        <v>5.99</v>
      </c>
      <c r="I281" s="2" t="str">
        <f>_xlfn.XLOOKUP(F281,DeparaIMG!B:B,DeparaIMG!D:D,,0)</f>
        <v>MICLN.png</v>
      </c>
    </row>
    <row r="282" spans="1:9" x14ac:dyDescent="0.25">
      <c r="A282" s="2" t="s">
        <v>11</v>
      </c>
      <c r="B282" s="2" t="s">
        <v>64</v>
      </c>
      <c r="C282" t="s">
        <v>93</v>
      </c>
      <c r="D282" t="s">
        <v>26</v>
      </c>
      <c r="E282" s="2">
        <v>2</v>
      </c>
      <c r="F282" t="s">
        <v>86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11</v>
      </c>
      <c r="B283" s="2" t="s">
        <v>64</v>
      </c>
      <c r="C283" t="s">
        <v>4</v>
      </c>
      <c r="D283" t="s">
        <v>26</v>
      </c>
      <c r="E283" s="2">
        <v>2</v>
      </c>
      <c r="F283" t="s">
        <v>86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11</v>
      </c>
      <c r="B284" s="2" t="s">
        <v>64</v>
      </c>
      <c r="C284" t="s">
        <v>91</v>
      </c>
      <c r="D284" t="s">
        <v>26</v>
      </c>
      <c r="E284" s="2">
        <v>2</v>
      </c>
      <c r="F284" t="s">
        <v>86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11</v>
      </c>
      <c r="B285" s="2" t="s">
        <v>64</v>
      </c>
      <c r="C285" t="s">
        <v>29</v>
      </c>
      <c r="D285" t="s">
        <v>26</v>
      </c>
      <c r="E285" s="2">
        <v>2</v>
      </c>
      <c r="F285" t="s">
        <v>86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11</v>
      </c>
      <c r="B286" s="2" t="s">
        <v>64</v>
      </c>
      <c r="C286" t="s">
        <v>30</v>
      </c>
      <c r="D286" t="s">
        <v>26</v>
      </c>
      <c r="E286" s="2">
        <v>2</v>
      </c>
      <c r="F286" t="s">
        <v>86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11</v>
      </c>
      <c r="B287" s="2" t="s">
        <v>64</v>
      </c>
      <c r="C287" t="s">
        <v>90</v>
      </c>
      <c r="D287" t="s">
        <v>26</v>
      </c>
      <c r="E287" s="2">
        <v>2</v>
      </c>
      <c r="F287" t="s">
        <v>86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11</v>
      </c>
      <c r="B288" s="2" t="s">
        <v>64</v>
      </c>
      <c r="C288" t="s">
        <v>89</v>
      </c>
      <c r="D288" t="s">
        <v>26</v>
      </c>
      <c r="E288" s="2">
        <v>2</v>
      </c>
      <c r="F288" t="s">
        <v>86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11</v>
      </c>
      <c r="B289" s="2" t="s">
        <v>64</v>
      </c>
      <c r="C289" t="s">
        <v>93</v>
      </c>
      <c r="D289" t="s">
        <v>27</v>
      </c>
      <c r="E289" s="2">
        <v>2</v>
      </c>
      <c r="F289" t="s">
        <v>86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11</v>
      </c>
      <c r="B290" s="2" t="s">
        <v>64</v>
      </c>
      <c r="C290" t="s">
        <v>4</v>
      </c>
      <c r="D290" t="s">
        <v>27</v>
      </c>
      <c r="E290" s="2">
        <v>2</v>
      </c>
      <c r="F290" t="s">
        <v>86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11</v>
      </c>
      <c r="B291" s="2" t="s">
        <v>64</v>
      </c>
      <c r="C291" t="s">
        <v>91</v>
      </c>
      <c r="D291" t="s">
        <v>27</v>
      </c>
      <c r="E291" s="2">
        <v>2</v>
      </c>
      <c r="F291" t="s">
        <v>86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11</v>
      </c>
      <c r="B292" s="2" t="s">
        <v>64</v>
      </c>
      <c r="C292" t="s">
        <v>29</v>
      </c>
      <c r="D292" t="s">
        <v>27</v>
      </c>
      <c r="E292" s="2">
        <v>2</v>
      </c>
      <c r="F292" t="s">
        <v>86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11</v>
      </c>
      <c r="B293" s="2" t="s">
        <v>64</v>
      </c>
      <c r="C293" t="s">
        <v>30</v>
      </c>
      <c r="D293" t="s">
        <v>27</v>
      </c>
      <c r="E293" s="2">
        <v>2</v>
      </c>
      <c r="F293" t="s">
        <v>86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11</v>
      </c>
      <c r="B294" s="2" t="s">
        <v>64</v>
      </c>
      <c r="C294" t="s">
        <v>90</v>
      </c>
      <c r="D294" t="s">
        <v>27</v>
      </c>
      <c r="E294" s="2">
        <v>2</v>
      </c>
      <c r="F294" t="s">
        <v>86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11</v>
      </c>
      <c r="B295" s="2" t="s">
        <v>64</v>
      </c>
      <c r="C295" t="s">
        <v>89</v>
      </c>
      <c r="D295" t="s">
        <v>27</v>
      </c>
      <c r="E295" s="2">
        <v>2</v>
      </c>
      <c r="F295" t="s">
        <v>86</v>
      </c>
      <c r="G295">
        <v>6.99</v>
      </c>
      <c r="H295">
        <v>6.59</v>
      </c>
      <c r="I295" s="2" t="str">
        <f>_xlfn.XLOOKUP(F295,DeparaIMG!B:B,DeparaIMG!D:D,,0)</f>
        <v>STELN.png</v>
      </c>
    </row>
    <row r="296" spans="1:9" x14ac:dyDescent="0.25">
      <c r="A296" s="2" t="s">
        <v>11</v>
      </c>
      <c r="B296" s="2" t="s">
        <v>64</v>
      </c>
      <c r="C296" t="s">
        <v>90</v>
      </c>
      <c r="D296" t="s">
        <v>26</v>
      </c>
      <c r="E296" s="2">
        <v>1</v>
      </c>
      <c r="F296" t="s">
        <v>87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x14ac:dyDescent="0.25">
      <c r="A297" s="2" t="s">
        <v>11</v>
      </c>
      <c r="B297" s="2" t="s">
        <v>64</v>
      </c>
      <c r="C297" t="s">
        <v>4</v>
      </c>
      <c r="D297" t="s">
        <v>27</v>
      </c>
      <c r="E297" s="2">
        <v>1</v>
      </c>
      <c r="F297" t="s">
        <v>87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x14ac:dyDescent="0.25">
      <c r="A298" s="2" t="s">
        <v>11</v>
      </c>
      <c r="B298" s="2" t="s">
        <v>64</v>
      </c>
      <c r="C298" t="s">
        <v>91</v>
      </c>
      <c r="D298" t="s">
        <v>27</v>
      </c>
      <c r="E298" s="2">
        <v>1</v>
      </c>
      <c r="F298" t="s">
        <v>87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x14ac:dyDescent="0.25">
      <c r="A299" s="2" t="s">
        <v>11</v>
      </c>
      <c r="B299" s="2" t="s">
        <v>64</v>
      </c>
      <c r="C299" t="s">
        <v>92</v>
      </c>
      <c r="D299" t="s">
        <v>27</v>
      </c>
      <c r="E299" s="2">
        <v>1</v>
      </c>
      <c r="F299" t="s">
        <v>87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x14ac:dyDescent="0.25">
      <c r="A300" s="2" t="s">
        <v>11</v>
      </c>
      <c r="B300" s="2" t="s">
        <v>64</v>
      </c>
      <c r="C300" t="s">
        <v>91</v>
      </c>
      <c r="D300" t="s">
        <v>26</v>
      </c>
      <c r="E300" s="2">
        <v>1</v>
      </c>
      <c r="F300" t="s">
        <v>87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11</v>
      </c>
      <c r="B301" s="2" t="s">
        <v>64</v>
      </c>
      <c r="C301" t="s">
        <v>92</v>
      </c>
      <c r="D301" t="s">
        <v>26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11</v>
      </c>
      <c r="B302" s="2" t="s">
        <v>64</v>
      </c>
      <c r="C302" t="s">
        <v>90</v>
      </c>
      <c r="D302" t="s">
        <v>26</v>
      </c>
      <c r="E302" s="2">
        <v>1</v>
      </c>
      <c r="F302" t="s">
        <v>88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x14ac:dyDescent="0.25">
      <c r="A303" s="2" t="s">
        <v>11</v>
      </c>
      <c r="B303" s="2" t="s">
        <v>64</v>
      </c>
      <c r="C303" t="s">
        <v>4</v>
      </c>
      <c r="D303" t="s">
        <v>27</v>
      </c>
      <c r="E303" s="2">
        <v>1</v>
      </c>
      <c r="F303" t="s">
        <v>88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x14ac:dyDescent="0.25">
      <c r="A304" s="2" t="s">
        <v>11</v>
      </c>
      <c r="B304" s="2" t="s">
        <v>64</v>
      </c>
      <c r="C304" t="s">
        <v>91</v>
      </c>
      <c r="D304" t="s">
        <v>27</v>
      </c>
      <c r="E304" s="2">
        <v>1</v>
      </c>
      <c r="F304" t="s">
        <v>88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x14ac:dyDescent="0.25">
      <c r="A305" s="2" t="s">
        <v>11</v>
      </c>
      <c r="B305" s="2" t="s">
        <v>64</v>
      </c>
      <c r="C305" t="s">
        <v>92</v>
      </c>
      <c r="D305" t="s">
        <v>27</v>
      </c>
      <c r="E305" s="2">
        <v>1</v>
      </c>
      <c r="F305" t="s">
        <v>88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x14ac:dyDescent="0.25">
      <c r="A306" s="2" t="s">
        <v>11</v>
      </c>
      <c r="B306" s="2" t="s">
        <v>64</v>
      </c>
      <c r="C306" t="s">
        <v>91</v>
      </c>
      <c r="D306" t="s">
        <v>26</v>
      </c>
      <c r="E306" s="2">
        <v>1</v>
      </c>
      <c r="F306" t="s">
        <v>88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11</v>
      </c>
      <c r="B307" s="2" t="s">
        <v>64</v>
      </c>
      <c r="C307" t="s">
        <v>92</v>
      </c>
      <c r="D307" t="s">
        <v>26</v>
      </c>
      <c r="E307" s="2">
        <v>1</v>
      </c>
      <c r="F307" t="s">
        <v>88</v>
      </c>
      <c r="G307">
        <v>7.99</v>
      </c>
      <c r="H307">
        <v>6.99</v>
      </c>
      <c r="I307" s="2" t="str">
        <f>_xlfn.XLOOKUP(F307,DeparaIMG!B:B,DeparaIMG!D:D,,0)</f>
        <v>CORCEROLN.png</v>
      </c>
    </row>
    <row r="308" spans="1:9" x14ac:dyDescent="0.25">
      <c r="A308" s="2" t="s">
        <v>11</v>
      </c>
      <c r="B308" s="2" t="s">
        <v>64</v>
      </c>
      <c r="C308" t="s">
        <v>29</v>
      </c>
      <c r="D308" t="s">
        <v>26</v>
      </c>
      <c r="E308" s="2">
        <v>1</v>
      </c>
      <c r="F308" t="s">
        <v>87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x14ac:dyDescent="0.25">
      <c r="A309" s="2" t="s">
        <v>11</v>
      </c>
      <c r="B309" s="2" t="s">
        <v>64</v>
      </c>
      <c r="C309" t="s">
        <v>29</v>
      </c>
      <c r="D309" t="s">
        <v>27</v>
      </c>
      <c r="E309" s="2">
        <v>1</v>
      </c>
      <c r="F309" t="s">
        <v>87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x14ac:dyDescent="0.25">
      <c r="A310" s="2" t="s">
        <v>11</v>
      </c>
      <c r="B310" s="2" t="s">
        <v>64</v>
      </c>
      <c r="C310" t="s">
        <v>30</v>
      </c>
      <c r="D310" t="s">
        <v>26</v>
      </c>
      <c r="E310" s="2">
        <v>1</v>
      </c>
      <c r="F310" t="s">
        <v>87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x14ac:dyDescent="0.25">
      <c r="A311" s="2" t="s">
        <v>11</v>
      </c>
      <c r="B311" s="2" t="s">
        <v>64</v>
      </c>
      <c r="C311" t="s">
        <v>30</v>
      </c>
      <c r="D311" t="s">
        <v>27</v>
      </c>
      <c r="E311" s="2">
        <v>1</v>
      </c>
      <c r="F311" t="s">
        <v>87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x14ac:dyDescent="0.25">
      <c r="A312" s="2" t="s">
        <v>11</v>
      </c>
      <c r="B312" s="2" t="s">
        <v>64</v>
      </c>
      <c r="C312" t="s">
        <v>89</v>
      </c>
      <c r="D312" t="s">
        <v>26</v>
      </c>
      <c r="E312" s="2">
        <v>1</v>
      </c>
      <c r="F312" t="s">
        <v>87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11</v>
      </c>
      <c r="B313" s="2" t="s">
        <v>64</v>
      </c>
      <c r="C313" t="s">
        <v>89</v>
      </c>
      <c r="D313" t="s">
        <v>27</v>
      </c>
      <c r="E313" s="2">
        <v>1</v>
      </c>
      <c r="F313" t="s">
        <v>87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11</v>
      </c>
      <c r="B314" s="2" t="s">
        <v>64</v>
      </c>
      <c r="C314" t="s">
        <v>90</v>
      </c>
      <c r="D314" t="s">
        <v>27</v>
      </c>
      <c r="E314" s="2">
        <v>1</v>
      </c>
      <c r="F314" t="s">
        <v>87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11</v>
      </c>
      <c r="B315" s="2" t="s">
        <v>64</v>
      </c>
      <c r="C315" t="s">
        <v>4</v>
      </c>
      <c r="D315" t="s">
        <v>26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CORLN.png</v>
      </c>
    </row>
    <row r="316" spans="1:9" x14ac:dyDescent="0.25">
      <c r="A316" s="2" t="s">
        <v>11</v>
      </c>
      <c r="B316" s="2" t="s">
        <v>64</v>
      </c>
      <c r="C316" t="s">
        <v>29</v>
      </c>
      <c r="D316" t="s">
        <v>26</v>
      </c>
      <c r="E316" s="2">
        <v>1</v>
      </c>
      <c r="F316" t="s">
        <v>88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x14ac:dyDescent="0.25">
      <c r="A317" s="2" t="s">
        <v>11</v>
      </c>
      <c r="B317" s="2" t="s">
        <v>64</v>
      </c>
      <c r="C317" t="s">
        <v>29</v>
      </c>
      <c r="D317" t="s">
        <v>27</v>
      </c>
      <c r="E317" s="2">
        <v>1</v>
      </c>
      <c r="F317" t="s">
        <v>88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x14ac:dyDescent="0.25">
      <c r="A318" s="2" t="s">
        <v>11</v>
      </c>
      <c r="B318" s="2" t="s">
        <v>64</v>
      </c>
      <c r="C318" t="s">
        <v>30</v>
      </c>
      <c r="D318" t="s">
        <v>26</v>
      </c>
      <c r="E318" s="2">
        <v>1</v>
      </c>
      <c r="F318" t="s">
        <v>88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x14ac:dyDescent="0.25">
      <c r="A319" s="2" t="s">
        <v>11</v>
      </c>
      <c r="B319" s="2" t="s">
        <v>64</v>
      </c>
      <c r="C319" t="s">
        <v>30</v>
      </c>
      <c r="D319" t="s">
        <v>27</v>
      </c>
      <c r="E319" s="2">
        <v>1</v>
      </c>
      <c r="F319" t="s">
        <v>88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x14ac:dyDescent="0.25">
      <c r="A320" s="2" t="s">
        <v>11</v>
      </c>
      <c r="B320" s="2" t="s">
        <v>64</v>
      </c>
      <c r="C320" t="s">
        <v>89</v>
      </c>
      <c r="D320" t="s">
        <v>26</v>
      </c>
      <c r="E320" s="2">
        <v>1</v>
      </c>
      <c r="F320" t="s">
        <v>88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11</v>
      </c>
      <c r="B321" s="2" t="s">
        <v>64</v>
      </c>
      <c r="C321" t="s">
        <v>89</v>
      </c>
      <c r="D321" t="s">
        <v>27</v>
      </c>
      <c r="E321" s="2">
        <v>1</v>
      </c>
      <c r="F321" t="s">
        <v>88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11</v>
      </c>
      <c r="B322" s="2" t="s">
        <v>64</v>
      </c>
      <c r="C322" t="s">
        <v>90</v>
      </c>
      <c r="D322" t="s">
        <v>27</v>
      </c>
      <c r="E322" s="2">
        <v>1</v>
      </c>
      <c r="F322" t="s">
        <v>88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11</v>
      </c>
      <c r="B323" s="2" t="s">
        <v>64</v>
      </c>
      <c r="C323" t="s">
        <v>4</v>
      </c>
      <c r="D323" t="s">
        <v>26</v>
      </c>
      <c r="E323" s="2">
        <v>1</v>
      </c>
      <c r="F323" t="s">
        <v>88</v>
      </c>
      <c r="G323">
        <v>7.99</v>
      </c>
      <c r="H323">
        <v>6.99</v>
      </c>
      <c r="I323" s="2" t="str">
        <f>_xlfn.XLOOKUP(F323,DeparaIMG!B:B,DeparaIMG!D:D,,0)</f>
        <v>CORCEROLN.png</v>
      </c>
    </row>
    <row r="324" spans="1:9" x14ac:dyDescent="0.25">
      <c r="A324" s="2" t="s">
        <v>11</v>
      </c>
      <c r="B324" s="2" t="s">
        <v>64</v>
      </c>
      <c r="C324" t="s">
        <v>94</v>
      </c>
      <c r="D324" t="s">
        <v>27</v>
      </c>
      <c r="E324" s="2">
        <v>2</v>
      </c>
      <c r="F324" t="s">
        <v>65</v>
      </c>
      <c r="G324">
        <v>3.19</v>
      </c>
      <c r="H324">
        <v>2.99</v>
      </c>
      <c r="I324" s="2" t="str">
        <f>_xlfn.XLOOKUP(F324,DeparaIMG!B:B,DeparaIMG!D:D,,0)</f>
        <v>SKZERO269.png</v>
      </c>
    </row>
    <row r="325" spans="1:9" x14ac:dyDescent="0.25">
      <c r="A325" s="2" t="s">
        <v>11</v>
      </c>
      <c r="B325" s="2" t="s">
        <v>64</v>
      </c>
      <c r="C325" t="s">
        <v>94</v>
      </c>
      <c r="D325" t="s">
        <v>26</v>
      </c>
      <c r="E325" s="2">
        <v>2</v>
      </c>
      <c r="F325" t="s">
        <v>65</v>
      </c>
      <c r="G325">
        <v>3.19</v>
      </c>
      <c r="H325">
        <v>2.99</v>
      </c>
      <c r="I325" s="2" t="str">
        <f>_xlfn.XLOOKUP(F325,DeparaIMG!B:B,DeparaIMG!D:D,,0)</f>
        <v>SKZERO269.png</v>
      </c>
    </row>
    <row r="326" spans="1:9" x14ac:dyDescent="0.25">
      <c r="A326" s="2" t="s">
        <v>11</v>
      </c>
      <c r="B326" s="2" t="s">
        <v>64</v>
      </c>
      <c r="C326" t="s">
        <v>94</v>
      </c>
      <c r="D326" t="s">
        <v>26</v>
      </c>
      <c r="E326" s="2">
        <v>1</v>
      </c>
      <c r="F326" t="s">
        <v>70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11</v>
      </c>
      <c r="B327" s="2" t="s">
        <v>64</v>
      </c>
      <c r="C327" t="s">
        <v>94</v>
      </c>
      <c r="D327" t="s">
        <v>26</v>
      </c>
      <c r="E327" s="2">
        <v>2</v>
      </c>
      <c r="F327" t="s">
        <v>68</v>
      </c>
      <c r="G327">
        <v>3.29</v>
      </c>
      <c r="H327">
        <v>3.09</v>
      </c>
      <c r="I327" s="2" t="str">
        <f>_xlfn.XLOOKUP(F327,DeparaIMG!B:B,DeparaIMG!D:D,,0)</f>
        <v>SK269.png</v>
      </c>
    </row>
    <row r="328" spans="1:9" x14ac:dyDescent="0.25">
      <c r="A328" s="2" t="s">
        <v>11</v>
      </c>
      <c r="B328" s="2" t="s">
        <v>64</v>
      </c>
      <c r="C328" t="s">
        <v>94</v>
      </c>
      <c r="D328" t="s">
        <v>27</v>
      </c>
      <c r="E328" s="2">
        <v>2</v>
      </c>
      <c r="F328" t="s">
        <v>68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11</v>
      </c>
      <c r="B329" s="2" t="s">
        <v>64</v>
      </c>
      <c r="C329" t="s">
        <v>94</v>
      </c>
      <c r="D329" t="s">
        <v>26</v>
      </c>
      <c r="E329" s="2">
        <v>1</v>
      </c>
      <c r="F329" t="s">
        <v>71</v>
      </c>
      <c r="G329">
        <v>3.39</v>
      </c>
      <c r="H329">
        <v>2.99</v>
      </c>
      <c r="I329" s="2" t="str">
        <f>_xlfn.XLOOKUP(F329,DeparaIMG!B:B,DeparaIMG!D:D,,0)</f>
        <v>BUD269.png</v>
      </c>
    </row>
    <row r="330" spans="1:9" x14ac:dyDescent="0.25">
      <c r="A330" s="2" t="s">
        <v>11</v>
      </c>
      <c r="B330" s="2" t="s">
        <v>64</v>
      </c>
      <c r="C330" t="s">
        <v>94</v>
      </c>
      <c r="D330" t="s">
        <v>26</v>
      </c>
      <c r="E330" s="2">
        <v>1</v>
      </c>
      <c r="F330" t="s">
        <v>72</v>
      </c>
      <c r="G330">
        <v>3.69</v>
      </c>
      <c r="H330">
        <v>3.19</v>
      </c>
      <c r="I330" s="2" t="str">
        <f>_xlfn.XLOOKUP(F330,DeparaIMG!B:B,DeparaIMG!D:D,,0)</f>
        <v>BC0350.png</v>
      </c>
    </row>
    <row r="331" spans="1:9" x14ac:dyDescent="0.25">
      <c r="A331" s="2" t="s">
        <v>11</v>
      </c>
      <c r="B331" s="2" t="s">
        <v>64</v>
      </c>
      <c r="C331" t="s">
        <v>94</v>
      </c>
      <c r="D331" t="s">
        <v>26</v>
      </c>
      <c r="E331" s="2">
        <v>2</v>
      </c>
      <c r="F331" t="s">
        <v>72</v>
      </c>
      <c r="G331">
        <v>3.69</v>
      </c>
      <c r="H331">
        <v>3.19</v>
      </c>
      <c r="I331" s="2" t="str">
        <f>_xlfn.XLOOKUP(F331,DeparaIMG!B:B,DeparaIMG!D:D,,0)</f>
        <v>BC0350.png</v>
      </c>
    </row>
    <row r="332" spans="1:9" x14ac:dyDescent="0.25">
      <c r="A332" s="2" t="s">
        <v>11</v>
      </c>
      <c r="B332" s="2" t="s">
        <v>64</v>
      </c>
      <c r="C332" t="s">
        <v>94</v>
      </c>
      <c r="D332" t="s">
        <v>27</v>
      </c>
      <c r="E332" s="2">
        <v>1</v>
      </c>
      <c r="F332" t="s">
        <v>73</v>
      </c>
      <c r="G332">
        <v>3.79</v>
      </c>
      <c r="H332">
        <v>3.49</v>
      </c>
      <c r="I332" s="2" t="str">
        <f>_xlfn.XLOOKUP(F332,DeparaIMG!B:B,DeparaIMG!D:D,,0)</f>
        <v>BC350.png</v>
      </c>
    </row>
    <row r="333" spans="1:9" x14ac:dyDescent="0.25">
      <c r="A333" s="2" t="s">
        <v>11</v>
      </c>
      <c r="B333" s="2" t="s">
        <v>64</v>
      </c>
      <c r="C333" t="s">
        <v>94</v>
      </c>
      <c r="D333" t="s">
        <v>26</v>
      </c>
      <c r="E333" s="2">
        <v>2</v>
      </c>
      <c r="F333" t="s">
        <v>66</v>
      </c>
      <c r="G333">
        <v>3.89</v>
      </c>
      <c r="H333">
        <v>3.69</v>
      </c>
      <c r="I333" s="2" t="str">
        <f>_xlfn.XLOOKUP(F333,DeparaIMG!B:B,DeparaIMG!D:D,,0)</f>
        <v>SKZERO350.png</v>
      </c>
    </row>
    <row r="334" spans="1:9" x14ac:dyDescent="0.25">
      <c r="A334" s="2" t="s">
        <v>11</v>
      </c>
      <c r="B334" s="2" t="s">
        <v>64</v>
      </c>
      <c r="C334" t="s">
        <v>94</v>
      </c>
      <c r="D334" t="s">
        <v>26</v>
      </c>
      <c r="E334" s="2">
        <v>2</v>
      </c>
      <c r="F334" t="s">
        <v>74</v>
      </c>
      <c r="G334">
        <v>3.89</v>
      </c>
      <c r="H334">
        <v>3.59</v>
      </c>
      <c r="I334" s="2" t="str">
        <f>_xlfn.XLOOKUP(F334,DeparaIMG!B:B,DeparaIMG!D:D,,0)</f>
        <v>ORI269.png</v>
      </c>
    </row>
    <row r="335" spans="1:9" x14ac:dyDescent="0.25">
      <c r="A335" s="2" t="s">
        <v>11</v>
      </c>
      <c r="B335" s="2" t="s">
        <v>64</v>
      </c>
      <c r="C335" t="s">
        <v>94</v>
      </c>
      <c r="D335" t="s">
        <v>27</v>
      </c>
      <c r="E335" s="2">
        <v>2</v>
      </c>
      <c r="F335" t="s">
        <v>74</v>
      </c>
      <c r="G335">
        <v>3.89</v>
      </c>
      <c r="H335">
        <v>3.59</v>
      </c>
      <c r="I335" s="2" t="str">
        <f>_xlfn.XLOOKUP(F335,DeparaIMG!B:B,DeparaIMG!D:D,,0)</f>
        <v>ORI269.png</v>
      </c>
    </row>
    <row r="336" spans="1:9" x14ac:dyDescent="0.25">
      <c r="A336" s="2" t="s">
        <v>11</v>
      </c>
      <c r="B336" s="2" t="s">
        <v>64</v>
      </c>
      <c r="C336" t="s">
        <v>94</v>
      </c>
      <c r="D336" t="s">
        <v>27</v>
      </c>
      <c r="E336" s="2">
        <v>1</v>
      </c>
      <c r="F336" t="s">
        <v>72</v>
      </c>
      <c r="G336">
        <v>3.99</v>
      </c>
      <c r="H336">
        <v>3.49</v>
      </c>
      <c r="I336" s="2" t="str">
        <f>_xlfn.XLOOKUP(F336,DeparaIMG!B:B,DeparaIMG!D:D,,0)</f>
        <v>BC0350.png</v>
      </c>
    </row>
    <row r="337" spans="1:9" x14ac:dyDescent="0.25">
      <c r="A337" s="2" t="s">
        <v>11</v>
      </c>
      <c r="B337" s="2" t="s">
        <v>64</v>
      </c>
      <c r="C337" t="s">
        <v>94</v>
      </c>
      <c r="D337" t="s">
        <v>27</v>
      </c>
      <c r="E337" s="2">
        <v>2</v>
      </c>
      <c r="F337" t="s">
        <v>72</v>
      </c>
      <c r="G337">
        <v>3.99</v>
      </c>
      <c r="H337">
        <v>3.49</v>
      </c>
      <c r="I337" s="2" t="str">
        <f>_xlfn.XLOOKUP(F337,DeparaIMG!B:B,DeparaIMG!D:D,,0)</f>
        <v>BC0350.png</v>
      </c>
    </row>
    <row r="338" spans="1:9" x14ac:dyDescent="0.25">
      <c r="A338" s="2" t="s">
        <v>11</v>
      </c>
      <c r="B338" s="2" t="s">
        <v>64</v>
      </c>
      <c r="C338" t="s">
        <v>94</v>
      </c>
      <c r="D338" t="s">
        <v>26</v>
      </c>
      <c r="E338" s="2">
        <v>1</v>
      </c>
      <c r="F338" t="s">
        <v>76</v>
      </c>
      <c r="G338">
        <v>4.1900000000000004</v>
      </c>
      <c r="H338">
        <v>3.19</v>
      </c>
      <c r="I338" s="2" t="str">
        <f>_xlfn.XLOOKUP(F338,DeparaIMG!B:B,DeparaIMG!D:D,,0)</f>
        <v>BUDZERO350.png</v>
      </c>
    </row>
    <row r="339" spans="1:9" x14ac:dyDescent="0.25">
      <c r="A339" s="2" t="s">
        <v>11</v>
      </c>
      <c r="B339" s="2" t="s">
        <v>64</v>
      </c>
      <c r="C339" t="s">
        <v>94</v>
      </c>
      <c r="D339" t="s">
        <v>27</v>
      </c>
      <c r="E339" s="2">
        <v>1</v>
      </c>
      <c r="F339" t="s">
        <v>76</v>
      </c>
      <c r="G339">
        <v>4.1900000000000004</v>
      </c>
      <c r="H339">
        <v>3.19</v>
      </c>
      <c r="I339" s="2" t="str">
        <f>_xlfn.XLOOKUP(F339,DeparaIMG!B:B,DeparaIMG!D:D,,0)</f>
        <v>BUDZERO350.png</v>
      </c>
    </row>
    <row r="340" spans="1:9" x14ac:dyDescent="0.25">
      <c r="A340" s="2" t="s">
        <v>11</v>
      </c>
      <c r="B340" s="2" t="s">
        <v>64</v>
      </c>
      <c r="C340" t="s">
        <v>94</v>
      </c>
      <c r="D340" t="s">
        <v>27</v>
      </c>
      <c r="E340" s="2">
        <v>2</v>
      </c>
      <c r="F340" t="s">
        <v>66</v>
      </c>
      <c r="G340">
        <v>4.1900000000000004</v>
      </c>
      <c r="H340">
        <v>3.99</v>
      </c>
      <c r="I340" s="2" t="str">
        <f>_xlfn.XLOOKUP(F340,DeparaIMG!B:B,DeparaIMG!D:D,,0)</f>
        <v>SKZERO350.png</v>
      </c>
    </row>
    <row r="341" spans="1:9" x14ac:dyDescent="0.25">
      <c r="A341" s="2" t="s">
        <v>11</v>
      </c>
      <c r="B341" s="2" t="s">
        <v>64</v>
      </c>
      <c r="C341" t="s">
        <v>94</v>
      </c>
      <c r="D341" t="s">
        <v>27</v>
      </c>
      <c r="E341" s="2">
        <v>1</v>
      </c>
      <c r="F341" t="s">
        <v>78</v>
      </c>
      <c r="G341">
        <v>4.29</v>
      </c>
      <c r="H341">
        <v>3.69</v>
      </c>
      <c r="I341" s="2" t="str">
        <f>_xlfn.XLOOKUP(F341,DeparaIMG!B:B,DeparaIMG!D:D,,0)</f>
        <v>BUD350.png</v>
      </c>
    </row>
    <row r="342" spans="1:9" x14ac:dyDescent="0.25">
      <c r="A342" s="2" t="s">
        <v>11</v>
      </c>
      <c r="B342" s="2" t="s">
        <v>64</v>
      </c>
      <c r="C342" t="s">
        <v>94</v>
      </c>
      <c r="D342" t="s">
        <v>26</v>
      </c>
      <c r="E342" s="2">
        <v>1</v>
      </c>
      <c r="F342" t="s">
        <v>80</v>
      </c>
      <c r="G342">
        <v>5.49</v>
      </c>
      <c r="H342">
        <v>4.99</v>
      </c>
      <c r="I342" s="2" t="str">
        <f>_xlfn.XLOOKUP(F342,DeparaIMG!B:B,DeparaIMG!D:D,,0)</f>
        <v>MIC350.png</v>
      </c>
    </row>
    <row r="343" spans="1:9" x14ac:dyDescent="0.25">
      <c r="A343" s="2" t="s">
        <v>11</v>
      </c>
      <c r="B343" s="2" t="s">
        <v>64</v>
      </c>
      <c r="C343" t="s">
        <v>94</v>
      </c>
      <c r="D343" t="s">
        <v>27</v>
      </c>
      <c r="E343" s="2">
        <v>1</v>
      </c>
      <c r="F343" t="s">
        <v>80</v>
      </c>
      <c r="G343">
        <v>5.49</v>
      </c>
      <c r="H343">
        <v>4.99</v>
      </c>
      <c r="I343" s="2" t="str">
        <f>_xlfn.XLOOKUP(F343,DeparaIMG!B:B,DeparaIMG!D:D,,0)</f>
        <v>MIC350.png</v>
      </c>
    </row>
    <row r="344" spans="1:9" x14ac:dyDescent="0.25">
      <c r="A344" s="2" t="s">
        <v>11</v>
      </c>
      <c r="B344" s="2" t="s">
        <v>64</v>
      </c>
      <c r="C344" t="s">
        <v>94</v>
      </c>
      <c r="D344" t="s">
        <v>27</v>
      </c>
      <c r="E344" s="2">
        <v>2</v>
      </c>
      <c r="F344" t="s">
        <v>67</v>
      </c>
      <c r="G344">
        <v>5.49</v>
      </c>
      <c r="H344">
        <v>4.6900000000000004</v>
      </c>
      <c r="I344" s="2" t="str">
        <f>_xlfn.XLOOKUP(F344,DeparaIMG!B:B,DeparaIMG!D:D,,0)</f>
        <v>STE350.png</v>
      </c>
    </row>
    <row r="345" spans="1:9" x14ac:dyDescent="0.25">
      <c r="A345" s="2" t="s">
        <v>11</v>
      </c>
      <c r="B345" s="2" t="s">
        <v>64</v>
      </c>
      <c r="C345" t="s">
        <v>94</v>
      </c>
      <c r="D345" t="s">
        <v>26</v>
      </c>
      <c r="E345" s="2">
        <v>2</v>
      </c>
      <c r="F345" t="s">
        <v>67</v>
      </c>
      <c r="G345">
        <v>5.49</v>
      </c>
      <c r="H345">
        <v>4.6900000000000004</v>
      </c>
      <c r="I345" s="2" t="str">
        <f>_xlfn.XLOOKUP(F345,DeparaIMG!B:B,DeparaIMG!D:D,,0)</f>
        <v>STE350.png</v>
      </c>
    </row>
    <row r="346" spans="1:9" x14ac:dyDescent="0.25">
      <c r="A346" s="2" t="s">
        <v>11</v>
      </c>
      <c r="B346" s="2" t="s">
        <v>64</v>
      </c>
      <c r="C346" t="s">
        <v>94</v>
      </c>
      <c r="D346" t="s">
        <v>27</v>
      </c>
      <c r="E346" s="2">
        <v>2</v>
      </c>
      <c r="F346" t="s">
        <v>81</v>
      </c>
      <c r="G346">
        <v>6.29</v>
      </c>
      <c r="H346">
        <v>5.49</v>
      </c>
      <c r="I346" s="2" t="str">
        <f>_xlfn.XLOOKUP(F346,DeparaIMG!B:B,DeparaIMG!D:D,,0)</f>
        <v>COR350.png</v>
      </c>
    </row>
    <row r="347" spans="1:9" x14ac:dyDescent="0.25">
      <c r="A347" s="2" t="s">
        <v>11</v>
      </c>
      <c r="B347" s="2" t="s">
        <v>64</v>
      </c>
      <c r="C347" t="s">
        <v>94</v>
      </c>
      <c r="D347" t="s">
        <v>27</v>
      </c>
      <c r="E347" s="2">
        <v>2</v>
      </c>
      <c r="F347" t="s">
        <v>82</v>
      </c>
      <c r="G347">
        <v>6.29</v>
      </c>
      <c r="H347">
        <v>5.49</v>
      </c>
      <c r="I347" s="2" t="str">
        <f>_xlfn.XLOOKUP(F347,DeparaIMG!B:B,DeparaIMG!D:D,,0)</f>
        <v>CORCERO350.png</v>
      </c>
    </row>
    <row r="348" spans="1:9" x14ac:dyDescent="0.25">
      <c r="A348" s="2" t="s">
        <v>11</v>
      </c>
      <c r="B348" s="2" t="s">
        <v>64</v>
      </c>
      <c r="C348" t="s">
        <v>94</v>
      </c>
      <c r="D348" t="s">
        <v>26</v>
      </c>
      <c r="E348" s="2">
        <v>2</v>
      </c>
      <c r="F348" t="s">
        <v>82</v>
      </c>
      <c r="G348">
        <v>6.29</v>
      </c>
      <c r="H348">
        <v>5.49</v>
      </c>
      <c r="I348" s="2" t="str">
        <f>_xlfn.XLOOKUP(F348,DeparaIMG!B:B,DeparaIMG!D:D,,0)</f>
        <v>CORCERO350.png</v>
      </c>
    </row>
    <row r="349" spans="1:9" x14ac:dyDescent="0.25">
      <c r="A349" s="2" t="s">
        <v>11</v>
      </c>
      <c r="B349" s="2" t="s">
        <v>64</v>
      </c>
      <c r="C349" t="s">
        <v>94</v>
      </c>
      <c r="D349" t="s">
        <v>26</v>
      </c>
      <c r="E349" s="2">
        <v>1</v>
      </c>
      <c r="F349" t="s">
        <v>84</v>
      </c>
      <c r="G349">
        <v>6.39</v>
      </c>
      <c r="H349">
        <v>5.69</v>
      </c>
      <c r="I349" s="2" t="str">
        <f>_xlfn.XLOOKUP(F349,DeparaIMG!B:B,DeparaIMG!D:D,,0)</f>
        <v>BUDLN.png</v>
      </c>
    </row>
    <row r="350" spans="1:9" x14ac:dyDescent="0.25">
      <c r="A350" s="2" t="s">
        <v>11</v>
      </c>
      <c r="B350" s="2" t="s">
        <v>64</v>
      </c>
      <c r="C350" t="s">
        <v>94</v>
      </c>
      <c r="D350" t="s">
        <v>27</v>
      </c>
      <c r="E350" s="2">
        <v>1</v>
      </c>
      <c r="F350" t="s">
        <v>84</v>
      </c>
      <c r="G350">
        <v>6.39</v>
      </c>
      <c r="H350">
        <v>5.69</v>
      </c>
      <c r="I350" s="2" t="str">
        <f>_xlfn.XLOOKUP(F350,DeparaIMG!B:B,DeparaIMG!D:D,,0)</f>
        <v>BUDLN.png</v>
      </c>
    </row>
    <row r="351" spans="1:9" x14ac:dyDescent="0.25">
      <c r="A351" s="2" t="s">
        <v>11</v>
      </c>
      <c r="B351" s="2" t="s">
        <v>64</v>
      </c>
      <c r="C351" t="s">
        <v>94</v>
      </c>
      <c r="D351" t="s">
        <v>26</v>
      </c>
      <c r="E351" s="2">
        <v>1</v>
      </c>
      <c r="F351" t="s">
        <v>83</v>
      </c>
      <c r="G351">
        <v>6.39</v>
      </c>
      <c r="H351">
        <v>5.39</v>
      </c>
      <c r="I351" s="2" t="str">
        <f>_xlfn.XLOOKUP(F351,DeparaIMG!B:B,DeparaIMG!D:D,,0)</f>
        <v>BUDZEROLN.png</v>
      </c>
    </row>
    <row r="352" spans="1:9" x14ac:dyDescent="0.25">
      <c r="A352" s="2" t="s">
        <v>11</v>
      </c>
      <c r="B352" s="2" t="s">
        <v>64</v>
      </c>
      <c r="C352" t="s">
        <v>94</v>
      </c>
      <c r="D352" t="s">
        <v>27</v>
      </c>
      <c r="E352" s="2">
        <v>1</v>
      </c>
      <c r="F352" t="s">
        <v>83</v>
      </c>
      <c r="G352">
        <v>6.39</v>
      </c>
      <c r="H352">
        <v>5.39</v>
      </c>
      <c r="I352" s="2" t="str">
        <f>_xlfn.XLOOKUP(F352,DeparaIMG!B:B,DeparaIMG!D:D,,0)</f>
        <v>BUDZEROLN.png</v>
      </c>
    </row>
    <row r="353" spans="1:9" x14ac:dyDescent="0.25">
      <c r="A353" s="2" t="s">
        <v>11</v>
      </c>
      <c r="B353" s="2" t="s">
        <v>64</v>
      </c>
      <c r="C353" t="s">
        <v>94</v>
      </c>
      <c r="D353" t="s">
        <v>26</v>
      </c>
      <c r="E353" s="2">
        <v>2</v>
      </c>
      <c r="F353" t="s">
        <v>85</v>
      </c>
      <c r="G353">
        <v>6.69</v>
      </c>
      <c r="H353">
        <v>5.99</v>
      </c>
      <c r="I353" s="2" t="str">
        <f>_xlfn.XLOOKUP(F353,DeparaIMG!B:B,DeparaIMG!D:D,,0)</f>
        <v>MICLN.png</v>
      </c>
    </row>
    <row r="354" spans="1:9" x14ac:dyDescent="0.25">
      <c r="A354" s="2" t="s">
        <v>11</v>
      </c>
      <c r="B354" s="2" t="s">
        <v>64</v>
      </c>
      <c r="C354" t="s">
        <v>94</v>
      </c>
      <c r="D354" t="s">
        <v>27</v>
      </c>
      <c r="E354" s="2">
        <v>2</v>
      </c>
      <c r="F354" t="s">
        <v>85</v>
      </c>
      <c r="G354">
        <v>6.69</v>
      </c>
      <c r="H354">
        <v>5.99</v>
      </c>
      <c r="I354" s="2" t="str">
        <f>_xlfn.XLOOKUP(F354,DeparaIMG!B:B,DeparaIMG!D:D,,0)</f>
        <v>MICLN.png</v>
      </c>
    </row>
    <row r="355" spans="1:9" x14ac:dyDescent="0.25">
      <c r="A355" s="2" t="s">
        <v>11</v>
      </c>
      <c r="B355" s="2" t="s">
        <v>64</v>
      </c>
      <c r="C355" t="s">
        <v>94</v>
      </c>
      <c r="D355" t="s">
        <v>26</v>
      </c>
      <c r="E355" s="2">
        <v>2</v>
      </c>
      <c r="F355" t="s">
        <v>86</v>
      </c>
      <c r="G355">
        <v>6.99</v>
      </c>
      <c r="H355">
        <v>6.59</v>
      </c>
      <c r="I355" s="2" t="str">
        <f>_xlfn.XLOOKUP(F355,DeparaIMG!B:B,DeparaIMG!D:D,,0)</f>
        <v>STELN.png</v>
      </c>
    </row>
    <row r="356" spans="1:9" x14ac:dyDescent="0.25">
      <c r="A356" s="2" t="s">
        <v>11</v>
      </c>
      <c r="B356" s="2" t="s">
        <v>64</v>
      </c>
      <c r="C356" t="s">
        <v>94</v>
      </c>
      <c r="D356" t="s">
        <v>27</v>
      </c>
      <c r="E356" s="2">
        <v>2</v>
      </c>
      <c r="F356" t="s">
        <v>86</v>
      </c>
      <c r="G356">
        <v>6.99</v>
      </c>
      <c r="H356">
        <v>6.59</v>
      </c>
      <c r="I356" s="2" t="str">
        <f>_xlfn.XLOOKUP(F356,DeparaIMG!B:B,DeparaIMG!D:D,,0)</f>
        <v>STELN.png</v>
      </c>
    </row>
    <row r="357" spans="1:9" x14ac:dyDescent="0.25">
      <c r="A357" s="2" t="s">
        <v>11</v>
      </c>
      <c r="B357" s="2" t="s">
        <v>64</v>
      </c>
      <c r="C357" t="s">
        <v>94</v>
      </c>
      <c r="D357" t="s">
        <v>27</v>
      </c>
      <c r="E357" s="2">
        <v>1</v>
      </c>
      <c r="F357" t="s">
        <v>87</v>
      </c>
      <c r="G357">
        <v>7.99</v>
      </c>
      <c r="H357">
        <v>6.99</v>
      </c>
      <c r="I357" s="2" t="str">
        <f>_xlfn.XLOOKUP(F357,DeparaIMG!B:B,DeparaIMG!D:D,,0)</f>
        <v>CORLN.png</v>
      </c>
    </row>
    <row r="358" spans="1:9" x14ac:dyDescent="0.25">
      <c r="A358" s="2" t="s">
        <v>11</v>
      </c>
      <c r="B358" s="2" t="s">
        <v>64</v>
      </c>
      <c r="C358" t="s">
        <v>94</v>
      </c>
      <c r="D358" t="s">
        <v>27</v>
      </c>
      <c r="E358" s="2">
        <v>1</v>
      </c>
      <c r="F358" t="s">
        <v>88</v>
      </c>
      <c r="G358">
        <v>7.99</v>
      </c>
      <c r="H358">
        <v>6.99</v>
      </c>
      <c r="I358" s="2" t="str">
        <f>_xlfn.XLOOKUP(F358,DeparaIMG!B:B,DeparaIMG!D:D,,0)</f>
        <v>CORCEROLN.png</v>
      </c>
    </row>
    <row r="359" spans="1:9" x14ac:dyDescent="0.25">
      <c r="A359" s="2" t="s">
        <v>11</v>
      </c>
      <c r="B359" s="2" t="s">
        <v>64</v>
      </c>
      <c r="C359" t="s">
        <v>94</v>
      </c>
      <c r="D359" t="s">
        <v>26</v>
      </c>
      <c r="E359" s="2">
        <v>1</v>
      </c>
      <c r="F359" t="s">
        <v>87</v>
      </c>
      <c r="G359">
        <v>7.99</v>
      </c>
      <c r="H359">
        <v>6.99</v>
      </c>
      <c r="I359" s="2" t="str">
        <f>_xlfn.XLOOKUP(F359,DeparaIMG!B:B,DeparaIMG!D:D,,0)</f>
        <v>CORLN.png</v>
      </c>
    </row>
    <row r="360" spans="1:9" x14ac:dyDescent="0.25">
      <c r="A360" s="2" t="s">
        <v>11</v>
      </c>
      <c r="B360" s="2" t="s">
        <v>64</v>
      </c>
      <c r="C360" t="s">
        <v>94</v>
      </c>
      <c r="D360" t="s">
        <v>26</v>
      </c>
      <c r="E360" s="2">
        <v>1</v>
      </c>
      <c r="F360" t="s">
        <v>88</v>
      </c>
      <c r="G360">
        <v>7.99</v>
      </c>
      <c r="H360">
        <v>6.99</v>
      </c>
      <c r="I360" s="2" t="str">
        <f>_xlfn.XLOOKUP(F360,DeparaIMG!B:B,DeparaIMG!D:D,,0)</f>
        <v>CORCEROLN.png</v>
      </c>
    </row>
    <row r="361" spans="1:9" x14ac:dyDescent="0.25">
      <c r="A361" s="2" t="s">
        <v>11</v>
      </c>
      <c r="B361" s="2" t="s">
        <v>64</v>
      </c>
      <c r="C361" t="s">
        <v>95</v>
      </c>
      <c r="D361" t="s">
        <v>27</v>
      </c>
      <c r="E361" s="2">
        <v>2</v>
      </c>
      <c r="F361" t="s">
        <v>65</v>
      </c>
      <c r="G361">
        <v>3.19</v>
      </c>
      <c r="H361">
        <v>2.99</v>
      </c>
      <c r="I361" s="2" t="str">
        <f>_xlfn.XLOOKUP(F361,DeparaIMG!B:B,DeparaIMG!D:D,,0)</f>
        <v>SKZERO269.png</v>
      </c>
    </row>
    <row r="362" spans="1:9" x14ac:dyDescent="0.25">
      <c r="A362" s="2" t="s">
        <v>11</v>
      </c>
      <c r="B362" s="2" t="s">
        <v>64</v>
      </c>
      <c r="C362" t="s">
        <v>95</v>
      </c>
      <c r="D362" t="s">
        <v>26</v>
      </c>
      <c r="E362" s="2">
        <v>2</v>
      </c>
      <c r="F362" t="s">
        <v>65</v>
      </c>
      <c r="G362">
        <v>3.19</v>
      </c>
      <c r="H362">
        <v>2.99</v>
      </c>
      <c r="I362" s="2" t="str">
        <f>_xlfn.XLOOKUP(F362,DeparaIMG!B:B,DeparaIMG!D:D,,0)</f>
        <v>SKZERO269.png</v>
      </c>
    </row>
    <row r="363" spans="1:9" x14ac:dyDescent="0.25">
      <c r="A363" s="2" t="s">
        <v>11</v>
      </c>
      <c r="B363" s="2" t="s">
        <v>64</v>
      </c>
      <c r="C363" t="s">
        <v>95</v>
      </c>
      <c r="D363" t="s">
        <v>26</v>
      </c>
      <c r="E363" s="2">
        <v>1</v>
      </c>
      <c r="F363" t="s">
        <v>70</v>
      </c>
      <c r="G363">
        <v>3.19</v>
      </c>
      <c r="H363">
        <v>2.99</v>
      </c>
      <c r="I363" s="2" t="str">
        <f>_xlfn.XLOOKUP(F363,DeparaIMG!B:B,DeparaIMG!D:D,,0)</f>
        <v>BC269.png</v>
      </c>
    </row>
    <row r="364" spans="1:9" x14ac:dyDescent="0.25">
      <c r="A364" s="2" t="s">
        <v>11</v>
      </c>
      <c r="B364" s="2" t="s">
        <v>64</v>
      </c>
      <c r="C364" t="s">
        <v>95</v>
      </c>
      <c r="D364" t="s">
        <v>26</v>
      </c>
      <c r="E364" s="2">
        <v>2</v>
      </c>
      <c r="F364" t="s">
        <v>68</v>
      </c>
      <c r="G364">
        <v>3.29</v>
      </c>
      <c r="H364">
        <v>3.09</v>
      </c>
      <c r="I364" s="2" t="str">
        <f>_xlfn.XLOOKUP(F364,DeparaIMG!B:B,DeparaIMG!D:D,,0)</f>
        <v>SK269.png</v>
      </c>
    </row>
    <row r="365" spans="1:9" x14ac:dyDescent="0.25">
      <c r="A365" s="2" t="s">
        <v>11</v>
      </c>
      <c r="B365" s="2" t="s">
        <v>64</v>
      </c>
      <c r="C365" t="s">
        <v>95</v>
      </c>
      <c r="D365" t="s">
        <v>27</v>
      </c>
      <c r="E365" s="2">
        <v>2</v>
      </c>
      <c r="F365" t="s">
        <v>68</v>
      </c>
      <c r="G365">
        <v>3.29</v>
      </c>
      <c r="H365">
        <v>3.09</v>
      </c>
      <c r="I365" s="2" t="str">
        <f>_xlfn.XLOOKUP(F365,DeparaIMG!B:B,DeparaIMG!D:D,,0)</f>
        <v>SK269.png</v>
      </c>
    </row>
    <row r="366" spans="1:9" x14ac:dyDescent="0.25">
      <c r="A366" s="2" t="s">
        <v>11</v>
      </c>
      <c r="B366" s="2" t="s">
        <v>64</v>
      </c>
      <c r="C366" t="s">
        <v>95</v>
      </c>
      <c r="D366" t="s">
        <v>26</v>
      </c>
      <c r="E366" s="2">
        <v>1</v>
      </c>
      <c r="F366" t="s">
        <v>71</v>
      </c>
      <c r="G366">
        <v>3.39</v>
      </c>
      <c r="H366">
        <v>2.99</v>
      </c>
      <c r="I366" s="2" t="str">
        <f>_xlfn.XLOOKUP(F366,DeparaIMG!B:B,DeparaIMG!D:D,,0)</f>
        <v>BUD269.png</v>
      </c>
    </row>
    <row r="367" spans="1:9" x14ac:dyDescent="0.25">
      <c r="A367" s="2" t="s">
        <v>11</v>
      </c>
      <c r="B367" s="2" t="s">
        <v>64</v>
      </c>
      <c r="C367" t="s">
        <v>95</v>
      </c>
      <c r="D367" t="s">
        <v>26</v>
      </c>
      <c r="E367" s="2">
        <v>1</v>
      </c>
      <c r="F367" t="s">
        <v>72</v>
      </c>
      <c r="G367">
        <v>3.69</v>
      </c>
      <c r="H367">
        <v>3.19</v>
      </c>
      <c r="I367" s="2" t="str">
        <f>_xlfn.XLOOKUP(F367,DeparaIMG!B:B,DeparaIMG!D:D,,0)</f>
        <v>BC0350.png</v>
      </c>
    </row>
    <row r="368" spans="1:9" x14ac:dyDescent="0.25">
      <c r="A368" s="2" t="s">
        <v>11</v>
      </c>
      <c r="B368" s="2" t="s">
        <v>64</v>
      </c>
      <c r="C368" t="s">
        <v>95</v>
      </c>
      <c r="D368" t="s">
        <v>26</v>
      </c>
      <c r="E368" s="2">
        <v>2</v>
      </c>
      <c r="F368" t="s">
        <v>72</v>
      </c>
      <c r="G368">
        <v>3.69</v>
      </c>
      <c r="H368">
        <v>3.19</v>
      </c>
      <c r="I368" s="2" t="str">
        <f>_xlfn.XLOOKUP(F368,DeparaIMG!B:B,DeparaIMG!D:D,,0)</f>
        <v>BC0350.png</v>
      </c>
    </row>
    <row r="369" spans="1:9" x14ac:dyDescent="0.25">
      <c r="A369" s="2" t="s">
        <v>11</v>
      </c>
      <c r="B369" s="2" t="s">
        <v>64</v>
      </c>
      <c r="C369" t="s">
        <v>95</v>
      </c>
      <c r="D369" t="s">
        <v>27</v>
      </c>
      <c r="E369" s="2">
        <v>1</v>
      </c>
      <c r="F369" t="s">
        <v>73</v>
      </c>
      <c r="G369">
        <v>3.79</v>
      </c>
      <c r="H369">
        <v>3.49</v>
      </c>
      <c r="I369" s="2" t="str">
        <f>_xlfn.XLOOKUP(F369,DeparaIMG!B:B,DeparaIMG!D:D,,0)</f>
        <v>BC350.png</v>
      </c>
    </row>
    <row r="370" spans="1:9" x14ac:dyDescent="0.25">
      <c r="A370" s="2" t="s">
        <v>11</v>
      </c>
      <c r="B370" s="2" t="s">
        <v>64</v>
      </c>
      <c r="C370" t="s">
        <v>95</v>
      </c>
      <c r="D370" t="s">
        <v>26</v>
      </c>
      <c r="E370" s="2">
        <v>2</v>
      </c>
      <c r="F370" t="s">
        <v>66</v>
      </c>
      <c r="G370">
        <v>3.89</v>
      </c>
      <c r="H370">
        <v>3.69</v>
      </c>
      <c r="I370" s="2" t="str">
        <f>_xlfn.XLOOKUP(F370,DeparaIMG!B:B,DeparaIMG!D:D,,0)</f>
        <v>SKZERO350.png</v>
      </c>
    </row>
    <row r="371" spans="1:9" x14ac:dyDescent="0.25">
      <c r="A371" s="2" t="s">
        <v>11</v>
      </c>
      <c r="B371" s="2" t="s">
        <v>64</v>
      </c>
      <c r="C371" t="s">
        <v>95</v>
      </c>
      <c r="D371" t="s">
        <v>26</v>
      </c>
      <c r="E371" s="2">
        <v>2</v>
      </c>
      <c r="F371" t="s">
        <v>74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11</v>
      </c>
      <c r="B372" s="2" t="s">
        <v>64</v>
      </c>
      <c r="C372" t="s">
        <v>95</v>
      </c>
      <c r="D372" t="s">
        <v>27</v>
      </c>
      <c r="E372" s="2">
        <v>2</v>
      </c>
      <c r="F372" t="s">
        <v>74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11</v>
      </c>
      <c r="B373" s="2" t="s">
        <v>64</v>
      </c>
      <c r="C373" t="s">
        <v>95</v>
      </c>
      <c r="D373" t="s">
        <v>27</v>
      </c>
      <c r="E373" s="2">
        <v>1</v>
      </c>
      <c r="F373" t="s">
        <v>72</v>
      </c>
      <c r="G373">
        <v>3.99</v>
      </c>
      <c r="H373">
        <v>3.49</v>
      </c>
      <c r="I373" s="2" t="str">
        <f>_xlfn.XLOOKUP(F373,DeparaIMG!B:B,DeparaIMG!D:D,,0)</f>
        <v>BC0350.png</v>
      </c>
    </row>
    <row r="374" spans="1:9" x14ac:dyDescent="0.25">
      <c r="A374" s="2" t="s">
        <v>11</v>
      </c>
      <c r="B374" s="2" t="s">
        <v>64</v>
      </c>
      <c r="C374" t="s">
        <v>95</v>
      </c>
      <c r="D374" t="s">
        <v>27</v>
      </c>
      <c r="E374" s="2">
        <v>2</v>
      </c>
      <c r="F374" t="s">
        <v>72</v>
      </c>
      <c r="G374">
        <v>3.99</v>
      </c>
      <c r="H374">
        <v>3.49</v>
      </c>
      <c r="I374" s="2" t="str">
        <f>_xlfn.XLOOKUP(F374,DeparaIMG!B:B,DeparaIMG!D:D,,0)</f>
        <v>BC0350.png</v>
      </c>
    </row>
    <row r="375" spans="1:9" x14ac:dyDescent="0.25">
      <c r="A375" s="2" t="s">
        <v>11</v>
      </c>
      <c r="B375" s="2" t="s">
        <v>64</v>
      </c>
      <c r="C375" t="s">
        <v>95</v>
      </c>
      <c r="D375" t="s">
        <v>26</v>
      </c>
      <c r="E375" s="2">
        <v>1</v>
      </c>
      <c r="F375" t="s">
        <v>76</v>
      </c>
      <c r="G375">
        <v>4.1900000000000004</v>
      </c>
      <c r="H375">
        <v>3.19</v>
      </c>
      <c r="I375" s="2" t="str">
        <f>_xlfn.XLOOKUP(F375,DeparaIMG!B:B,DeparaIMG!D:D,,0)</f>
        <v>BUDZERO350.png</v>
      </c>
    </row>
    <row r="376" spans="1:9" x14ac:dyDescent="0.25">
      <c r="A376" s="2" t="s">
        <v>11</v>
      </c>
      <c r="B376" s="2" t="s">
        <v>64</v>
      </c>
      <c r="C376" t="s">
        <v>95</v>
      </c>
      <c r="D376" t="s">
        <v>27</v>
      </c>
      <c r="E376" s="2">
        <v>1</v>
      </c>
      <c r="F376" t="s">
        <v>76</v>
      </c>
      <c r="G376">
        <v>4.1900000000000004</v>
      </c>
      <c r="H376">
        <v>3.19</v>
      </c>
      <c r="I376" s="2" t="str">
        <f>_xlfn.XLOOKUP(F376,DeparaIMG!B:B,DeparaIMG!D:D,,0)</f>
        <v>BUDZERO350.png</v>
      </c>
    </row>
    <row r="377" spans="1:9" x14ac:dyDescent="0.25">
      <c r="A377" s="2" t="s">
        <v>11</v>
      </c>
      <c r="B377" s="2" t="s">
        <v>64</v>
      </c>
      <c r="C377" t="s">
        <v>95</v>
      </c>
      <c r="D377" t="s">
        <v>27</v>
      </c>
      <c r="E377" s="2">
        <v>2</v>
      </c>
      <c r="F377" t="s">
        <v>66</v>
      </c>
      <c r="G377">
        <v>4.1900000000000004</v>
      </c>
      <c r="H377">
        <v>3.99</v>
      </c>
      <c r="I377" s="2" t="str">
        <f>_xlfn.XLOOKUP(F377,DeparaIMG!B:B,DeparaIMG!D:D,,0)</f>
        <v>SKZERO350.png</v>
      </c>
    </row>
    <row r="378" spans="1:9" x14ac:dyDescent="0.25">
      <c r="A378" s="2" t="s">
        <v>11</v>
      </c>
      <c r="B378" s="2" t="s">
        <v>64</v>
      </c>
      <c r="C378" t="s">
        <v>95</v>
      </c>
      <c r="D378" t="s">
        <v>27</v>
      </c>
      <c r="E378" s="2">
        <v>1</v>
      </c>
      <c r="F378" t="s">
        <v>78</v>
      </c>
      <c r="G378">
        <v>4.29</v>
      </c>
      <c r="H378">
        <v>3.69</v>
      </c>
      <c r="I378" s="2" t="str">
        <f>_xlfn.XLOOKUP(F378,DeparaIMG!B:B,DeparaIMG!D:D,,0)</f>
        <v>BUD350.png</v>
      </c>
    </row>
    <row r="379" spans="1:9" x14ac:dyDescent="0.25">
      <c r="A379" s="2" t="s">
        <v>11</v>
      </c>
      <c r="B379" s="2" t="s">
        <v>64</v>
      </c>
      <c r="C379" t="s">
        <v>95</v>
      </c>
      <c r="D379" t="s">
        <v>26</v>
      </c>
      <c r="E379" s="2">
        <v>1</v>
      </c>
      <c r="F379" t="s">
        <v>80</v>
      </c>
      <c r="G379">
        <v>5.49</v>
      </c>
      <c r="H379">
        <v>4.99</v>
      </c>
      <c r="I379" s="2" t="str">
        <f>_xlfn.XLOOKUP(F379,DeparaIMG!B:B,DeparaIMG!D:D,,0)</f>
        <v>MIC350.png</v>
      </c>
    </row>
    <row r="380" spans="1:9" x14ac:dyDescent="0.25">
      <c r="A380" s="2" t="s">
        <v>11</v>
      </c>
      <c r="B380" s="2" t="s">
        <v>64</v>
      </c>
      <c r="C380" t="s">
        <v>95</v>
      </c>
      <c r="D380" t="s">
        <v>27</v>
      </c>
      <c r="E380" s="2">
        <v>1</v>
      </c>
      <c r="F380" t="s">
        <v>80</v>
      </c>
      <c r="G380">
        <v>5.49</v>
      </c>
      <c r="H380">
        <v>4.99</v>
      </c>
      <c r="I380" s="2" t="str">
        <f>_xlfn.XLOOKUP(F380,DeparaIMG!B:B,DeparaIMG!D:D,,0)</f>
        <v>MIC350.png</v>
      </c>
    </row>
    <row r="381" spans="1:9" x14ac:dyDescent="0.25">
      <c r="A381" s="2" t="s">
        <v>11</v>
      </c>
      <c r="B381" s="2" t="s">
        <v>64</v>
      </c>
      <c r="C381" t="s">
        <v>95</v>
      </c>
      <c r="D381" t="s">
        <v>27</v>
      </c>
      <c r="E381" s="2">
        <v>2</v>
      </c>
      <c r="F381" t="s">
        <v>67</v>
      </c>
      <c r="G381">
        <v>5.49</v>
      </c>
      <c r="H381">
        <v>4.6900000000000004</v>
      </c>
      <c r="I381" s="2" t="str">
        <f>_xlfn.XLOOKUP(F381,DeparaIMG!B:B,DeparaIMG!D:D,,0)</f>
        <v>STE350.png</v>
      </c>
    </row>
    <row r="382" spans="1:9" x14ac:dyDescent="0.25">
      <c r="A382" s="2" t="s">
        <v>11</v>
      </c>
      <c r="B382" s="2" t="s">
        <v>64</v>
      </c>
      <c r="C382" t="s">
        <v>95</v>
      </c>
      <c r="D382" t="s">
        <v>26</v>
      </c>
      <c r="E382" s="2">
        <v>2</v>
      </c>
      <c r="F382" t="s">
        <v>67</v>
      </c>
      <c r="G382">
        <v>5.49</v>
      </c>
      <c r="H382">
        <v>4.6900000000000004</v>
      </c>
      <c r="I382" s="2" t="str">
        <f>_xlfn.XLOOKUP(F382,DeparaIMG!B:B,DeparaIMG!D:D,,0)</f>
        <v>STE350.png</v>
      </c>
    </row>
    <row r="383" spans="1:9" x14ac:dyDescent="0.25">
      <c r="A383" s="2" t="s">
        <v>11</v>
      </c>
      <c r="B383" s="2" t="s">
        <v>64</v>
      </c>
      <c r="C383" t="s">
        <v>95</v>
      </c>
      <c r="D383" t="s">
        <v>27</v>
      </c>
      <c r="E383" s="2">
        <v>2</v>
      </c>
      <c r="F383" t="s">
        <v>81</v>
      </c>
      <c r="G383">
        <v>6.29</v>
      </c>
      <c r="H383">
        <v>5.49</v>
      </c>
      <c r="I383" s="2" t="str">
        <f>_xlfn.XLOOKUP(F383,DeparaIMG!B:B,DeparaIMG!D:D,,0)</f>
        <v>COR350.png</v>
      </c>
    </row>
    <row r="384" spans="1:9" x14ac:dyDescent="0.25">
      <c r="A384" s="2" t="s">
        <v>11</v>
      </c>
      <c r="B384" s="2" t="s">
        <v>64</v>
      </c>
      <c r="C384" t="s">
        <v>95</v>
      </c>
      <c r="D384" t="s">
        <v>27</v>
      </c>
      <c r="E384" s="2">
        <v>2</v>
      </c>
      <c r="F384" t="s">
        <v>82</v>
      </c>
      <c r="G384">
        <v>6.29</v>
      </c>
      <c r="H384">
        <v>5.49</v>
      </c>
      <c r="I384" s="2" t="str">
        <f>_xlfn.XLOOKUP(F384,DeparaIMG!B:B,DeparaIMG!D:D,,0)</f>
        <v>CORCERO350.png</v>
      </c>
    </row>
    <row r="385" spans="1:9" x14ac:dyDescent="0.25">
      <c r="A385" s="2" t="s">
        <v>11</v>
      </c>
      <c r="B385" s="2" t="s">
        <v>64</v>
      </c>
      <c r="C385" t="s">
        <v>95</v>
      </c>
      <c r="D385" t="s">
        <v>26</v>
      </c>
      <c r="E385" s="2">
        <v>2</v>
      </c>
      <c r="F385" t="s">
        <v>82</v>
      </c>
      <c r="G385">
        <v>6.29</v>
      </c>
      <c r="H385">
        <v>5.49</v>
      </c>
      <c r="I385" s="2" t="str">
        <f>_xlfn.XLOOKUP(F385,DeparaIMG!B:B,DeparaIMG!D:D,,0)</f>
        <v>CORCERO350.png</v>
      </c>
    </row>
    <row r="386" spans="1:9" x14ac:dyDescent="0.25">
      <c r="A386" s="2" t="s">
        <v>11</v>
      </c>
      <c r="B386" s="2" t="s">
        <v>64</v>
      </c>
      <c r="C386" t="s">
        <v>95</v>
      </c>
      <c r="D386" t="s">
        <v>26</v>
      </c>
      <c r="E386" s="2">
        <v>1</v>
      </c>
      <c r="F386" t="s">
        <v>84</v>
      </c>
      <c r="G386">
        <v>6.39</v>
      </c>
      <c r="H386">
        <v>5.69</v>
      </c>
      <c r="I386" s="2" t="str">
        <f>_xlfn.XLOOKUP(F386,DeparaIMG!B:B,DeparaIMG!D:D,,0)</f>
        <v>BUDLN.png</v>
      </c>
    </row>
    <row r="387" spans="1:9" x14ac:dyDescent="0.25">
      <c r="A387" s="2" t="s">
        <v>11</v>
      </c>
      <c r="B387" s="2" t="s">
        <v>64</v>
      </c>
      <c r="C387" t="s">
        <v>95</v>
      </c>
      <c r="D387" t="s">
        <v>27</v>
      </c>
      <c r="E387" s="2">
        <v>1</v>
      </c>
      <c r="F387" t="s">
        <v>84</v>
      </c>
      <c r="G387">
        <v>6.39</v>
      </c>
      <c r="H387">
        <v>5.69</v>
      </c>
      <c r="I387" s="2" t="str">
        <f>_xlfn.XLOOKUP(F387,DeparaIMG!B:B,DeparaIMG!D:D,,0)</f>
        <v>BUDLN.png</v>
      </c>
    </row>
    <row r="388" spans="1:9" x14ac:dyDescent="0.25">
      <c r="A388" s="2" t="s">
        <v>11</v>
      </c>
      <c r="B388" s="2" t="s">
        <v>64</v>
      </c>
      <c r="C388" t="s">
        <v>95</v>
      </c>
      <c r="D388" t="s">
        <v>26</v>
      </c>
      <c r="E388" s="2">
        <v>1</v>
      </c>
      <c r="F388" t="s">
        <v>83</v>
      </c>
      <c r="G388">
        <v>6.39</v>
      </c>
      <c r="H388">
        <v>5.39</v>
      </c>
      <c r="I388" s="2" t="str">
        <f>_xlfn.XLOOKUP(F388,DeparaIMG!B:B,DeparaIMG!D:D,,0)</f>
        <v>BUDZEROLN.png</v>
      </c>
    </row>
    <row r="389" spans="1:9" x14ac:dyDescent="0.25">
      <c r="A389" s="2" t="s">
        <v>11</v>
      </c>
      <c r="B389" s="2" t="s">
        <v>64</v>
      </c>
      <c r="C389" t="s">
        <v>95</v>
      </c>
      <c r="D389" t="s">
        <v>27</v>
      </c>
      <c r="E389" s="2">
        <v>1</v>
      </c>
      <c r="F389" t="s">
        <v>83</v>
      </c>
      <c r="G389">
        <v>6.39</v>
      </c>
      <c r="H389">
        <v>5.39</v>
      </c>
      <c r="I389" s="2" t="str">
        <f>_xlfn.XLOOKUP(F389,DeparaIMG!B:B,DeparaIMG!D:D,,0)</f>
        <v>BUDZEROLN.png</v>
      </c>
    </row>
    <row r="390" spans="1:9" x14ac:dyDescent="0.25">
      <c r="A390" s="2" t="s">
        <v>11</v>
      </c>
      <c r="B390" s="2" t="s">
        <v>64</v>
      </c>
      <c r="C390" t="s">
        <v>95</v>
      </c>
      <c r="D390" t="s">
        <v>26</v>
      </c>
      <c r="E390" s="2">
        <v>2</v>
      </c>
      <c r="F390" t="s">
        <v>85</v>
      </c>
      <c r="G390">
        <v>6.69</v>
      </c>
      <c r="H390">
        <v>5.99</v>
      </c>
      <c r="I390" s="2" t="str">
        <f>_xlfn.XLOOKUP(F390,DeparaIMG!B:B,DeparaIMG!D:D,,0)</f>
        <v>MICLN.png</v>
      </c>
    </row>
    <row r="391" spans="1:9" x14ac:dyDescent="0.25">
      <c r="A391" s="2" t="s">
        <v>11</v>
      </c>
      <c r="B391" s="2" t="s">
        <v>64</v>
      </c>
      <c r="C391" t="s">
        <v>95</v>
      </c>
      <c r="D391" t="s">
        <v>27</v>
      </c>
      <c r="E391" s="2">
        <v>2</v>
      </c>
      <c r="F391" t="s">
        <v>85</v>
      </c>
      <c r="G391">
        <v>6.69</v>
      </c>
      <c r="H391">
        <v>5.99</v>
      </c>
      <c r="I391" s="2" t="str">
        <f>_xlfn.XLOOKUP(F391,DeparaIMG!B:B,DeparaIMG!D:D,,0)</f>
        <v>MICLN.png</v>
      </c>
    </row>
    <row r="392" spans="1:9" x14ac:dyDescent="0.25">
      <c r="A392" s="2" t="s">
        <v>11</v>
      </c>
      <c r="B392" s="2" t="s">
        <v>64</v>
      </c>
      <c r="C392" t="s">
        <v>95</v>
      </c>
      <c r="D392" t="s">
        <v>26</v>
      </c>
      <c r="E392" s="2">
        <v>2</v>
      </c>
      <c r="F392" t="s">
        <v>86</v>
      </c>
      <c r="G392">
        <v>6.99</v>
      </c>
      <c r="H392">
        <v>6.59</v>
      </c>
      <c r="I392" s="2" t="str">
        <f>_xlfn.XLOOKUP(F392,DeparaIMG!B:B,DeparaIMG!D:D,,0)</f>
        <v>STELN.png</v>
      </c>
    </row>
    <row r="393" spans="1:9" x14ac:dyDescent="0.25">
      <c r="A393" s="2" t="s">
        <v>11</v>
      </c>
      <c r="B393" s="2" t="s">
        <v>64</v>
      </c>
      <c r="C393" t="s">
        <v>95</v>
      </c>
      <c r="D393" t="s">
        <v>27</v>
      </c>
      <c r="E393" s="2">
        <v>2</v>
      </c>
      <c r="F393" t="s">
        <v>86</v>
      </c>
      <c r="G393">
        <v>6.99</v>
      </c>
      <c r="H393">
        <v>6.59</v>
      </c>
      <c r="I393" s="2" t="str">
        <f>_xlfn.XLOOKUP(F393,DeparaIMG!B:B,DeparaIMG!D:D,,0)</f>
        <v>STELN.png</v>
      </c>
    </row>
    <row r="394" spans="1:9" x14ac:dyDescent="0.25">
      <c r="A394" s="2" t="s">
        <v>11</v>
      </c>
      <c r="B394" s="2" t="s">
        <v>64</v>
      </c>
      <c r="C394" t="s">
        <v>95</v>
      </c>
      <c r="D394" t="s">
        <v>27</v>
      </c>
      <c r="E394" s="2">
        <v>1</v>
      </c>
      <c r="F394" t="s">
        <v>87</v>
      </c>
      <c r="G394">
        <v>7.99</v>
      </c>
      <c r="H394">
        <v>6.99</v>
      </c>
      <c r="I394" s="2" t="str">
        <f>_xlfn.XLOOKUP(F394,DeparaIMG!B:B,DeparaIMG!D:D,,0)</f>
        <v>CORLN.png</v>
      </c>
    </row>
    <row r="395" spans="1:9" x14ac:dyDescent="0.25">
      <c r="A395" s="2" t="s">
        <v>11</v>
      </c>
      <c r="B395" s="2" t="s">
        <v>64</v>
      </c>
      <c r="C395" t="s">
        <v>95</v>
      </c>
      <c r="D395" t="s">
        <v>27</v>
      </c>
      <c r="E395" s="2">
        <v>1</v>
      </c>
      <c r="F395" t="s">
        <v>88</v>
      </c>
      <c r="G395">
        <v>7.99</v>
      </c>
      <c r="H395">
        <v>6.99</v>
      </c>
      <c r="I395" s="2" t="str">
        <f>_xlfn.XLOOKUP(F395,DeparaIMG!B:B,DeparaIMG!D:D,,0)</f>
        <v>CORCEROLN.png</v>
      </c>
    </row>
    <row r="396" spans="1:9" x14ac:dyDescent="0.25">
      <c r="A396" s="2" t="s">
        <v>11</v>
      </c>
      <c r="B396" s="2" t="s">
        <v>64</v>
      </c>
      <c r="C396" t="s">
        <v>95</v>
      </c>
      <c r="D396" t="s">
        <v>26</v>
      </c>
      <c r="E396" s="2">
        <v>1</v>
      </c>
      <c r="F396" t="s">
        <v>87</v>
      </c>
      <c r="G396">
        <v>7.99</v>
      </c>
      <c r="H396">
        <v>6.99</v>
      </c>
      <c r="I396" s="2" t="str">
        <f>_xlfn.XLOOKUP(F396,DeparaIMG!B:B,DeparaIMG!D:D,,0)</f>
        <v>CORLN.png</v>
      </c>
    </row>
    <row r="397" spans="1:9" x14ac:dyDescent="0.25">
      <c r="A397" s="2" t="s">
        <v>11</v>
      </c>
      <c r="B397" s="2" t="s">
        <v>64</v>
      </c>
      <c r="C397" t="s">
        <v>95</v>
      </c>
      <c r="D397" t="s">
        <v>26</v>
      </c>
      <c r="E397" s="2">
        <v>1</v>
      </c>
      <c r="F397" t="s">
        <v>88</v>
      </c>
      <c r="G397">
        <v>7.99</v>
      </c>
      <c r="H397">
        <v>6.99</v>
      </c>
      <c r="I397" s="2" t="str">
        <f>_xlfn.XLOOKUP(F397,DeparaIMG!B:B,DeparaIMG!D:D,,0)</f>
        <v>CORCEROLN.png</v>
      </c>
    </row>
    <row r="398" spans="1:9" x14ac:dyDescent="0.25">
      <c r="A398" s="2" t="s">
        <v>11</v>
      </c>
      <c r="B398" s="2" t="s">
        <v>64</v>
      </c>
      <c r="C398" t="s">
        <v>96</v>
      </c>
      <c r="D398" t="s">
        <v>26</v>
      </c>
      <c r="E398" s="2">
        <v>2</v>
      </c>
      <c r="F398" t="s">
        <v>69</v>
      </c>
      <c r="G398">
        <v>3.19</v>
      </c>
      <c r="H398">
        <v>2.99</v>
      </c>
      <c r="I398" s="2" t="str">
        <f>_xlfn.XLOOKUP(F398,DeparaIMG!B:B,DeparaIMG!D:D,,0)</f>
        <v>AP269.png</v>
      </c>
    </row>
    <row r="399" spans="1:9" x14ac:dyDescent="0.25">
      <c r="A399" s="2" t="s">
        <v>11</v>
      </c>
      <c r="B399" s="2" t="s">
        <v>64</v>
      </c>
      <c r="C399" t="s">
        <v>96</v>
      </c>
      <c r="D399" t="s">
        <v>27</v>
      </c>
      <c r="E399" s="2">
        <v>2</v>
      </c>
      <c r="F399" t="s">
        <v>65</v>
      </c>
      <c r="G399">
        <v>3.19</v>
      </c>
      <c r="H399">
        <v>2.99</v>
      </c>
      <c r="I399" s="2" t="str">
        <f>_xlfn.XLOOKUP(F399,DeparaIMG!B:B,DeparaIMG!D:D,,0)</f>
        <v>SKZERO269.png</v>
      </c>
    </row>
    <row r="400" spans="1:9" x14ac:dyDescent="0.25">
      <c r="A400" s="2" t="s">
        <v>11</v>
      </c>
      <c r="B400" s="2" t="s">
        <v>64</v>
      </c>
      <c r="C400" t="s">
        <v>96</v>
      </c>
      <c r="D400" t="s">
        <v>26</v>
      </c>
      <c r="E400" s="2">
        <v>2</v>
      </c>
      <c r="F400" t="s">
        <v>65</v>
      </c>
      <c r="G400">
        <v>3.19</v>
      </c>
      <c r="H400">
        <v>2.99</v>
      </c>
      <c r="I400" s="2" t="str">
        <f>_xlfn.XLOOKUP(F400,DeparaIMG!B:B,DeparaIMG!D:D,,0)</f>
        <v>SKZERO269.png</v>
      </c>
    </row>
    <row r="401" spans="1:9" x14ac:dyDescent="0.25">
      <c r="A401" s="2" t="s">
        <v>11</v>
      </c>
      <c r="B401" s="2" t="s">
        <v>64</v>
      </c>
      <c r="C401" t="s">
        <v>96</v>
      </c>
      <c r="D401" t="s">
        <v>26</v>
      </c>
      <c r="E401" s="2">
        <v>1</v>
      </c>
      <c r="F401" t="s">
        <v>70</v>
      </c>
      <c r="G401">
        <v>3.19</v>
      </c>
      <c r="H401">
        <v>2.99</v>
      </c>
      <c r="I401" s="2" t="str">
        <f>_xlfn.XLOOKUP(F401,DeparaIMG!B:B,DeparaIMG!D:D,,0)</f>
        <v>BC269.png</v>
      </c>
    </row>
    <row r="402" spans="1:9" x14ac:dyDescent="0.25">
      <c r="A402" s="2" t="s">
        <v>11</v>
      </c>
      <c r="B402" s="2" t="s">
        <v>64</v>
      </c>
      <c r="C402" t="s">
        <v>96</v>
      </c>
      <c r="D402" t="s">
        <v>27</v>
      </c>
      <c r="E402" s="2">
        <v>1</v>
      </c>
      <c r="F402" t="s">
        <v>70</v>
      </c>
      <c r="G402">
        <v>3.19</v>
      </c>
      <c r="H402">
        <v>2.99</v>
      </c>
      <c r="I402" s="2" t="str">
        <f>_xlfn.XLOOKUP(F402,DeparaIMG!B:B,DeparaIMG!D:D,,0)</f>
        <v>BC269.png</v>
      </c>
    </row>
    <row r="403" spans="1:9" x14ac:dyDescent="0.25">
      <c r="A403" s="2" t="s">
        <v>11</v>
      </c>
      <c r="B403" s="2" t="s">
        <v>64</v>
      </c>
      <c r="C403" t="s">
        <v>96</v>
      </c>
      <c r="D403" t="s">
        <v>26</v>
      </c>
      <c r="E403" s="2">
        <v>1</v>
      </c>
      <c r="F403" t="s">
        <v>71</v>
      </c>
      <c r="G403">
        <v>3.49</v>
      </c>
      <c r="H403">
        <v>3.09</v>
      </c>
      <c r="I403" s="2" t="str">
        <f>_xlfn.XLOOKUP(F403,DeparaIMG!B:B,DeparaIMG!D:D,,0)</f>
        <v>BUD269.png</v>
      </c>
    </row>
    <row r="404" spans="1:9" x14ac:dyDescent="0.25">
      <c r="A404" s="2" t="s">
        <v>11</v>
      </c>
      <c r="B404" s="2" t="s">
        <v>64</v>
      </c>
      <c r="C404" t="s">
        <v>96</v>
      </c>
      <c r="D404" t="s">
        <v>26</v>
      </c>
      <c r="E404" s="2">
        <v>1</v>
      </c>
      <c r="F404" t="s">
        <v>72</v>
      </c>
      <c r="G404">
        <v>3.69</v>
      </c>
      <c r="H404">
        <v>3.19</v>
      </c>
      <c r="I404" s="2" t="str">
        <f>_xlfn.XLOOKUP(F404,DeparaIMG!B:B,DeparaIMG!D:D,,0)</f>
        <v>BC0350.png</v>
      </c>
    </row>
    <row r="405" spans="1:9" x14ac:dyDescent="0.25">
      <c r="A405" s="2" t="s">
        <v>11</v>
      </c>
      <c r="B405" s="2" t="s">
        <v>64</v>
      </c>
      <c r="C405" t="s">
        <v>96</v>
      </c>
      <c r="D405" t="s">
        <v>26</v>
      </c>
      <c r="E405" s="2">
        <v>2</v>
      </c>
      <c r="F405" t="s">
        <v>72</v>
      </c>
      <c r="G405">
        <v>3.69</v>
      </c>
      <c r="H405">
        <v>3.19</v>
      </c>
      <c r="I405" s="2" t="str">
        <f>_xlfn.XLOOKUP(F405,DeparaIMG!B:B,DeparaIMG!D:D,,0)</f>
        <v>BC0350.png</v>
      </c>
    </row>
    <row r="406" spans="1:9" x14ac:dyDescent="0.25">
      <c r="A406" s="2" t="s">
        <v>11</v>
      </c>
      <c r="B406" s="2" t="s">
        <v>64</v>
      </c>
      <c r="C406" t="s">
        <v>96</v>
      </c>
      <c r="D406" t="s">
        <v>26</v>
      </c>
      <c r="E406" s="2">
        <v>2</v>
      </c>
      <c r="F406" t="s">
        <v>66</v>
      </c>
      <c r="G406">
        <v>3.89</v>
      </c>
      <c r="H406">
        <v>3.69</v>
      </c>
      <c r="I406" s="2" t="str">
        <f>_xlfn.XLOOKUP(F406,DeparaIMG!B:B,DeparaIMG!D:D,,0)</f>
        <v>SKZERO350.png</v>
      </c>
    </row>
    <row r="407" spans="1:9" x14ac:dyDescent="0.25">
      <c r="A407" s="2" t="s">
        <v>11</v>
      </c>
      <c r="B407" s="2" t="s">
        <v>64</v>
      </c>
      <c r="C407" t="s">
        <v>96</v>
      </c>
      <c r="D407" t="s">
        <v>26</v>
      </c>
      <c r="E407" s="2">
        <v>2</v>
      </c>
      <c r="F407" t="s">
        <v>74</v>
      </c>
      <c r="G407">
        <v>3.89</v>
      </c>
      <c r="H407">
        <v>3.59</v>
      </c>
      <c r="I407" s="2" t="str">
        <f>_xlfn.XLOOKUP(F407,DeparaIMG!B:B,DeparaIMG!D:D,,0)</f>
        <v>ORI269.png</v>
      </c>
    </row>
    <row r="408" spans="1:9" x14ac:dyDescent="0.25">
      <c r="A408" s="2" t="s">
        <v>11</v>
      </c>
      <c r="B408" s="2" t="s">
        <v>64</v>
      </c>
      <c r="C408" t="s">
        <v>96</v>
      </c>
      <c r="D408" t="s">
        <v>27</v>
      </c>
      <c r="E408" s="2">
        <v>2</v>
      </c>
      <c r="F408" t="s">
        <v>74</v>
      </c>
      <c r="G408">
        <v>3.89</v>
      </c>
      <c r="H408">
        <v>3.59</v>
      </c>
      <c r="I408" s="2" t="str">
        <f>_xlfn.XLOOKUP(F408,DeparaIMG!B:B,DeparaIMG!D:D,,0)</f>
        <v>ORI269.png</v>
      </c>
    </row>
    <row r="409" spans="1:9" x14ac:dyDescent="0.25">
      <c r="A409" s="2" t="s">
        <v>11</v>
      </c>
      <c r="B409" s="2" t="s">
        <v>64</v>
      </c>
      <c r="C409" t="s">
        <v>96</v>
      </c>
      <c r="D409" t="s">
        <v>27</v>
      </c>
      <c r="E409" s="2">
        <v>2</v>
      </c>
      <c r="F409" t="s">
        <v>75</v>
      </c>
      <c r="G409">
        <v>3.99</v>
      </c>
      <c r="H409">
        <v>3.69</v>
      </c>
      <c r="I409" s="2" t="str">
        <f>_xlfn.XLOOKUP(F409,DeparaIMG!B:B,DeparaIMG!D:D,,0)</f>
        <v>AP350.png</v>
      </c>
    </row>
    <row r="410" spans="1:9" x14ac:dyDescent="0.25">
      <c r="A410" s="2" t="s">
        <v>11</v>
      </c>
      <c r="B410" s="2" t="s">
        <v>64</v>
      </c>
      <c r="C410" t="s">
        <v>96</v>
      </c>
      <c r="D410" t="s">
        <v>27</v>
      </c>
      <c r="E410" s="2">
        <v>1</v>
      </c>
      <c r="F410" t="s">
        <v>72</v>
      </c>
      <c r="G410">
        <v>3.99</v>
      </c>
      <c r="H410">
        <v>3.49</v>
      </c>
      <c r="I410" s="2" t="str">
        <f>_xlfn.XLOOKUP(F410,DeparaIMG!B:B,DeparaIMG!D:D,,0)</f>
        <v>BC0350.png</v>
      </c>
    </row>
    <row r="411" spans="1:9" x14ac:dyDescent="0.25">
      <c r="A411" s="2" t="s">
        <v>11</v>
      </c>
      <c r="B411" s="2" t="s">
        <v>64</v>
      </c>
      <c r="C411" t="s">
        <v>96</v>
      </c>
      <c r="D411" t="s">
        <v>27</v>
      </c>
      <c r="E411" s="2">
        <v>2</v>
      </c>
      <c r="F411" t="s">
        <v>72</v>
      </c>
      <c r="G411">
        <v>3.99</v>
      </c>
      <c r="H411">
        <v>3.49</v>
      </c>
      <c r="I411" s="2" t="str">
        <f>_xlfn.XLOOKUP(F411,DeparaIMG!B:B,DeparaIMG!D:D,,0)</f>
        <v>BC0350.png</v>
      </c>
    </row>
    <row r="412" spans="1:9" x14ac:dyDescent="0.25">
      <c r="A412" s="2" t="s">
        <v>11</v>
      </c>
      <c r="B412" s="2" t="s">
        <v>64</v>
      </c>
      <c r="C412" t="s">
        <v>96</v>
      </c>
      <c r="D412" t="s">
        <v>27</v>
      </c>
      <c r="E412" s="2">
        <v>2</v>
      </c>
      <c r="F412" t="s">
        <v>66</v>
      </c>
      <c r="G412">
        <v>4.1900000000000004</v>
      </c>
      <c r="H412">
        <v>3.99</v>
      </c>
      <c r="I412" s="2" t="str">
        <f>_xlfn.XLOOKUP(F412,DeparaIMG!B:B,DeparaIMG!D:D,,0)</f>
        <v>SKZERO350.png</v>
      </c>
    </row>
    <row r="413" spans="1:9" x14ac:dyDescent="0.25">
      <c r="A413" s="2" t="s">
        <v>11</v>
      </c>
      <c r="B413" s="2" t="s">
        <v>64</v>
      </c>
      <c r="C413" t="s">
        <v>96</v>
      </c>
      <c r="D413" t="s">
        <v>26</v>
      </c>
      <c r="E413" s="2">
        <v>1</v>
      </c>
      <c r="F413" t="s">
        <v>76</v>
      </c>
      <c r="G413">
        <v>4.49</v>
      </c>
      <c r="H413">
        <v>3.49</v>
      </c>
      <c r="I413" s="2" t="str">
        <f>_xlfn.XLOOKUP(F413,DeparaIMG!B:B,DeparaIMG!D:D,,0)</f>
        <v>BUDZERO350.png</v>
      </c>
    </row>
    <row r="414" spans="1:9" x14ac:dyDescent="0.25">
      <c r="A414" s="2" t="s">
        <v>11</v>
      </c>
      <c r="B414" s="2" t="s">
        <v>64</v>
      </c>
      <c r="C414" t="s">
        <v>96</v>
      </c>
      <c r="D414" t="s">
        <v>27</v>
      </c>
      <c r="E414" s="2">
        <v>1</v>
      </c>
      <c r="F414" t="s">
        <v>78</v>
      </c>
      <c r="G414">
        <v>4.49</v>
      </c>
      <c r="H414">
        <v>3.89</v>
      </c>
      <c r="I414" s="2" t="str">
        <f>_xlfn.XLOOKUP(F414,DeparaIMG!B:B,DeparaIMG!D:D,,0)</f>
        <v>BUD350.png</v>
      </c>
    </row>
    <row r="415" spans="1:9" x14ac:dyDescent="0.25">
      <c r="A415" s="2" t="s">
        <v>11</v>
      </c>
      <c r="B415" s="2" t="s">
        <v>64</v>
      </c>
      <c r="C415" t="s">
        <v>96</v>
      </c>
      <c r="D415" t="s">
        <v>27</v>
      </c>
      <c r="E415" s="2">
        <v>1</v>
      </c>
      <c r="F415" t="s">
        <v>76</v>
      </c>
      <c r="G415">
        <v>4.49</v>
      </c>
      <c r="H415">
        <v>3.49</v>
      </c>
      <c r="I415" s="2" t="str">
        <f>_xlfn.XLOOKUP(F415,DeparaIMG!B:B,DeparaIMG!D:D,,0)</f>
        <v>BUDZERO350.png</v>
      </c>
    </row>
    <row r="416" spans="1:9" x14ac:dyDescent="0.25">
      <c r="A416" s="2" t="s">
        <v>11</v>
      </c>
      <c r="B416" s="2" t="s">
        <v>64</v>
      </c>
      <c r="C416" t="s">
        <v>96</v>
      </c>
      <c r="D416" t="s">
        <v>27</v>
      </c>
      <c r="E416" s="2">
        <v>2</v>
      </c>
      <c r="F416" t="s">
        <v>67</v>
      </c>
      <c r="G416">
        <v>4.49</v>
      </c>
      <c r="H416">
        <v>4.49</v>
      </c>
      <c r="I416" s="2" t="str">
        <f>_xlfn.XLOOKUP(F416,DeparaIMG!B:B,DeparaIMG!D:D,,0)</f>
        <v>STE350.png</v>
      </c>
    </row>
    <row r="417" spans="1:9" x14ac:dyDescent="0.25">
      <c r="A417" s="2" t="s">
        <v>11</v>
      </c>
      <c r="B417" s="2" t="s">
        <v>64</v>
      </c>
      <c r="C417" t="s">
        <v>96</v>
      </c>
      <c r="D417" t="s">
        <v>26</v>
      </c>
      <c r="E417" s="2">
        <v>1</v>
      </c>
      <c r="F417" t="s">
        <v>80</v>
      </c>
      <c r="G417">
        <v>5.49</v>
      </c>
      <c r="H417">
        <v>4.99</v>
      </c>
      <c r="I417" s="2" t="str">
        <f>_xlfn.XLOOKUP(F417,DeparaIMG!B:B,DeparaIMG!D:D,,0)</f>
        <v>MIC350.png</v>
      </c>
    </row>
    <row r="418" spans="1:9" x14ac:dyDescent="0.25">
      <c r="A418" s="2" t="s">
        <v>11</v>
      </c>
      <c r="B418" s="2" t="s">
        <v>64</v>
      </c>
      <c r="C418" t="s">
        <v>96</v>
      </c>
      <c r="D418" t="s">
        <v>27</v>
      </c>
      <c r="E418" s="2">
        <v>1</v>
      </c>
      <c r="F418" t="s">
        <v>80</v>
      </c>
      <c r="G418">
        <v>5.49</v>
      </c>
      <c r="H418">
        <v>4.99</v>
      </c>
      <c r="I418" s="2" t="str">
        <f>_xlfn.XLOOKUP(F418,DeparaIMG!B:B,DeparaIMG!D:D,,0)</f>
        <v>MIC350.png</v>
      </c>
    </row>
    <row r="419" spans="1:9" x14ac:dyDescent="0.25">
      <c r="A419" s="2" t="s">
        <v>11</v>
      </c>
      <c r="B419" s="2" t="s">
        <v>64</v>
      </c>
      <c r="C419" t="s">
        <v>96</v>
      </c>
      <c r="D419" t="s">
        <v>26</v>
      </c>
      <c r="E419" s="2">
        <v>2</v>
      </c>
      <c r="F419" t="s">
        <v>67</v>
      </c>
      <c r="G419">
        <v>5.49</v>
      </c>
      <c r="H419">
        <v>4.6900000000000004</v>
      </c>
      <c r="I419" s="2" t="str">
        <f>_xlfn.XLOOKUP(F419,DeparaIMG!B:B,DeparaIMG!D:D,,0)</f>
        <v>STE350.png</v>
      </c>
    </row>
    <row r="420" spans="1:9" x14ac:dyDescent="0.25">
      <c r="A420" s="2" t="s">
        <v>11</v>
      </c>
      <c r="B420" s="2" t="s">
        <v>64</v>
      </c>
      <c r="C420" t="s">
        <v>96</v>
      </c>
      <c r="D420" t="s">
        <v>27</v>
      </c>
      <c r="E420" s="2">
        <v>2</v>
      </c>
      <c r="F420" t="s">
        <v>81</v>
      </c>
      <c r="G420">
        <v>6.19</v>
      </c>
      <c r="H420">
        <v>5.39</v>
      </c>
      <c r="I420" s="2" t="str">
        <f>_xlfn.XLOOKUP(F420,DeparaIMG!B:B,DeparaIMG!D:D,,0)</f>
        <v>COR350.png</v>
      </c>
    </row>
    <row r="421" spans="1:9" x14ac:dyDescent="0.25">
      <c r="A421" s="2" t="s">
        <v>11</v>
      </c>
      <c r="B421" s="2" t="s">
        <v>64</v>
      </c>
      <c r="C421" t="s">
        <v>96</v>
      </c>
      <c r="D421" t="s">
        <v>27</v>
      </c>
      <c r="E421" s="2">
        <v>2</v>
      </c>
      <c r="F421" t="s">
        <v>82</v>
      </c>
      <c r="G421">
        <v>6.19</v>
      </c>
      <c r="H421">
        <v>5.39</v>
      </c>
      <c r="I421" s="2" t="str">
        <f>_xlfn.XLOOKUP(F421,DeparaIMG!B:B,DeparaIMG!D:D,,0)</f>
        <v>CORCERO350.png</v>
      </c>
    </row>
    <row r="422" spans="1:9" x14ac:dyDescent="0.25">
      <c r="A422" s="2" t="s">
        <v>11</v>
      </c>
      <c r="B422" s="2" t="s">
        <v>64</v>
      </c>
      <c r="C422" t="s">
        <v>96</v>
      </c>
      <c r="D422" t="s">
        <v>26</v>
      </c>
      <c r="E422" s="2">
        <v>2</v>
      </c>
      <c r="F422" t="s">
        <v>82</v>
      </c>
      <c r="G422">
        <v>6.19</v>
      </c>
      <c r="H422">
        <v>5.39</v>
      </c>
      <c r="I422" s="2" t="str">
        <f>_xlfn.XLOOKUP(F422,DeparaIMG!B:B,DeparaIMG!D:D,,0)</f>
        <v>CORCERO350.png</v>
      </c>
    </row>
    <row r="423" spans="1:9" x14ac:dyDescent="0.25">
      <c r="A423" s="2" t="s">
        <v>11</v>
      </c>
      <c r="B423" s="2" t="s">
        <v>64</v>
      </c>
      <c r="C423" t="s">
        <v>96</v>
      </c>
      <c r="D423" t="s">
        <v>27</v>
      </c>
      <c r="E423" s="2">
        <v>1</v>
      </c>
      <c r="F423" t="s">
        <v>83</v>
      </c>
      <c r="G423">
        <v>6.39</v>
      </c>
      <c r="H423">
        <v>5.39</v>
      </c>
      <c r="I423" s="2" t="str">
        <f>_xlfn.XLOOKUP(F423,DeparaIMG!B:B,DeparaIMG!D:D,,0)</f>
        <v>BUDZEROLN.png</v>
      </c>
    </row>
    <row r="424" spans="1:9" x14ac:dyDescent="0.25">
      <c r="A424" s="2" t="s">
        <v>11</v>
      </c>
      <c r="B424" s="2" t="s">
        <v>64</v>
      </c>
      <c r="C424" t="s">
        <v>96</v>
      </c>
      <c r="D424" t="s">
        <v>27</v>
      </c>
      <c r="E424" s="2">
        <v>1</v>
      </c>
      <c r="F424" t="s">
        <v>84</v>
      </c>
      <c r="G424">
        <v>6.39</v>
      </c>
      <c r="H424">
        <v>5.69</v>
      </c>
      <c r="I424" s="2" t="str">
        <f>_xlfn.XLOOKUP(F424,DeparaIMG!B:B,DeparaIMG!D:D,,0)</f>
        <v>BUDLN.png</v>
      </c>
    </row>
    <row r="425" spans="1:9" x14ac:dyDescent="0.25">
      <c r="A425" s="2" t="s">
        <v>11</v>
      </c>
      <c r="B425" s="2" t="s">
        <v>64</v>
      </c>
      <c r="C425" t="s">
        <v>96</v>
      </c>
      <c r="D425" t="s">
        <v>26</v>
      </c>
      <c r="E425" s="2">
        <v>2</v>
      </c>
      <c r="F425" t="s">
        <v>85</v>
      </c>
      <c r="G425">
        <v>6.69</v>
      </c>
      <c r="H425">
        <v>5.99</v>
      </c>
      <c r="I425" s="2" t="str">
        <f>_xlfn.XLOOKUP(F425,DeparaIMG!B:B,DeparaIMG!D:D,,0)</f>
        <v>MICLN.png</v>
      </c>
    </row>
    <row r="426" spans="1:9" x14ac:dyDescent="0.25">
      <c r="A426" s="2" t="s">
        <v>11</v>
      </c>
      <c r="B426" s="2" t="s">
        <v>64</v>
      </c>
      <c r="C426" t="s">
        <v>96</v>
      </c>
      <c r="D426" t="s">
        <v>27</v>
      </c>
      <c r="E426" s="2">
        <v>2</v>
      </c>
      <c r="F426" t="s">
        <v>85</v>
      </c>
      <c r="G426">
        <v>6.69</v>
      </c>
      <c r="H426">
        <v>5.99</v>
      </c>
      <c r="I426" s="2" t="str">
        <f>_xlfn.XLOOKUP(F426,DeparaIMG!B:B,DeparaIMG!D:D,,0)</f>
        <v>MICLN.png</v>
      </c>
    </row>
    <row r="427" spans="1:9" x14ac:dyDescent="0.25">
      <c r="A427" s="2" t="s">
        <v>11</v>
      </c>
      <c r="B427" s="2" t="s">
        <v>64</v>
      </c>
      <c r="C427" t="s">
        <v>96</v>
      </c>
      <c r="D427" t="s">
        <v>26</v>
      </c>
      <c r="E427" s="2">
        <v>2</v>
      </c>
      <c r="F427" t="s">
        <v>86</v>
      </c>
      <c r="G427">
        <v>6.99</v>
      </c>
      <c r="H427">
        <v>6.59</v>
      </c>
      <c r="I427" s="2" t="str">
        <f>_xlfn.XLOOKUP(F427,DeparaIMG!B:B,DeparaIMG!D:D,,0)</f>
        <v>STELN.png</v>
      </c>
    </row>
    <row r="428" spans="1:9" x14ac:dyDescent="0.25">
      <c r="A428" s="2" t="s">
        <v>11</v>
      </c>
      <c r="B428" s="2" t="s">
        <v>64</v>
      </c>
      <c r="C428" t="s">
        <v>96</v>
      </c>
      <c r="D428" t="s">
        <v>27</v>
      </c>
      <c r="E428" s="2">
        <v>2</v>
      </c>
      <c r="F428" t="s">
        <v>86</v>
      </c>
      <c r="G428">
        <v>6.99</v>
      </c>
      <c r="H428">
        <v>6.59</v>
      </c>
      <c r="I428" s="2" t="str">
        <f>_xlfn.XLOOKUP(F428,DeparaIMG!B:B,DeparaIMG!D:D,,0)</f>
        <v>STELN.png</v>
      </c>
    </row>
    <row r="429" spans="1:9" x14ac:dyDescent="0.25">
      <c r="A429" s="2" t="s">
        <v>11</v>
      </c>
      <c r="B429" s="2" t="s">
        <v>64</v>
      </c>
      <c r="C429" t="s">
        <v>96</v>
      </c>
      <c r="D429" t="s">
        <v>26</v>
      </c>
      <c r="E429" s="2">
        <v>1</v>
      </c>
      <c r="F429" t="s">
        <v>87</v>
      </c>
      <c r="G429">
        <v>7.99</v>
      </c>
      <c r="H429">
        <v>6.99</v>
      </c>
      <c r="I429" s="2" t="str">
        <f>_xlfn.XLOOKUP(F429,DeparaIMG!B:B,DeparaIMG!D:D,,0)</f>
        <v>CORLN.png</v>
      </c>
    </row>
    <row r="430" spans="1:9" x14ac:dyDescent="0.25">
      <c r="A430" s="2" t="s">
        <v>11</v>
      </c>
      <c r="B430" s="2" t="s">
        <v>64</v>
      </c>
      <c r="C430" t="s">
        <v>96</v>
      </c>
      <c r="D430" t="s">
        <v>27</v>
      </c>
      <c r="E430" s="2">
        <v>1</v>
      </c>
      <c r="F430" t="s">
        <v>87</v>
      </c>
      <c r="G430">
        <v>7.99</v>
      </c>
      <c r="H430">
        <v>6.99</v>
      </c>
      <c r="I430" s="2" t="str">
        <f>_xlfn.XLOOKUP(F430,DeparaIMG!B:B,DeparaIMG!D:D,,0)</f>
        <v>CORLN.png</v>
      </c>
    </row>
    <row r="431" spans="1:9" x14ac:dyDescent="0.25">
      <c r="A431" s="2" t="s">
        <v>11</v>
      </c>
      <c r="B431" s="2" t="s">
        <v>64</v>
      </c>
      <c r="C431" t="s">
        <v>96</v>
      </c>
      <c r="D431" t="s">
        <v>26</v>
      </c>
      <c r="E431" s="2">
        <v>1</v>
      </c>
      <c r="F431" t="s">
        <v>88</v>
      </c>
      <c r="G431">
        <v>7.99</v>
      </c>
      <c r="H431">
        <v>6.99</v>
      </c>
      <c r="I431" s="2" t="str">
        <f>_xlfn.XLOOKUP(F431,DeparaIMG!B:B,DeparaIMG!D:D,,0)</f>
        <v>CORCEROLN.png</v>
      </c>
    </row>
    <row r="432" spans="1:9" x14ac:dyDescent="0.25">
      <c r="A432" s="2" t="s">
        <v>11</v>
      </c>
      <c r="B432" s="2" t="s">
        <v>64</v>
      </c>
      <c r="C432" t="s">
        <v>96</v>
      </c>
      <c r="D432" t="s">
        <v>27</v>
      </c>
      <c r="E432" s="2">
        <v>1</v>
      </c>
      <c r="F432" t="s">
        <v>88</v>
      </c>
      <c r="G432">
        <v>7.99</v>
      </c>
      <c r="H432">
        <v>6.99</v>
      </c>
      <c r="I432" s="2" t="str">
        <f>_xlfn.XLOOKUP(F432,DeparaIMG!B:B,DeparaIMG!D:D,,0)</f>
        <v>CORCEROLN.png</v>
      </c>
    </row>
    <row r="433" spans="1:9" x14ac:dyDescent="0.25">
      <c r="A433" s="2" t="s">
        <v>105</v>
      </c>
      <c r="B433" s="2" t="s">
        <v>63</v>
      </c>
      <c r="C433" t="s">
        <v>4</v>
      </c>
      <c r="D433" t="s">
        <v>26</v>
      </c>
      <c r="E433" t="s">
        <v>106</v>
      </c>
      <c r="F433" t="s">
        <v>32</v>
      </c>
      <c r="G433">
        <v>4.99</v>
      </c>
      <c r="H433">
        <v>4.6900000000000004</v>
      </c>
      <c r="I433" s="2" t="str">
        <f>_xlfn.XLOOKUP(F433,DeparaIMG!B:B,DeparaIMG!D:D,,0)</f>
        <v>GCAP1.png</v>
      </c>
    </row>
    <row r="434" spans="1:9" x14ac:dyDescent="0.25">
      <c r="A434" s="2" t="s">
        <v>105</v>
      </c>
      <c r="B434" s="2" t="s">
        <v>63</v>
      </c>
      <c r="C434" t="s">
        <v>28</v>
      </c>
      <c r="D434" t="s">
        <v>26</v>
      </c>
      <c r="E434" t="s">
        <v>106</v>
      </c>
      <c r="F434" t="s">
        <v>33</v>
      </c>
      <c r="G434">
        <v>6.79</v>
      </c>
      <c r="H434">
        <v>6.39</v>
      </c>
      <c r="I434" s="2" t="str">
        <f>_xlfn.XLOOKUP(F434,DeparaIMG!B:B,DeparaIMG!D:D,,0)</f>
        <v>GCAP1,5.png</v>
      </c>
    </row>
    <row r="435" spans="1:9" x14ac:dyDescent="0.25">
      <c r="A435" s="2" t="s">
        <v>105</v>
      </c>
      <c r="B435" s="2" t="s">
        <v>63</v>
      </c>
      <c r="C435" t="s">
        <v>29</v>
      </c>
      <c r="D435" t="s">
        <v>26</v>
      </c>
      <c r="E435" t="s">
        <v>106</v>
      </c>
      <c r="F435" t="s">
        <v>33</v>
      </c>
      <c r="G435">
        <v>6.49</v>
      </c>
      <c r="H435">
        <v>6.09</v>
      </c>
      <c r="I435" s="2" t="str">
        <f>_xlfn.XLOOKUP(F435,DeparaIMG!B:B,DeparaIMG!D:D,,0)</f>
        <v>GCAP1,5.png</v>
      </c>
    </row>
    <row r="436" spans="1:9" x14ac:dyDescent="0.25">
      <c r="A436" s="2" t="s">
        <v>105</v>
      </c>
      <c r="B436" s="2" t="s">
        <v>63</v>
      </c>
      <c r="C436" t="s">
        <v>30</v>
      </c>
      <c r="D436" t="s">
        <v>26</v>
      </c>
      <c r="E436" t="s">
        <v>106</v>
      </c>
      <c r="F436" t="s">
        <v>33</v>
      </c>
      <c r="G436">
        <v>6.49</v>
      </c>
      <c r="H436">
        <v>6.09</v>
      </c>
      <c r="I436" s="2" t="str">
        <f>_xlfn.XLOOKUP(F436,DeparaIMG!B:B,DeparaIMG!D:D,,0)</f>
        <v>GCAP1,5.png</v>
      </c>
    </row>
    <row r="437" spans="1:9" x14ac:dyDescent="0.25">
      <c r="A437" s="2" t="s">
        <v>105</v>
      </c>
      <c r="B437" s="2" t="s">
        <v>63</v>
      </c>
      <c r="C437" t="s">
        <v>31</v>
      </c>
      <c r="D437" t="s">
        <v>26</v>
      </c>
      <c r="E437" t="s">
        <v>106</v>
      </c>
      <c r="F437" t="s">
        <v>33</v>
      </c>
      <c r="G437">
        <v>6.99</v>
      </c>
      <c r="H437">
        <v>6.59</v>
      </c>
      <c r="I437" s="2" t="str">
        <f>_xlfn.XLOOKUP(F437,DeparaIMG!B:B,DeparaIMG!D:D,,0)</f>
        <v>GCAP1,5.png</v>
      </c>
    </row>
    <row r="438" spans="1:9" x14ac:dyDescent="0.25">
      <c r="A438" s="2" t="s">
        <v>105</v>
      </c>
      <c r="B438" s="2" t="s">
        <v>63</v>
      </c>
      <c r="C438" t="s">
        <v>4</v>
      </c>
      <c r="D438" t="s">
        <v>26</v>
      </c>
      <c r="E438" t="s">
        <v>106</v>
      </c>
      <c r="F438" t="s">
        <v>34</v>
      </c>
      <c r="G438">
        <v>7.79</v>
      </c>
      <c r="H438">
        <v>7.29</v>
      </c>
      <c r="I438" s="2" t="str">
        <f>_xlfn.XLOOKUP(F438,DeparaIMG!B:B,DeparaIMG!D:D,,0)</f>
        <v>PCP2.png</v>
      </c>
    </row>
    <row r="439" spans="1:9" x14ac:dyDescent="0.25">
      <c r="A439" s="2" t="s">
        <v>105</v>
      </c>
      <c r="B439" s="2" t="s">
        <v>63</v>
      </c>
      <c r="C439" t="s">
        <v>28</v>
      </c>
      <c r="D439" t="s">
        <v>26</v>
      </c>
      <c r="E439" t="s">
        <v>106</v>
      </c>
      <c r="F439" t="s">
        <v>34</v>
      </c>
      <c r="G439">
        <v>8.49</v>
      </c>
      <c r="H439">
        <v>7.99</v>
      </c>
      <c r="I439" s="2" t="str">
        <f>_xlfn.XLOOKUP(F439,DeparaIMG!B:B,DeparaIMG!D:D,,0)</f>
        <v>PCP2.png</v>
      </c>
    </row>
    <row r="440" spans="1:9" x14ac:dyDescent="0.25">
      <c r="A440" s="2" t="s">
        <v>105</v>
      </c>
      <c r="B440" s="2" t="s">
        <v>63</v>
      </c>
      <c r="C440" t="s">
        <v>29</v>
      </c>
      <c r="D440" t="s">
        <v>26</v>
      </c>
      <c r="E440" t="s">
        <v>106</v>
      </c>
      <c r="F440" t="s">
        <v>34</v>
      </c>
      <c r="G440">
        <v>7.79</v>
      </c>
      <c r="H440">
        <v>7.29</v>
      </c>
      <c r="I440" s="2" t="str">
        <f>_xlfn.XLOOKUP(F440,DeparaIMG!B:B,DeparaIMG!D:D,,0)</f>
        <v>PCP2.png</v>
      </c>
    </row>
    <row r="441" spans="1:9" x14ac:dyDescent="0.25">
      <c r="A441" s="2" t="s">
        <v>105</v>
      </c>
      <c r="B441" s="2" t="s">
        <v>63</v>
      </c>
      <c r="C441" t="s">
        <v>30</v>
      </c>
      <c r="D441" t="s">
        <v>26</v>
      </c>
      <c r="E441" t="s">
        <v>106</v>
      </c>
      <c r="F441" t="s">
        <v>34</v>
      </c>
      <c r="G441">
        <v>7.79</v>
      </c>
      <c r="H441">
        <v>7.29</v>
      </c>
      <c r="I441" s="2" t="str">
        <f>_xlfn.XLOOKUP(F441,DeparaIMG!B:B,DeparaIMG!D:D,,0)</f>
        <v>PCP2.png</v>
      </c>
    </row>
    <row r="442" spans="1:9" x14ac:dyDescent="0.25">
      <c r="A442" s="2" t="s">
        <v>105</v>
      </c>
      <c r="B442" s="2" t="s">
        <v>63</v>
      </c>
      <c r="C442" t="s">
        <v>31</v>
      </c>
      <c r="D442" t="s">
        <v>26</v>
      </c>
      <c r="E442" t="s">
        <v>106</v>
      </c>
      <c r="F442" t="s">
        <v>34</v>
      </c>
      <c r="G442">
        <v>8.7899999999999991</v>
      </c>
      <c r="H442">
        <v>8.2899999999999991</v>
      </c>
      <c r="I442" s="2" t="str">
        <f>_xlfn.XLOOKUP(F442,DeparaIMG!B:B,DeparaIMG!D:D,,0)</f>
        <v>PCP2.png</v>
      </c>
    </row>
    <row r="443" spans="1:9" x14ac:dyDescent="0.25">
      <c r="A443" s="2" t="s">
        <v>105</v>
      </c>
      <c r="B443" s="2" t="s">
        <v>63</v>
      </c>
      <c r="C443" t="s">
        <v>4</v>
      </c>
      <c r="D443" t="s">
        <v>26</v>
      </c>
      <c r="E443" t="s">
        <v>106</v>
      </c>
      <c r="F443" t="s">
        <v>35</v>
      </c>
      <c r="G443">
        <v>5.79</v>
      </c>
      <c r="H443">
        <v>5.49</v>
      </c>
      <c r="I443" s="2" t="str">
        <f>_xlfn.XLOOKUP(F443,DeparaIMG!B:B,DeparaIMG!D:D,,0)</f>
        <v>BAREP2.png</v>
      </c>
    </row>
    <row r="444" spans="1:9" x14ac:dyDescent="0.25">
      <c r="A444" s="2" t="s">
        <v>105</v>
      </c>
      <c r="B444" s="2" t="s">
        <v>63</v>
      </c>
      <c r="C444" t="s">
        <v>28</v>
      </c>
      <c r="D444" t="s">
        <v>26</v>
      </c>
      <c r="E444" t="s">
        <v>106</v>
      </c>
      <c r="F444" t="s">
        <v>36</v>
      </c>
      <c r="G444">
        <v>5.29</v>
      </c>
      <c r="H444">
        <v>4.79</v>
      </c>
      <c r="I444" s="2" t="str">
        <f>_xlfn.XLOOKUP(F444,DeparaIMG!B:B,DeparaIMG!D:D,,0)</f>
        <v>H2OHP500.png</v>
      </c>
    </row>
    <row r="445" spans="1:9" x14ac:dyDescent="0.25">
      <c r="A445" s="2" t="s">
        <v>105</v>
      </c>
      <c r="B445" s="2" t="s">
        <v>63</v>
      </c>
      <c r="C445" t="s">
        <v>29</v>
      </c>
      <c r="D445" t="s">
        <v>26</v>
      </c>
      <c r="E445" t="s">
        <v>106</v>
      </c>
      <c r="F445" t="s">
        <v>36</v>
      </c>
      <c r="G445">
        <v>5.29</v>
      </c>
      <c r="H445">
        <v>4.79</v>
      </c>
      <c r="I445" s="2" t="str">
        <f>_xlfn.XLOOKUP(F445,DeparaIMG!B:B,DeparaIMG!D:D,,0)</f>
        <v>H2OHP500.png</v>
      </c>
    </row>
    <row r="446" spans="1:9" x14ac:dyDescent="0.25">
      <c r="A446" s="2" t="s">
        <v>105</v>
      </c>
      <c r="B446" s="2" t="s">
        <v>63</v>
      </c>
      <c r="C446" t="s">
        <v>30</v>
      </c>
      <c r="D446" t="s">
        <v>26</v>
      </c>
      <c r="E446" t="s">
        <v>106</v>
      </c>
      <c r="F446" t="s">
        <v>36</v>
      </c>
      <c r="G446">
        <v>5.29</v>
      </c>
      <c r="H446">
        <v>4.79</v>
      </c>
      <c r="I446" s="2" t="str">
        <f>_xlfn.XLOOKUP(F446,DeparaIMG!B:B,DeparaIMG!D:D,,0)</f>
        <v>H2OHP500.png</v>
      </c>
    </row>
    <row r="447" spans="1:9" x14ac:dyDescent="0.25">
      <c r="A447" s="2" t="s">
        <v>105</v>
      </c>
      <c r="B447" s="2" t="s">
        <v>63</v>
      </c>
      <c r="C447" t="s">
        <v>31</v>
      </c>
      <c r="D447" t="s">
        <v>26</v>
      </c>
      <c r="E447" t="s">
        <v>106</v>
      </c>
      <c r="F447" t="s">
        <v>36</v>
      </c>
      <c r="G447">
        <v>5.29</v>
      </c>
      <c r="H447">
        <v>4.79</v>
      </c>
      <c r="I447" s="2" t="str">
        <f>_xlfn.XLOOKUP(F447,DeparaIMG!B:B,DeparaIMG!D:D,,0)</f>
        <v>H2OHP500.png</v>
      </c>
    </row>
    <row r="448" spans="1:9" x14ac:dyDescent="0.25">
      <c r="A448" s="2" t="s">
        <v>105</v>
      </c>
      <c r="B448" s="2" t="s">
        <v>63</v>
      </c>
      <c r="C448" t="s">
        <v>4</v>
      </c>
      <c r="D448" t="s">
        <v>27</v>
      </c>
      <c r="E448" t="s">
        <v>106</v>
      </c>
      <c r="F448" t="s">
        <v>38</v>
      </c>
      <c r="G448">
        <v>8.99</v>
      </c>
      <c r="H448">
        <v>8.2900000000000009</v>
      </c>
      <c r="I448" s="2" t="str">
        <f>_xlfn.XLOOKUP(F448,DeparaIMG!B:B,DeparaIMG!D:D,,0)</f>
        <v>GCAP2.png</v>
      </c>
    </row>
    <row r="449" spans="1:9" x14ac:dyDescent="0.25">
      <c r="A449" s="2" t="s">
        <v>105</v>
      </c>
      <c r="B449" s="2" t="s">
        <v>63</v>
      </c>
      <c r="C449" t="s">
        <v>28</v>
      </c>
      <c r="D449" t="s">
        <v>27</v>
      </c>
      <c r="E449" t="s">
        <v>106</v>
      </c>
      <c r="F449" t="s">
        <v>38</v>
      </c>
      <c r="G449">
        <v>8.99</v>
      </c>
      <c r="H449">
        <v>8.2900000000000009</v>
      </c>
      <c r="I449" s="2" t="str">
        <f>_xlfn.XLOOKUP(F449,DeparaIMG!B:B,DeparaIMG!D:D,,0)</f>
        <v>GCAP2.png</v>
      </c>
    </row>
    <row r="450" spans="1:9" x14ac:dyDescent="0.25">
      <c r="A450" s="2" t="s">
        <v>105</v>
      </c>
      <c r="B450" s="2" t="s">
        <v>63</v>
      </c>
      <c r="C450" t="s">
        <v>29</v>
      </c>
      <c r="D450" t="s">
        <v>27</v>
      </c>
      <c r="E450" t="s">
        <v>106</v>
      </c>
      <c r="F450" t="s">
        <v>38</v>
      </c>
      <c r="G450">
        <v>8.49</v>
      </c>
      <c r="H450">
        <v>7.79</v>
      </c>
      <c r="I450" s="2" t="str">
        <f>_xlfn.XLOOKUP(F450,DeparaIMG!B:B,DeparaIMG!D:D,,0)</f>
        <v>GCAP2.png</v>
      </c>
    </row>
    <row r="451" spans="1:9" x14ac:dyDescent="0.25">
      <c r="A451" s="2" t="s">
        <v>105</v>
      </c>
      <c r="B451" s="2" t="s">
        <v>63</v>
      </c>
      <c r="C451" t="s">
        <v>30</v>
      </c>
      <c r="D451" t="s">
        <v>27</v>
      </c>
      <c r="E451" t="s">
        <v>106</v>
      </c>
      <c r="F451" t="s">
        <v>38</v>
      </c>
      <c r="G451">
        <v>8.49</v>
      </c>
      <c r="H451">
        <v>7.79</v>
      </c>
      <c r="I451" s="2" t="str">
        <f>_xlfn.XLOOKUP(F451,DeparaIMG!B:B,DeparaIMG!D:D,,0)</f>
        <v>GCAP2.png</v>
      </c>
    </row>
    <row r="452" spans="1:9" x14ac:dyDescent="0.25">
      <c r="A452" s="2" t="s">
        <v>105</v>
      </c>
      <c r="B452" s="2" t="s">
        <v>63</v>
      </c>
      <c r="C452" t="s">
        <v>31</v>
      </c>
      <c r="D452" t="s">
        <v>27</v>
      </c>
      <c r="E452" t="s">
        <v>106</v>
      </c>
      <c r="F452" t="s">
        <v>38</v>
      </c>
      <c r="G452">
        <v>9.49</v>
      </c>
      <c r="H452">
        <v>8.7900000000000009</v>
      </c>
      <c r="I452" s="2" t="str">
        <f>_xlfn.XLOOKUP(F452,DeparaIMG!B:B,DeparaIMG!D:D,,0)</f>
        <v>GCAP2.png</v>
      </c>
    </row>
    <row r="453" spans="1:9" x14ac:dyDescent="0.25">
      <c r="A453" s="2" t="s">
        <v>105</v>
      </c>
      <c r="B453" s="2" t="s">
        <v>63</v>
      </c>
      <c r="C453" t="s">
        <v>4</v>
      </c>
      <c r="D453" t="s">
        <v>27</v>
      </c>
      <c r="E453" t="s">
        <v>106</v>
      </c>
      <c r="F453" t="s">
        <v>39</v>
      </c>
      <c r="G453">
        <v>3.49</v>
      </c>
      <c r="H453">
        <v>3.1900000000000004</v>
      </c>
      <c r="I453" s="2" t="str">
        <f>_xlfn.XLOOKUP(F453,DeparaIMG!B:B,DeparaIMG!D:D,,0)</f>
        <v>GCA350.png</v>
      </c>
    </row>
    <row r="454" spans="1:9" x14ac:dyDescent="0.25">
      <c r="A454" s="2" t="s">
        <v>105</v>
      </c>
      <c r="B454" s="2" t="s">
        <v>63</v>
      </c>
      <c r="C454" t="s">
        <v>28</v>
      </c>
      <c r="D454" t="s">
        <v>27</v>
      </c>
      <c r="E454" t="s">
        <v>106</v>
      </c>
      <c r="F454" t="s">
        <v>39</v>
      </c>
      <c r="G454">
        <v>3.49</v>
      </c>
      <c r="H454">
        <v>3.1900000000000004</v>
      </c>
      <c r="I454" s="2" t="str">
        <f>_xlfn.XLOOKUP(F454,DeparaIMG!B:B,DeparaIMG!D:D,,0)</f>
        <v>GCA350.png</v>
      </c>
    </row>
    <row r="455" spans="1:9" x14ac:dyDescent="0.25">
      <c r="A455" s="2" t="s">
        <v>105</v>
      </c>
      <c r="B455" s="2" t="s">
        <v>63</v>
      </c>
      <c r="C455" t="s">
        <v>29</v>
      </c>
      <c r="D455" t="s">
        <v>27</v>
      </c>
      <c r="E455" t="s">
        <v>106</v>
      </c>
      <c r="F455" t="s">
        <v>39</v>
      </c>
      <c r="G455">
        <v>3.49</v>
      </c>
      <c r="H455">
        <v>3.1900000000000004</v>
      </c>
      <c r="I455" s="2" t="str">
        <f>_xlfn.XLOOKUP(F455,DeparaIMG!B:B,DeparaIMG!D:D,,0)</f>
        <v>GCA350.png</v>
      </c>
    </row>
    <row r="456" spans="1:9" x14ac:dyDescent="0.25">
      <c r="A456" s="2" t="s">
        <v>105</v>
      </c>
      <c r="B456" s="2" t="s">
        <v>63</v>
      </c>
      <c r="C456" t="s">
        <v>30</v>
      </c>
      <c r="D456" t="s">
        <v>27</v>
      </c>
      <c r="E456" t="s">
        <v>106</v>
      </c>
      <c r="F456" t="s">
        <v>39</v>
      </c>
      <c r="G456">
        <v>3.49</v>
      </c>
      <c r="H456">
        <v>3.1900000000000004</v>
      </c>
      <c r="I456" s="2" t="str">
        <f>_xlfn.XLOOKUP(F456,DeparaIMG!B:B,DeparaIMG!D:D,,0)</f>
        <v>GCA350.png</v>
      </c>
    </row>
    <row r="457" spans="1:9" x14ac:dyDescent="0.25">
      <c r="A457" s="2" t="s">
        <v>105</v>
      </c>
      <c r="B457" s="2" t="s">
        <v>63</v>
      </c>
      <c r="C457" t="s">
        <v>31</v>
      </c>
      <c r="D457" t="s">
        <v>27</v>
      </c>
      <c r="E457" t="s">
        <v>106</v>
      </c>
      <c r="F457" t="s">
        <v>39</v>
      </c>
      <c r="G457">
        <v>3.49</v>
      </c>
      <c r="H457">
        <v>3.1900000000000004</v>
      </c>
      <c r="I457" s="2" t="str">
        <f>_xlfn.XLOOKUP(F457,DeparaIMG!B:B,DeparaIMG!D:D,,0)</f>
        <v>GCA350.png</v>
      </c>
    </row>
    <row r="458" spans="1:9" x14ac:dyDescent="0.25">
      <c r="A458" s="2" t="s">
        <v>105</v>
      </c>
      <c r="B458" s="2" t="s">
        <v>63</v>
      </c>
      <c r="C458" t="s">
        <v>4</v>
      </c>
      <c r="D458" t="s">
        <v>27</v>
      </c>
      <c r="E458" t="s">
        <v>106</v>
      </c>
      <c r="F458" t="s">
        <v>35</v>
      </c>
      <c r="G458">
        <v>5.99</v>
      </c>
      <c r="H458">
        <v>5.49</v>
      </c>
      <c r="I458" s="2" t="str">
        <f>_xlfn.XLOOKUP(F458,DeparaIMG!B:B,DeparaIMG!D:D,,0)</f>
        <v>BAREP2.png</v>
      </c>
    </row>
    <row r="459" spans="1:9" x14ac:dyDescent="0.25">
      <c r="A459" s="2" t="s">
        <v>105</v>
      </c>
      <c r="B459" s="2" t="s">
        <v>63</v>
      </c>
      <c r="C459" t="s">
        <v>28</v>
      </c>
      <c r="D459" t="s">
        <v>27</v>
      </c>
      <c r="E459" t="s">
        <v>106</v>
      </c>
      <c r="F459" t="s">
        <v>36</v>
      </c>
      <c r="G459">
        <v>5.49</v>
      </c>
      <c r="H459">
        <v>5.19</v>
      </c>
      <c r="I459" s="2" t="str">
        <f>_xlfn.XLOOKUP(F459,DeparaIMG!B:B,DeparaIMG!D:D,,0)</f>
        <v>H2OHP500.png</v>
      </c>
    </row>
    <row r="460" spans="1:9" x14ac:dyDescent="0.25">
      <c r="A460" s="2" t="s">
        <v>105</v>
      </c>
      <c r="B460" s="2" t="s">
        <v>63</v>
      </c>
      <c r="C460" t="s">
        <v>29</v>
      </c>
      <c r="D460" t="s">
        <v>27</v>
      </c>
      <c r="E460" t="s">
        <v>106</v>
      </c>
      <c r="F460" t="s">
        <v>36</v>
      </c>
      <c r="G460">
        <v>5.49</v>
      </c>
      <c r="H460">
        <v>5.19</v>
      </c>
      <c r="I460" s="2" t="str">
        <f>_xlfn.XLOOKUP(F460,DeparaIMG!B:B,DeparaIMG!D:D,,0)</f>
        <v>H2OHP500.png</v>
      </c>
    </row>
    <row r="461" spans="1:9" x14ac:dyDescent="0.25">
      <c r="A461" s="2" t="s">
        <v>105</v>
      </c>
      <c r="B461" s="2" t="s">
        <v>63</v>
      </c>
      <c r="C461" t="s">
        <v>30</v>
      </c>
      <c r="D461" t="s">
        <v>27</v>
      </c>
      <c r="E461" t="s">
        <v>106</v>
      </c>
      <c r="F461" t="s">
        <v>36</v>
      </c>
      <c r="G461">
        <v>5.49</v>
      </c>
      <c r="H461">
        <v>5.19</v>
      </c>
      <c r="I461" s="2" t="str">
        <f>_xlfn.XLOOKUP(F461,DeparaIMG!B:B,DeparaIMG!D:D,,0)</f>
        <v>H2OHP500.png</v>
      </c>
    </row>
    <row r="462" spans="1:9" x14ac:dyDescent="0.25">
      <c r="A462" s="2" t="s">
        <v>105</v>
      </c>
      <c r="B462" s="2" t="s">
        <v>63</v>
      </c>
      <c r="C462" t="s">
        <v>31</v>
      </c>
      <c r="D462" t="s">
        <v>27</v>
      </c>
      <c r="E462" t="s">
        <v>106</v>
      </c>
      <c r="F462" t="s">
        <v>36</v>
      </c>
      <c r="G462">
        <v>5.49</v>
      </c>
      <c r="H462">
        <v>5.19</v>
      </c>
      <c r="I462" s="2" t="str">
        <f>_xlfn.XLOOKUP(F462,DeparaIMG!B:B,DeparaIMG!D:D,,0)</f>
        <v>H2OHP500.png</v>
      </c>
    </row>
    <row r="463" spans="1:9" x14ac:dyDescent="0.25">
      <c r="A463" s="2" t="s">
        <v>105</v>
      </c>
      <c r="B463" s="2" t="s">
        <v>63</v>
      </c>
      <c r="C463" t="s">
        <v>4</v>
      </c>
      <c r="D463" t="s">
        <v>27</v>
      </c>
      <c r="E463" t="s">
        <v>106</v>
      </c>
      <c r="F463" t="s">
        <v>40</v>
      </c>
      <c r="G463">
        <v>3.49</v>
      </c>
      <c r="H463">
        <v>3.0900000000000003</v>
      </c>
      <c r="I463" s="2" t="str">
        <f>_xlfn.XLOOKUP(F463,DeparaIMG!B:B,DeparaIMG!D:D,,0)</f>
        <v>PCB350.png</v>
      </c>
    </row>
    <row r="464" spans="1:9" x14ac:dyDescent="0.25">
      <c r="A464" s="2" t="s">
        <v>105</v>
      </c>
      <c r="B464" s="2" t="s">
        <v>63</v>
      </c>
      <c r="C464" t="s">
        <v>28</v>
      </c>
      <c r="D464" t="s">
        <v>27</v>
      </c>
      <c r="E464" t="s">
        <v>106</v>
      </c>
      <c r="F464" t="s">
        <v>40</v>
      </c>
      <c r="G464">
        <v>3.49</v>
      </c>
      <c r="H464">
        <v>3.0900000000000003</v>
      </c>
      <c r="I464" s="2" t="str">
        <f>_xlfn.XLOOKUP(F464,DeparaIMG!B:B,DeparaIMG!D:D,,0)</f>
        <v>PCB350.png</v>
      </c>
    </row>
    <row r="465" spans="1:9" x14ac:dyDescent="0.25">
      <c r="A465" s="2" t="s">
        <v>105</v>
      </c>
      <c r="B465" s="2" t="s">
        <v>63</v>
      </c>
      <c r="C465" t="s">
        <v>29</v>
      </c>
      <c r="D465" t="s">
        <v>27</v>
      </c>
      <c r="E465" t="s">
        <v>106</v>
      </c>
      <c r="F465" t="s">
        <v>40</v>
      </c>
      <c r="G465">
        <v>3.49</v>
      </c>
      <c r="H465">
        <v>3.0900000000000003</v>
      </c>
      <c r="I465" s="2" t="str">
        <f>_xlfn.XLOOKUP(F465,DeparaIMG!B:B,DeparaIMG!D:D,,0)</f>
        <v>PCB350.png</v>
      </c>
    </row>
    <row r="466" spans="1:9" x14ac:dyDescent="0.25">
      <c r="A466" s="2" t="s">
        <v>105</v>
      </c>
      <c r="B466" s="2" t="s">
        <v>63</v>
      </c>
      <c r="C466" t="s">
        <v>30</v>
      </c>
      <c r="D466" t="s">
        <v>27</v>
      </c>
      <c r="E466" t="s">
        <v>106</v>
      </c>
      <c r="F466" t="s">
        <v>40</v>
      </c>
      <c r="G466">
        <v>3.49</v>
      </c>
      <c r="H466">
        <v>3.0900000000000003</v>
      </c>
      <c r="I466" s="2" t="str">
        <f>_xlfn.XLOOKUP(F466,DeparaIMG!B:B,DeparaIMG!D:D,,0)</f>
        <v>PCB350.png</v>
      </c>
    </row>
    <row r="467" spans="1:9" x14ac:dyDescent="0.25">
      <c r="A467" s="2" t="s">
        <v>105</v>
      </c>
      <c r="B467" s="2" t="s">
        <v>63</v>
      </c>
      <c r="C467" t="s">
        <v>31</v>
      </c>
      <c r="D467" t="s">
        <v>27</v>
      </c>
      <c r="E467" t="s">
        <v>106</v>
      </c>
      <c r="F467" t="s">
        <v>40</v>
      </c>
      <c r="G467">
        <v>3.49</v>
      </c>
      <c r="H467">
        <v>3.0900000000000003</v>
      </c>
      <c r="I467" s="2" t="str">
        <f>_xlfn.XLOOKUP(F467,DeparaIMG!B:B,DeparaIMG!D:D,,0)</f>
        <v>PCB350.png</v>
      </c>
    </row>
    <row r="468" spans="1:9" x14ac:dyDescent="0.25">
      <c r="A468" s="2" t="s">
        <v>105</v>
      </c>
      <c r="B468" s="2" t="s">
        <v>63</v>
      </c>
      <c r="C468" t="s">
        <v>4</v>
      </c>
      <c r="D468" t="s">
        <v>26</v>
      </c>
      <c r="E468" t="s">
        <v>107</v>
      </c>
      <c r="F468" t="s">
        <v>38</v>
      </c>
      <c r="G468">
        <v>8.7899999999999991</v>
      </c>
      <c r="H468">
        <v>8.09</v>
      </c>
      <c r="I468" s="2" t="str">
        <f>_xlfn.XLOOKUP(F468,DeparaIMG!B:B,DeparaIMG!D:D,,0)</f>
        <v>GCAP2.png</v>
      </c>
    </row>
    <row r="469" spans="1:9" x14ac:dyDescent="0.25">
      <c r="A469" s="2" t="s">
        <v>105</v>
      </c>
      <c r="B469" s="2" t="s">
        <v>63</v>
      </c>
      <c r="C469" t="s">
        <v>28</v>
      </c>
      <c r="D469" t="s">
        <v>26</v>
      </c>
      <c r="E469" t="s">
        <v>107</v>
      </c>
      <c r="F469" t="s">
        <v>38</v>
      </c>
      <c r="G469">
        <v>8.7899999999999991</v>
      </c>
      <c r="H469">
        <v>8.09</v>
      </c>
      <c r="I469" s="2" t="str">
        <f>_xlfn.XLOOKUP(F469,DeparaIMG!B:B,DeparaIMG!D:D,,0)</f>
        <v>GCAP2.png</v>
      </c>
    </row>
    <row r="470" spans="1:9" x14ac:dyDescent="0.25">
      <c r="A470" s="2" t="s">
        <v>105</v>
      </c>
      <c r="B470" s="2" t="s">
        <v>63</v>
      </c>
      <c r="C470" t="s">
        <v>29</v>
      </c>
      <c r="D470" t="s">
        <v>26</v>
      </c>
      <c r="E470" t="s">
        <v>107</v>
      </c>
      <c r="F470" t="s">
        <v>38</v>
      </c>
      <c r="G470">
        <v>8.2899999999999991</v>
      </c>
      <c r="H470">
        <v>7.589999999999999</v>
      </c>
      <c r="I470" s="2" t="str">
        <f>_xlfn.XLOOKUP(F470,DeparaIMG!B:B,DeparaIMG!D:D,,0)</f>
        <v>GCAP2.png</v>
      </c>
    </row>
    <row r="471" spans="1:9" x14ac:dyDescent="0.25">
      <c r="A471" s="2" t="s">
        <v>105</v>
      </c>
      <c r="B471" s="2" t="s">
        <v>63</v>
      </c>
      <c r="C471" t="s">
        <v>30</v>
      </c>
      <c r="D471" t="s">
        <v>26</v>
      </c>
      <c r="E471" t="s">
        <v>107</v>
      </c>
      <c r="F471" t="s">
        <v>38</v>
      </c>
      <c r="G471">
        <v>8.2899999999999991</v>
      </c>
      <c r="H471">
        <v>7.589999999999999</v>
      </c>
      <c r="I471" s="2" t="str">
        <f>_xlfn.XLOOKUP(F471,DeparaIMG!B:B,DeparaIMG!D:D,,0)</f>
        <v>GCAP2.png</v>
      </c>
    </row>
    <row r="472" spans="1:9" x14ac:dyDescent="0.25">
      <c r="A472" s="2" t="s">
        <v>105</v>
      </c>
      <c r="B472" s="2" t="s">
        <v>63</v>
      </c>
      <c r="C472" t="s">
        <v>31</v>
      </c>
      <c r="D472" t="s">
        <v>26</v>
      </c>
      <c r="E472" t="s">
        <v>107</v>
      </c>
      <c r="F472" t="s">
        <v>38</v>
      </c>
      <c r="G472">
        <v>9.2899999999999991</v>
      </c>
      <c r="H472">
        <v>8.59</v>
      </c>
      <c r="I472" s="2" t="str">
        <f>_xlfn.XLOOKUP(F472,DeparaIMG!B:B,DeparaIMG!D:D,,0)</f>
        <v>GCAP2.png</v>
      </c>
    </row>
    <row r="473" spans="1:9" x14ac:dyDescent="0.25">
      <c r="A473" s="2" t="s">
        <v>105</v>
      </c>
      <c r="B473" s="2" t="s">
        <v>63</v>
      </c>
      <c r="C473" t="s">
        <v>4</v>
      </c>
      <c r="D473" t="s">
        <v>26</v>
      </c>
      <c r="E473" t="s">
        <v>107</v>
      </c>
      <c r="F473" t="s">
        <v>41</v>
      </c>
      <c r="G473">
        <v>2.4900000000000002</v>
      </c>
      <c r="H473">
        <v>2.29</v>
      </c>
      <c r="I473" s="2" t="str">
        <f>_xlfn.XLOOKUP(F473,DeparaIMG!B:B,DeparaIMG!D:D,,0)</f>
        <v>GCA269.png</v>
      </c>
    </row>
    <row r="474" spans="1:9" x14ac:dyDescent="0.25">
      <c r="A474" s="2" t="s">
        <v>105</v>
      </c>
      <c r="B474" s="2" t="s">
        <v>63</v>
      </c>
      <c r="C474" t="s">
        <v>28</v>
      </c>
      <c r="D474" t="s">
        <v>26</v>
      </c>
      <c r="E474" t="s">
        <v>107</v>
      </c>
      <c r="F474" t="s">
        <v>41</v>
      </c>
      <c r="G474">
        <v>2.4900000000000002</v>
      </c>
      <c r="H474">
        <v>2.29</v>
      </c>
      <c r="I474" s="2" t="str">
        <f>_xlfn.XLOOKUP(F474,DeparaIMG!B:B,DeparaIMG!D:D,,0)</f>
        <v>GCA269.png</v>
      </c>
    </row>
    <row r="475" spans="1:9" x14ac:dyDescent="0.25">
      <c r="A475" s="2" t="s">
        <v>105</v>
      </c>
      <c r="B475" s="2" t="s">
        <v>63</v>
      </c>
      <c r="C475" t="s">
        <v>29</v>
      </c>
      <c r="D475" t="s">
        <v>26</v>
      </c>
      <c r="E475" t="s">
        <v>107</v>
      </c>
      <c r="F475" t="s">
        <v>41</v>
      </c>
      <c r="G475">
        <v>2.4900000000000002</v>
      </c>
      <c r="H475">
        <v>2.29</v>
      </c>
      <c r="I475" s="2" t="str">
        <f>_xlfn.XLOOKUP(F475,DeparaIMG!B:B,DeparaIMG!D:D,,0)</f>
        <v>GCA269.png</v>
      </c>
    </row>
    <row r="476" spans="1:9" x14ac:dyDescent="0.25">
      <c r="A476" s="2" t="s">
        <v>105</v>
      </c>
      <c r="B476" s="2" t="s">
        <v>63</v>
      </c>
      <c r="C476" t="s">
        <v>30</v>
      </c>
      <c r="D476" t="s">
        <v>26</v>
      </c>
      <c r="E476" t="s">
        <v>107</v>
      </c>
      <c r="F476" t="s">
        <v>41</v>
      </c>
      <c r="G476">
        <v>2.4900000000000002</v>
      </c>
      <c r="H476">
        <v>2.29</v>
      </c>
      <c r="I476" s="2" t="str">
        <f>_xlfn.XLOOKUP(F476,DeparaIMG!B:B,DeparaIMG!D:D,,0)</f>
        <v>GCA269.png</v>
      </c>
    </row>
    <row r="477" spans="1:9" x14ac:dyDescent="0.25">
      <c r="A477" s="2" t="s">
        <v>105</v>
      </c>
      <c r="B477" s="2" t="s">
        <v>63</v>
      </c>
      <c r="C477" t="s">
        <v>31</v>
      </c>
      <c r="D477" t="s">
        <v>26</v>
      </c>
      <c r="E477" t="s">
        <v>107</v>
      </c>
      <c r="F477" t="s">
        <v>41</v>
      </c>
      <c r="G477">
        <v>2.4900000000000002</v>
      </c>
      <c r="H477">
        <v>2.29</v>
      </c>
      <c r="I477" s="2" t="str">
        <f>_xlfn.XLOOKUP(F477,DeparaIMG!B:B,DeparaIMG!D:D,,0)</f>
        <v>GCA269.png</v>
      </c>
    </row>
    <row r="478" spans="1:9" x14ac:dyDescent="0.25">
      <c r="A478" s="2" t="s">
        <v>105</v>
      </c>
      <c r="B478" s="2" t="s">
        <v>63</v>
      </c>
      <c r="C478" t="s">
        <v>4</v>
      </c>
      <c r="D478" t="s">
        <v>26</v>
      </c>
      <c r="E478" t="s">
        <v>107</v>
      </c>
      <c r="F478" t="s">
        <v>42</v>
      </c>
      <c r="G478">
        <v>2.4900000000000002</v>
      </c>
      <c r="H478">
        <v>2.29</v>
      </c>
      <c r="I478" s="2" t="str">
        <f>_xlfn.XLOOKUP(F478,DeparaIMG!B:B,DeparaIMG!D:D,,0)</f>
        <v>PC269.png</v>
      </c>
    </row>
    <row r="479" spans="1:9" x14ac:dyDescent="0.25">
      <c r="A479" s="2" t="s">
        <v>105</v>
      </c>
      <c r="B479" s="2" t="s">
        <v>63</v>
      </c>
      <c r="C479" t="s">
        <v>28</v>
      </c>
      <c r="D479" t="s">
        <v>26</v>
      </c>
      <c r="E479" t="s">
        <v>107</v>
      </c>
      <c r="F479" t="s">
        <v>42</v>
      </c>
      <c r="G479">
        <v>2.4900000000000002</v>
      </c>
      <c r="H479">
        <v>2.29</v>
      </c>
      <c r="I479" s="2" t="str">
        <f>_xlfn.XLOOKUP(F479,DeparaIMG!B:B,DeparaIMG!D:D,,0)</f>
        <v>PC269.png</v>
      </c>
    </row>
    <row r="480" spans="1:9" x14ac:dyDescent="0.25">
      <c r="A480" s="2" t="s">
        <v>105</v>
      </c>
      <c r="B480" s="2" t="s">
        <v>63</v>
      </c>
      <c r="C480" t="s">
        <v>29</v>
      </c>
      <c r="D480" t="s">
        <v>26</v>
      </c>
      <c r="E480" t="s">
        <v>107</v>
      </c>
      <c r="F480" t="s">
        <v>42</v>
      </c>
      <c r="G480">
        <v>2.4900000000000002</v>
      </c>
      <c r="H480">
        <v>2.29</v>
      </c>
      <c r="I480" s="2" t="str">
        <f>_xlfn.XLOOKUP(F480,DeparaIMG!B:B,DeparaIMG!D:D,,0)</f>
        <v>PC269.png</v>
      </c>
    </row>
    <row r="481" spans="1:9" x14ac:dyDescent="0.25">
      <c r="A481" s="2" t="s">
        <v>105</v>
      </c>
      <c r="B481" s="2" t="s">
        <v>63</v>
      </c>
      <c r="C481" t="s">
        <v>30</v>
      </c>
      <c r="D481" t="s">
        <v>26</v>
      </c>
      <c r="E481" t="s">
        <v>107</v>
      </c>
      <c r="F481" t="s">
        <v>42</v>
      </c>
      <c r="G481">
        <v>2.4900000000000002</v>
      </c>
      <c r="H481">
        <v>2.29</v>
      </c>
      <c r="I481" s="2" t="str">
        <f>_xlfn.XLOOKUP(F481,DeparaIMG!B:B,DeparaIMG!D:D,,0)</f>
        <v>PC269.png</v>
      </c>
    </row>
    <row r="482" spans="1:9" x14ac:dyDescent="0.25">
      <c r="A482" s="2" t="s">
        <v>105</v>
      </c>
      <c r="B482" s="2" t="s">
        <v>63</v>
      </c>
      <c r="C482" t="s">
        <v>31</v>
      </c>
      <c r="D482" t="s">
        <v>26</v>
      </c>
      <c r="E482" t="s">
        <v>107</v>
      </c>
      <c r="F482" t="s">
        <v>42</v>
      </c>
      <c r="G482">
        <v>2.4900000000000002</v>
      </c>
      <c r="H482">
        <v>2.29</v>
      </c>
      <c r="I482" s="2" t="str">
        <f>_xlfn.XLOOKUP(F482,DeparaIMG!B:B,DeparaIMG!D:D,,0)</f>
        <v>PC269.png</v>
      </c>
    </row>
    <row r="483" spans="1:9" x14ac:dyDescent="0.25">
      <c r="A483" s="2" t="s">
        <v>105</v>
      </c>
      <c r="B483" s="2" t="s">
        <v>63</v>
      </c>
      <c r="C483" t="s">
        <v>4</v>
      </c>
      <c r="D483" t="s">
        <v>27</v>
      </c>
      <c r="E483" t="s">
        <v>107</v>
      </c>
      <c r="F483" t="s">
        <v>32</v>
      </c>
      <c r="G483">
        <v>5.29</v>
      </c>
      <c r="H483">
        <v>4.99</v>
      </c>
      <c r="I483" s="2" t="str">
        <f>_xlfn.XLOOKUP(F483,DeparaIMG!B:B,DeparaIMG!D:D,,0)</f>
        <v>GCAP1.png</v>
      </c>
    </row>
    <row r="484" spans="1:9" x14ac:dyDescent="0.25">
      <c r="A484" s="2" t="s">
        <v>105</v>
      </c>
      <c r="B484" s="2" t="s">
        <v>63</v>
      </c>
      <c r="C484" t="s">
        <v>28</v>
      </c>
      <c r="D484" t="s">
        <v>27</v>
      </c>
      <c r="E484" t="s">
        <v>107</v>
      </c>
      <c r="F484" t="s">
        <v>33</v>
      </c>
      <c r="G484">
        <v>6.99</v>
      </c>
      <c r="H484">
        <v>6.69</v>
      </c>
      <c r="I484" s="2" t="str">
        <f>_xlfn.XLOOKUP(F484,DeparaIMG!B:B,DeparaIMG!D:D,,0)</f>
        <v>GCAP1,5.png</v>
      </c>
    </row>
    <row r="485" spans="1:9" x14ac:dyDescent="0.25">
      <c r="A485" s="2" t="s">
        <v>105</v>
      </c>
      <c r="B485" s="2" t="s">
        <v>63</v>
      </c>
      <c r="C485" t="s">
        <v>29</v>
      </c>
      <c r="D485" t="s">
        <v>27</v>
      </c>
      <c r="E485" t="s">
        <v>107</v>
      </c>
      <c r="F485" t="s">
        <v>33</v>
      </c>
      <c r="G485">
        <v>6.99</v>
      </c>
      <c r="H485">
        <v>6.69</v>
      </c>
      <c r="I485" s="2" t="str">
        <f>_xlfn.XLOOKUP(F485,DeparaIMG!B:B,DeparaIMG!D:D,,0)</f>
        <v>GCAP1,5.png</v>
      </c>
    </row>
    <row r="486" spans="1:9" x14ac:dyDescent="0.25">
      <c r="A486" s="2" t="s">
        <v>105</v>
      </c>
      <c r="B486" s="2" t="s">
        <v>63</v>
      </c>
      <c r="C486" t="s">
        <v>30</v>
      </c>
      <c r="D486" t="s">
        <v>27</v>
      </c>
      <c r="E486" t="s">
        <v>107</v>
      </c>
      <c r="F486" t="s">
        <v>33</v>
      </c>
      <c r="G486">
        <v>6.99</v>
      </c>
      <c r="H486">
        <v>6.69</v>
      </c>
      <c r="I486" s="2" t="str">
        <f>_xlfn.XLOOKUP(F486,DeparaIMG!B:B,DeparaIMG!D:D,,0)</f>
        <v>GCAP1,5.png</v>
      </c>
    </row>
    <row r="487" spans="1:9" x14ac:dyDescent="0.25">
      <c r="A487" s="2" t="s">
        <v>105</v>
      </c>
      <c r="B487" s="2" t="s">
        <v>63</v>
      </c>
      <c r="C487" t="s">
        <v>31</v>
      </c>
      <c r="D487" t="s">
        <v>27</v>
      </c>
      <c r="E487" t="s">
        <v>107</v>
      </c>
      <c r="F487" t="s">
        <v>33</v>
      </c>
      <c r="G487">
        <v>7.49</v>
      </c>
      <c r="H487">
        <v>7.19</v>
      </c>
      <c r="I487" s="2" t="str">
        <f>_xlfn.XLOOKUP(F487,DeparaIMG!B:B,DeparaIMG!D:D,,0)</f>
        <v>GCAP1,5.png</v>
      </c>
    </row>
    <row r="488" spans="1:9" x14ac:dyDescent="0.25">
      <c r="A488" s="2" t="s">
        <v>105</v>
      </c>
      <c r="B488" s="2" t="s">
        <v>63</v>
      </c>
      <c r="C488" t="s">
        <v>4</v>
      </c>
      <c r="D488" t="s">
        <v>27</v>
      </c>
      <c r="E488" t="s">
        <v>107</v>
      </c>
      <c r="F488" t="s">
        <v>34</v>
      </c>
      <c r="G488">
        <v>7.99</v>
      </c>
      <c r="H488">
        <v>7.49</v>
      </c>
      <c r="I488" s="2" t="str">
        <f>_xlfn.XLOOKUP(F488,DeparaIMG!B:B,DeparaIMG!D:D,,0)</f>
        <v>PCP2.png</v>
      </c>
    </row>
    <row r="489" spans="1:9" x14ac:dyDescent="0.25">
      <c r="A489" s="2" t="s">
        <v>105</v>
      </c>
      <c r="B489" s="2" t="s">
        <v>63</v>
      </c>
      <c r="C489" t="s">
        <v>28</v>
      </c>
      <c r="D489" t="s">
        <v>27</v>
      </c>
      <c r="E489" t="s">
        <v>107</v>
      </c>
      <c r="F489" t="s">
        <v>34</v>
      </c>
      <c r="G489">
        <v>8.49</v>
      </c>
      <c r="H489">
        <v>7.99</v>
      </c>
      <c r="I489" s="2" t="str">
        <f>_xlfn.XLOOKUP(F489,DeparaIMG!B:B,DeparaIMG!D:D,,0)</f>
        <v>PCP2.png</v>
      </c>
    </row>
    <row r="490" spans="1:9" x14ac:dyDescent="0.25">
      <c r="A490" s="2" t="s">
        <v>105</v>
      </c>
      <c r="B490" s="2" t="s">
        <v>63</v>
      </c>
      <c r="C490" t="s">
        <v>29</v>
      </c>
      <c r="D490" t="s">
        <v>27</v>
      </c>
      <c r="E490" t="s">
        <v>107</v>
      </c>
      <c r="F490" t="s">
        <v>34</v>
      </c>
      <c r="G490">
        <v>7.99</v>
      </c>
      <c r="H490">
        <v>7.49</v>
      </c>
      <c r="I490" s="2" t="str">
        <f>_xlfn.XLOOKUP(F490,DeparaIMG!B:B,DeparaIMG!D:D,,0)</f>
        <v>PCP2.png</v>
      </c>
    </row>
    <row r="491" spans="1:9" x14ac:dyDescent="0.25">
      <c r="A491" s="2" t="s">
        <v>105</v>
      </c>
      <c r="B491" s="2" t="s">
        <v>63</v>
      </c>
      <c r="C491" t="s">
        <v>30</v>
      </c>
      <c r="D491" t="s">
        <v>27</v>
      </c>
      <c r="E491" t="s">
        <v>107</v>
      </c>
      <c r="F491" t="s">
        <v>34</v>
      </c>
      <c r="G491">
        <v>7.99</v>
      </c>
      <c r="H491">
        <v>7.49</v>
      </c>
      <c r="I491" s="2" t="str">
        <f>_xlfn.XLOOKUP(F491,DeparaIMG!B:B,DeparaIMG!D:D,,0)</f>
        <v>PCP2.png</v>
      </c>
    </row>
    <row r="492" spans="1:9" x14ac:dyDescent="0.25">
      <c r="A492" s="2" t="s">
        <v>105</v>
      </c>
      <c r="B492" s="2" t="s">
        <v>63</v>
      </c>
      <c r="C492" t="s">
        <v>31</v>
      </c>
      <c r="D492" t="s">
        <v>27</v>
      </c>
      <c r="E492" t="s">
        <v>107</v>
      </c>
      <c r="F492" t="s">
        <v>34</v>
      </c>
      <c r="G492">
        <v>8.99</v>
      </c>
      <c r="H492">
        <v>8.49</v>
      </c>
      <c r="I492" s="2" t="str">
        <f>_xlfn.XLOOKUP(F492,DeparaIMG!B:B,DeparaIMG!D:D,,0)</f>
        <v>PCP2.png</v>
      </c>
    </row>
    <row r="493" spans="1:9" x14ac:dyDescent="0.25">
      <c r="A493" s="2" t="s">
        <v>105</v>
      </c>
      <c r="B493" s="2" t="s">
        <v>63</v>
      </c>
      <c r="C493" t="s">
        <v>28</v>
      </c>
      <c r="D493" t="s">
        <v>27</v>
      </c>
      <c r="E493" t="s">
        <v>107</v>
      </c>
      <c r="F493" t="s">
        <v>43</v>
      </c>
      <c r="G493">
        <v>8.49</v>
      </c>
      <c r="H493">
        <v>7.99</v>
      </c>
      <c r="I493" s="2" t="str">
        <f>_xlfn.XLOOKUP(F493,DeparaIMG!B:B,DeparaIMG!D:D,,0)</f>
        <v>H2OHP1,5.png</v>
      </c>
    </row>
    <row r="494" spans="1:9" x14ac:dyDescent="0.25">
      <c r="A494" s="2" t="s">
        <v>105</v>
      </c>
      <c r="B494" s="2" t="s">
        <v>63</v>
      </c>
      <c r="C494" t="s">
        <v>29</v>
      </c>
      <c r="D494" t="s">
        <v>27</v>
      </c>
      <c r="E494" t="s">
        <v>107</v>
      </c>
      <c r="F494" t="s">
        <v>43</v>
      </c>
      <c r="G494">
        <v>7.99</v>
      </c>
      <c r="H494">
        <v>7.49</v>
      </c>
      <c r="I494" s="2" t="str">
        <f>_xlfn.XLOOKUP(F494,DeparaIMG!B:B,DeparaIMG!D:D,,0)</f>
        <v>H2OHP1,5.png</v>
      </c>
    </row>
    <row r="495" spans="1:9" x14ac:dyDescent="0.25">
      <c r="A495" s="2" t="s">
        <v>105</v>
      </c>
      <c r="B495" s="2" t="s">
        <v>63</v>
      </c>
      <c r="C495" t="s">
        <v>30</v>
      </c>
      <c r="D495" t="s">
        <v>27</v>
      </c>
      <c r="E495" t="s">
        <v>107</v>
      </c>
      <c r="F495" t="s">
        <v>43</v>
      </c>
      <c r="G495">
        <v>7.99</v>
      </c>
      <c r="H495">
        <v>7.49</v>
      </c>
      <c r="I495" s="2" t="str">
        <f>_xlfn.XLOOKUP(F495,DeparaIMG!B:B,DeparaIMG!D:D,,0)</f>
        <v>H2OHP1,5.png</v>
      </c>
    </row>
    <row r="496" spans="1:9" x14ac:dyDescent="0.25">
      <c r="A496" s="2" t="s">
        <v>105</v>
      </c>
      <c r="B496" s="2" t="s">
        <v>63</v>
      </c>
      <c r="C496" t="s">
        <v>31</v>
      </c>
      <c r="D496" t="s">
        <v>27</v>
      </c>
      <c r="E496" t="s">
        <v>107</v>
      </c>
      <c r="F496" t="s">
        <v>43</v>
      </c>
      <c r="G496">
        <v>8.49</v>
      </c>
      <c r="H496">
        <v>7.99</v>
      </c>
      <c r="I496" s="2" t="str">
        <f>_xlfn.XLOOKUP(F496,DeparaIMG!B:B,DeparaIMG!D:D,,0)</f>
        <v>H2OHP1,5.png</v>
      </c>
    </row>
  </sheetData>
  <autoFilter ref="A1:I496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A4" sqref="A4"/>
    </sheetView>
  </sheetViews>
  <sheetFormatPr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s="2" t="s">
        <v>14</v>
      </c>
      <c r="B2" s="2" t="s">
        <v>11</v>
      </c>
    </row>
    <row r="3" spans="1:2" x14ac:dyDescent="0.25">
      <c r="A3" s="2" t="s">
        <v>15</v>
      </c>
      <c r="B3" s="2">
        <v>2026</v>
      </c>
    </row>
    <row r="4" spans="1:2" x14ac:dyDescent="0.25">
      <c r="A4" s="2" t="s">
        <v>16</v>
      </c>
      <c r="B4" s="2" t="s">
        <v>4</v>
      </c>
    </row>
    <row r="5" spans="1:2" x14ac:dyDescent="0.25">
      <c r="A5" s="2" t="s">
        <v>17</v>
      </c>
      <c r="B5" s="2" t="s">
        <v>18</v>
      </c>
    </row>
    <row r="6" spans="1:2" x14ac:dyDescent="0.25">
      <c r="A6" s="2" t="s">
        <v>19</v>
      </c>
      <c r="B6" s="2" t="s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2026-09-10T18:19:01Z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