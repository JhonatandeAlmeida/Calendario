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99852106\Downloads\"/>
    </mc:Choice>
  </mc:AlternateContent>
  <xr:revisionPtr revIDLastSave="0" documentId="13_ncr:1_{B92F5DA4-8825-4FA1-97C6-23568D76854D}" xr6:coauthVersionLast="47" xr6:coauthVersionMax="47" xr10:uidLastSave="{00000000-0000-0000-0000-000000000000}"/>
  <bookViews>
    <workbookView xWindow="-105" yWindow="0" windowWidth="11760" windowHeight="15585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21" i="3" l="1"/>
  <c r="I1220" i="3"/>
  <c r="I1219" i="3"/>
  <c r="I1218" i="3"/>
  <c r="I1217" i="3" l="1"/>
  <c r="I1216" i="3"/>
  <c r="I1215" i="3"/>
  <c r="I1214" i="3"/>
  <c r="C49" i="5"/>
  <c r="D49" i="5" s="1"/>
  <c r="I1213" i="3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1116" i="3" l="1"/>
  <c r="I1117" i="3"/>
  <c r="C48" i="5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<sst xmlns="http://schemas.openxmlformats.org/spreadsheetml/2006/main" count="6568" uniqueCount="123">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</sst>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9"/>
  <sheetViews>
    <sheetView topLeftCell="A22" workbookViewId="0">
      <selection activeCell="B49" sqref="B49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2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2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2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2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2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2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2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2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2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25">
      <c r="A45" s="2" t="s">
        <v>104</v>
      </c>
      <c r="B45" s="2" t="s">
        <v>106</v>
      </c>
      <c r="C45" t="str">
        <f t="shared" ref="C45:C49" si="5">SUBSTITUTE(B45," ","")</f>
        <v>BEATSLT</v>
      </c>
      <c r="D45" t="str">
        <f>C45&amp;".png"</f>
        <v>BEATSLT.png</v>
      </c>
    </row>
    <row r="46" spans="1:4" x14ac:dyDescent="0.2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2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2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  <row r="49" spans="1:4" x14ac:dyDescent="0.25">
      <c r="A49" s="2" t="s">
        <v>62</v>
      </c>
      <c r="B49" s="2" t="s">
        <v>121</v>
      </c>
      <c r="C49" t="str">
        <f t="shared" si="5"/>
        <v>MIC269</v>
      </c>
      <c r="D49" t="str">
        <f>C49&amp;".png"</f>
        <v>MIC269.png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82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49"/>
  <sheetViews>
    <sheetView workbookViewId="0">
      <selection activeCell="C1" sqref="C1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221"/>
  <sheetViews>
    <sheetView tabSelected="1" topLeftCell="A1195" workbookViewId="0">
      <selection activeCell="G1207" sqref="G1207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_xlfn.XLOOKUP(F950,DeparaIMG!B:B,DeparaIMG!D:D,,0)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_xlfn.XLOOKUP(F951,DeparaIMG!B:B,DeparaIMG!D:D,,0)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_xlfn.XLOOKUP(F952,DeparaIMG!B:B,DeparaIMG!D:D,,0)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_xlfn.XLOOKUP(F953,DeparaIMG!B:B,DeparaIMG!D:D,,0)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_xlfn.XLOOKUP(F954,DeparaIMG!B:B,DeparaIMG!D:D,,0)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_xlfn.XLOOKUP(F955,DeparaIMG!B:B,DeparaIMG!D:D,,0)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_xlfn.XLOOKUP(F956,DeparaIMG!B:B,DeparaIMG!D:D,,0)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_xlfn.XLOOKUP(F957,DeparaIMG!B:B,DeparaIMG!D:D,,0)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_xlfn.XLOOKUP(F958,DeparaIMG!B:B,DeparaIMG!D:D,,0)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_xlfn.XLOOKUP(F959,DeparaIMG!B:B,DeparaIMG!D:D,,0)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_xlfn.XLOOKUP(F1116,DeparaIMG!B:B,DeparaIMG!D:D,,0)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_xlfn.XLOOKUP(F1117,DeparaIMG!B:B,DeparaIMG!D:D,,0)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x14ac:dyDescent="0.25">
      <c r="A1148" s="2"/>
      <c r="B1148" s="2"/>
      <c r="E1148" s="2"/>
      <c r="I1148" s="2"/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2.99</v>
      </c>
      <c r="I1213" s="2" t="str">
        <f>_xlfn.XLOOKUP(F1213,DeparaIMG!B:B,DeparaIMG!D:D,,0)</f>
        <v>BUD269.png</v>
      </c>
    </row>
    <row r="1214" spans="1:9" x14ac:dyDescent="0.25">
      <c r="A1214" s="2" t="s">
        <v>98</v>
      </c>
      <c r="B1214" s="2" t="s">
        <v>62</v>
      </c>
      <c r="C1214" t="s">
        <v>90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_xlfn.XLOOKUP(F1214,DeparaIMG!B:B,DeparaIMG!D:D,,0)</f>
        <v>STE269.png</v>
      </c>
    </row>
    <row r="1215" spans="1:9" x14ac:dyDescent="0.25">
      <c r="A1215" s="2" t="s">
        <v>98</v>
      </c>
      <c r="B1215" s="2" t="s">
        <v>62</v>
      </c>
      <c r="C1215" t="s">
        <v>87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_xlfn.XLOOKUP(F1215,DeparaIMG!B:B,DeparaIMG!D:D,,0)</f>
        <v>STE269.png</v>
      </c>
    </row>
    <row r="1216" spans="1:9" x14ac:dyDescent="0.25">
      <c r="A1216" s="2" t="s">
        <v>98</v>
      </c>
      <c r="B1216" s="2" t="s">
        <v>62</v>
      </c>
      <c r="C1216" t="s">
        <v>88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_xlfn.XLOOKUP(F1216,DeparaIMG!B:B,DeparaIMG!D:D,,0)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25</v>
      </c>
      <c r="E1217" s="2">
        <v>2</v>
      </c>
      <c r="F1217" t="s">
        <v>75</v>
      </c>
      <c r="G1217">
        <v>4.29</v>
      </c>
      <c r="H1217">
        <v>3.49</v>
      </c>
      <c r="I1217" s="2" t="str">
        <f>_xlfn.XLOOKUP(F1217,DeparaIMG!B:B,DeparaIMG!D:D,,0)</f>
        <v>STE269.png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119</v>
      </c>
      <c r="G1218">
        <v>2.99</v>
      </c>
      <c r="H1218">
        <v>2.79</v>
      </c>
      <c r="I1218" s="2" t="str">
        <f>_xlfn.XLOOKUP(F1218,DeparaIMG!B:B,DeparaIMG!D:D,,0)</f>
        <v>BC269MP.png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1</v>
      </c>
      <c r="F1219" t="s">
        <v>117</v>
      </c>
      <c r="G1219">
        <v>3.29</v>
      </c>
      <c r="H1219">
        <v>2.89</v>
      </c>
      <c r="I1219" s="2" t="str">
        <f>_xlfn.XLOOKUP(F1219,DeparaIMG!B:B,DeparaIMG!D:D,,0)</f>
        <v>BUD269MP.png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116</v>
      </c>
      <c r="G1220">
        <v>3.19</v>
      </c>
      <c r="H1220">
        <v>2.99</v>
      </c>
      <c r="I1220" s="2" t="str">
        <f>_xlfn.XLOOKUP(F1220,DeparaIMG!B:B,DeparaIMG!D:D,,0)</f>
        <v>SK269MP.png</v>
      </c>
    </row>
    <row r="1221" spans="1:9" x14ac:dyDescent="0.25">
      <c r="A1221" s="2" t="s">
        <v>98</v>
      </c>
      <c r="B1221" s="2" t="s">
        <v>62</v>
      </c>
      <c r="C1221" t="s">
        <v>89</v>
      </c>
      <c r="D1221" t="s">
        <v>26</v>
      </c>
      <c r="E1221" s="2">
        <v>2</v>
      </c>
      <c r="F1221" t="s">
        <v>118</v>
      </c>
      <c r="G1221">
        <v>3.69</v>
      </c>
      <c r="H1221">
        <v>3.39</v>
      </c>
      <c r="I1221" s="2" t="str">
        <f>_xlfn.XLOOKUP(F1221,DeparaIMG!B:B,DeparaIMG!D:D,,0)</f>
        <v>ORI269MP.png</v>
      </c>
    </row>
  </sheetData>
  <autoFilter ref="A1:I1220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5" x14ac:dyDescent="0.25"/>
  <cols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GIOVANNA PEREIRA LINHARES</cp:lastModifiedBy>
  <dcterms:created xsi:type="dcterms:W3CDTF">2015-06-05T18:17:20Z</dcterms:created>
  <dcterms:modified xsi:type="dcterms:W3CDTF">2026-09-24T19:00:03Z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