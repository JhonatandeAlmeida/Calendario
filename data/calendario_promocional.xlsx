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83" documentId="13_ncr:1_{B92F5DA4-8825-4FA1-97C6-23568D76854D}" xr6:coauthVersionLast="47" xr6:coauthVersionMax="47" xr10:uidLastSave="{08B1661C-F40C-459C-8322-3959D1A907FC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DeparaIMG!$A$1:$D$49</definedName>
    <definedName name="_xlnm._FilterDatabase" localSheetId="2" hidden="1">MECANICA!$A$1:$D$49</definedName>
    <definedName name="_xlnm._FilterDatabase" localSheetId="3" hidden="1">PRODUTOS!$A$1:$I$1220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24" i="3" l="1"/>
  <c r="I1223" i="3"/>
  <c r="I1222" i="3"/>
  <c r="I1221" i="3"/>
  <c r="D52" i="5"/>
  <c r="D53" i="5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<sst xmlns="http://schemas.openxmlformats.org/spreadsheetml/2006/main" count="7370" uniqueCount="137">
  <si>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</si>
  <si>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</si>
  <si>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</si>
  <si>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</si>
  <si>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</si>
  <si>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</si>
  <si>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</si>
  <si>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</si>
  <si>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</si>
  <si>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</si>
  <si>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</si>
  <si>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</si>
  <si>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</si>
  <si>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</si>
  <si>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</si>
  <si>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</si>
  <si>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</si>
  <si>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</si>
  <si>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</si>
  <si>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</si>
  <si>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</si>
  <si>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</si>
  <si>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</si>
  <si>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</si>
  <si>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</si>
  <si>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</si>
  <si>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</si>
  <si>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</si>
  <si>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</si>
  <si>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</si>
  <si>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</si>
  <si>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</si>
  <si>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</si>
  <si>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</si>
  <si>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</si>
  <si>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</si>
  <si>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</si>
  <si>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</si>
  <si>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</si>
  <si>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</si>
  <si>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</si>
  <si>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</si>
  <si>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</si>
  <si>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</si>
  <si>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</si>
  <si>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</si>
  <si>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</si>
  <si>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</si>
  <si>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</si>
  <si>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</si>
  <si>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</si>
  <si>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</si>
  <si>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</si>
  <si>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</si>
  <si>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</si>
  <si>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</si>
  <si>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</si>
  <si>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</si>
  <si>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</si>
  <si>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</si>
  <si>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</si>
  <si>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</si>
  <si>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</si>
  <si>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</si>
  <si>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</si>
  <si>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</si>
  <si>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</si>
  <si>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</si>
  <si>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</si>
  <si>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</si>
  <si>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</si>
  <si>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</si>
  <si>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</si>
  <si>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</si>
  <si>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</si>
  <si>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</si>
  <si>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</si>
  <si>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</si>
  <si>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</si>
  <si>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</si>
  <si>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</si>
  <si>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</si>
  <si>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</si>
  <si>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</si>
  <si>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</si>
  <si>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</si>
  <si>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</si>
  <si>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</si>
  <si>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</si>
  <si>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</si>
  <si>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</si>
  <si>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</si>
  <si>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</si>
  <si>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</si>
  <si>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</si>
  <si>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</si>
  <si>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</si>
  <si>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</si>
  <si>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</si>
  <si>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</si>
  <si>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</si>
  <si>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</si>
  <si>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</si>
  <si>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</si>
  <si>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</si>
  <si>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</si>
  <si>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</si>
  <si>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</si>
  <si>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</si>
  <si>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</si>
  <si>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</si>
  <si>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</si>
  <si>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</si>
  <si>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</si>
  <si>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</si>
  <si>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</si>
  <si>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</si>
  <si>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</si>
  <si>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</si>
  <si>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</si>
  <si>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</si>
  <si>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</si>
  <si>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</si>
  <si>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</si>
  <si>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</si>
  <si>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</si>
  <si>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</si>
  <si>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</si>
  <si>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MercaCO</t>
  </si>
  <si>
    <t>MercaFORT</t>
  </si>
  <si>
    <t>Merca/MercaCO</t>
  </si>
  <si>
    <t>Merca/MercaFORT</t>
  </si>
  <si>
    <t>CERV: Máximo 8 combos por CPF</t>
  </si>
  <si>
    <t>NAB: Máximo 8 combos por CPF</t>
  </si>
  <si>
    <t>MATCH: Máximo 4 combos por CPF</t>
  </si>
  <si>
    <t>LEVE 15</t>
  </si>
  <si>
    <t>PAGUE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</si>
</sst>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3"/>
  <sheetViews>
    <sheetView topLeftCell="A14" workbookViewId="0">
      <selection activeCell="D53" sqref="D53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124</v>
      </c>
      <c r="C50" t="s">
        <v>123</v>
      </c>
      <c r="D50" t="str">
        <f t="shared" ref="D50:D53" si="3">C50&amp;".png"</f>
        <v>STEPG269.png</v>
      </c>
    </row>
    <row r="51" spans="1:4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127</v>
      </c>
      <c r="B52" t="s">
        <v>128</v>
      </c>
      <c r="C52" t="s">
        <v>130</v>
      </c>
      <c r="D52" t="str">
        <f>C52&amp;".png"</f>
        <v>Merca/MercaCO.png</v>
      </c>
    </row>
    <row r="53" spans="1:4" x14ac:dyDescent="0.25">
      <c r="A53" t="s">
        <v>127</v>
      </c>
      <c r="B53" t="s">
        <v>129</v>
      </c>
      <c r="C53" t="s">
        <v>131</v>
      </c>
      <c r="D53" t="str">
        <f t="shared" si="3"/>
        <v>Merca/MercaFORT.png</v>
      </c>
    </row>
  </sheetData>
  <autoFilter ref="A1:D49" xr:uid="{C0BF5819-473C-445D-A53D-FC51ACB237C6}"/>
  <conditionalFormatting sqref="C1:C51 C54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topLeftCell="A22" workbookViewId="0">
      <selection activeCell="E42" sqref="E42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132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133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134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24"/>
  <sheetViews>
    <sheetView tabSelected="1" topLeftCell="A1199" workbookViewId="0">
      <selection activeCell="H1221" sqref="G1221:H1224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127</v>
      </c>
      <c r="C1221" t="s">
        <v>105</v>
      </c>
      <c r="D1221" t="s">
        <v>26</v>
      </c>
      <c r="E1221" s="2">
        <v>1</v>
      </c>
      <c r="F1221" t="s">
        <v>119</v>
      </c>
      <c r="G1221" t="s">
        <v>135</v>
      </c>
      <c r="H1221" t="s">
        <v>136</v>
      </c>
      <c r="I1221" s="2" t="str">
        <f>_xlfn.XLOOKUP(F1221,DeparaIMG!B:B,DeparaIMG!D:D,,0)</f>
        <v>BC269MP.png</v>
      </c>
    </row>
    <row r="1222" spans="1:9" x14ac:dyDescent="0.25">
      <c r="A1222" s="2" t="s">
        <v>98</v>
      </c>
      <c r="B1222" s="2" t="s">
        <v>127</v>
      </c>
      <c r="C1222" t="s">
        <v>105</v>
      </c>
      <c r="D1222" t="s">
        <v>26</v>
      </c>
      <c r="E1222" s="2">
        <v>1</v>
      </c>
      <c r="F1222" t="s">
        <v>117</v>
      </c>
      <c r="G1222" t="s">
        <v>135</v>
      </c>
      <c r="H1222" t="s">
        <v>136</v>
      </c>
      <c r="I1222" s="2" t="str">
        <f>_xlfn.XLOOKUP(F1222,DeparaIMG!B:B,DeparaIMG!D:D,,0)</f>
        <v>BUD269MP.png</v>
      </c>
    </row>
    <row r="1223" spans="1:9" x14ac:dyDescent="0.25">
      <c r="A1223" s="2" t="s">
        <v>98</v>
      </c>
      <c r="B1223" s="2" t="s">
        <v>127</v>
      </c>
      <c r="C1223" t="s">
        <v>105</v>
      </c>
      <c r="D1223" t="s">
        <v>26</v>
      </c>
      <c r="E1223" s="2">
        <v>2</v>
      </c>
      <c r="F1223" t="s">
        <v>116</v>
      </c>
      <c r="G1223" t="s">
        <v>135</v>
      </c>
      <c r="H1223" t="s">
        <v>136</v>
      </c>
      <c r="I1223" s="2" t="str">
        <f>_xlfn.XLOOKUP(F1223,DeparaIMG!B:B,DeparaIMG!D:D,,0)</f>
        <v>SK269MP.png</v>
      </c>
    </row>
    <row r="1224" spans="1:9" x14ac:dyDescent="0.25">
      <c r="A1224" s="2" t="s">
        <v>98</v>
      </c>
      <c r="B1224" s="2" t="s">
        <v>127</v>
      </c>
      <c r="C1224" t="s">
        <v>105</v>
      </c>
      <c r="D1224" t="s">
        <v>26</v>
      </c>
      <c r="E1224" s="2">
        <v>2</v>
      </c>
      <c r="F1224" t="s">
        <v>118</v>
      </c>
      <c r="G1224" t="s">
        <v>135</v>
      </c>
      <c r="H1224" t="s">
        <v>136</v>
      </c>
      <c r="I1224" s="2" t="str">
        <f>_xlfn.XLOOKUP(F1224,DeparaIMG!B:B,DeparaIMG!D:D,,0)</f>
        <v>ORI269MP.png</v>
      </c>
    </row>
  </sheetData>
  <autoFilter ref="A1:I1220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2026-10-07T17:15:37Z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